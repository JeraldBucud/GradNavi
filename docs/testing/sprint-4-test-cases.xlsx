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d9959cc09548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978b253cba94f93"/>
    <x:sheet xmlns:r="http://schemas.openxmlformats.org/officeDocument/2006/relationships" name="Test Cases" sheetId="2" r:id="Rb01ef5adc3224fcb"/>
    <x:sheet xmlns:r="http://schemas.openxmlformats.org/officeDocument/2006/relationships" name="Evidence Index" sheetId="3" r:id="R3b9b95c28a8b4af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sz val="10"/>
      <x:color rgb="FF17324D"/>
      <x:name val="Carlito"/>
    </x:font>
    <x:font>
      <x:b/>
      <x:sz val="11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7EEF5"/>
      </x:patternFill>
    </x:fill>
    <x:fill>
      <x:patternFill patternType="solid">
        <x:fgColor rgb="FF2F5D7E"/>
      </x:patternFill>
    </x:fill>
  </x:fills>
  <x:borders count="2">
    <x:border/>
    <x:border/>
  </x:borders>
  <x:cellStyleXfs count="1">
    <x:xf numFmtId="0" fontId="0" fillId="0" borderId="0"/>
  </x:cellStyleXfs>
  <x:cellXfs count="3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left"/>
    </x:xf>
    <x:xf numFmtId="0" fontId="1" fillId="2" borderId="1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5">
    <x:dxf>
      <x:fill>
        <x:patternFill>
          <x:bgColor rgb="FFD9EAD3"/>
        </x:patternFill>
      </x:fill>
    </x:dxf>
    <x:dxf>
      <x:fill>
        <x:patternFill>
          <x:bgColor rgb="FFF4CCCC"/>
        </x:patternFill>
      </x:fill>
    </x:dxf>
    <x:dxf>
      <x:fill>
        <x:patternFill>
          <x:bgColor rgb="FFFCE5CD"/>
        </x:patternFill>
      </x:fill>
    </x:dxf>
    <x:dxf>
      <x:fill>
        <x:patternFill>
          <x:bgColor rgb="FFEDEDED"/>
        </x:patternFill>
      </x:fill>
    </x:dxf>
    <x:dxf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e01981d0414fbd" /><Relationship Type="http://schemas.openxmlformats.org/officeDocument/2006/relationships/theme" Target="/xl/theme/theme1.xml" Id="R6091b7bc9a8242e9" /><Relationship Type="http://schemas.openxmlformats.org/officeDocument/2006/relationships/sharedStrings" Target="/xl/sharedStrings.xml" Id="R1458d0875f4f42b7" /><Relationship Type="http://schemas.openxmlformats.org/officeDocument/2006/relationships/worksheet" Target="/xl/worksheets/sheet1.xml" Id="R4978b253cba94f93" /><Relationship Type="http://schemas.openxmlformats.org/officeDocument/2006/relationships/worksheet" Target="/xl/worksheets/sheet2.xml" Id="Rb01ef5adc3224fcb" /><Relationship Type="http://schemas.openxmlformats.org/officeDocument/2006/relationships/worksheet" Target="/xl/worksheets/sheet3.xml" Id="R3b9b95c28a8b4af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1bd52442eb549f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Sprint 4 Test Status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'Dashboard'!$A$5:$A$10</c:f>
              <c:strCache>
                <c:ptCount val="0"/>
              </c:strCache>
            </c:strRef>
          </c:cat>
          <c:val>
            <c:numRef>
              <c:f>'Dashboard'!$B$5:$B$10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9</xdr:col>
      <xdr:colOff>0</xdr:colOff>
      <xdr:row>3</xdr:row>
      <xdr:rowOff>0</xdr:rowOff>
    </xdr:from>
    <xdr:to>
      <xdr:col>16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bd52442eb549f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print4TestCasesTable" displayName="Sprint4TestCasesTable" ref="A5:R134" headerRowCount="1" totalsRowCount="0" totalsRowShown="0">
  <x:tableColumns count="18">
    <x:tableColumn id="1" name="Test ID"/>
    <x:tableColumn id="2" name="WBS"/>
    <x:tableColumn id="3" name="Area"/>
    <x:tableColumn id="4" name="Requirement"/>
    <x:tableColumn id="5" name="Priority"/>
    <x:tableColumn id="6" name="Test Level"/>
    <x:tableColumn id="7" name="Test Case"/>
    <x:tableColumn id="8" name="Preconditions"/>
    <x:tableColumn id="9" name="Steps"/>
    <x:tableColumn id="10" name="Expected Result"/>
    <x:tableColumn id="11" name="Owner"/>
    <x:tableColumn id="12" name="Status"/>
    <x:tableColumn id="13" name="Blocked By"/>
    <x:tableColumn id="14" name="Actual Result"/>
    <x:tableColumn id="15" name="Evidence ID"/>
    <x:tableColumn id="16" name="Defect Ref"/>
    <x:tableColumn id="17" name="Automati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print4EvidenceTable" displayName="Sprint4EvidenceTable" ref="A5:J16" headerRowCount="1" totalsRowCount="0" totalsRowShown="0">
  <x:tableColumns count="10">
    <x:tableColumn id="1" name="Evidence ID"/>
    <x:tableColumn id="2" name="Related Test IDs"/>
    <x:tableColumn id="3" name="WBS"/>
    <x:tableColumn id="4" name="Evidence Type"/>
    <x:tableColumn id="5" name="Description"/>
    <x:tableColumn id="6" name="Repository Path / Planned File"/>
    <x:tableColumn id="7" name="Owner"/>
    <x:tableColumn id="8" name="Status"/>
    <x:tableColumn id="9" name="Captured Date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b66c4c55c93f489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96476165ba04ed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b8b3ea5bf074d0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2" hidden="0" customWidth="1"/>
    <x:col min="3" max="3" width="3" hidden="0" customWidth="1"/>
    <x:col min="4" max="4" width="28" hidden="0" customWidth="1"/>
    <x:col min="5" max="5" width="10" hidden="0" customWidth="1"/>
    <x:col min="6" max="6" width="10" hidden="0" customWidth="1"/>
    <x:col min="7" max="7" width="10" hidden="0" customWidth="1"/>
    <x:col min="8" max="8" width="10" hidden="0" customWidth="1"/>
  </x:cols>
  <x:sheetData>
    <x:row r="1">
      <x:c r="A1" s="5" t="str">
        <x:v>GradNavi Sprint 4 Testing Dashboard</x:v>
      </x:c>
      <x:c r="B1" s="5"/>
      <x:c r="C1" s="5"/>
      <x:c r="D1" s="5"/>
      <x:c r="E1" s="5"/>
      <x:c r="F1" s="5"/>
      <x:c r="G1" s="5"/>
      <x:c r="H1" s="5"/>
    </x:row>
    <x:row r="2">
      <x:c r="A2" s="13" t="str">
        <x:v>WBS 7.9 Sprint 4 Integration and Testing. Planning tracker only. Pass and Fail stay at zero until execution.</x:v>
      </x:c>
      <x:c r="B2" s="13"/>
      <x:c r="C2" s="13"/>
      <x:c r="D2" s="13"/>
      <x:c r="E2" s="13"/>
      <x:c r="F2" s="13"/>
      <x:c r="G2" s="13"/>
      <x:c r="H2" s="13"/>
    </x:row>
    <x:row r="4">
      <x:c r="A4" s="22" t="str">
        <x:v>Metric</x:v>
      </x:c>
      <x:c r="B4" s="22" t="str">
        <x:v>Count</x:v>
      </x:c>
      <x:c r="C4" s="28"/>
      <x:c r="D4" s="22" t="str">
        <x:v>Area</x:v>
      </x:c>
      <x:c r="E4" s="22" t="str">
        <x:v>Total</x:v>
      </x:c>
      <x:c r="F4" s="22" t="str">
        <x:v>Blocked</x:v>
      </x:c>
      <x:c r="G4" s="22" t="str">
        <x:v>Not Run</x:v>
      </x:c>
      <x:c r="H4" s="22" t="str">
        <x:v>Executed</x:v>
      </x:c>
    </x:row>
    <x:row r="5">
      <x:c r="A5" s="28" t="str">
        <x:v>Total Test Cases</x:v>
      </x:c>
      <x:c r="B5" s="28" t="n">
        <x:f>COUNTA('Test Cases'!A6:A134)</x:f>
        <x:v>129</x:v>
      </x:c>
      <x:c r="C5" s="28"/>
      <x:c r="D5" s="28" t="str">
        <x:v>Environment</x:v>
      </x:c>
      <x:c r="E5" s="28" t="n">
        <x:f>COUNTIF('Test Cases'!C6:C134,D5)</x:f>
        <x:v>7</x:v>
      </x:c>
      <x:c r="F5" s="28" t="n">
        <x:f>COUNTIFS('Test Cases'!C6:C134,D5,'Test Cases'!L6:L134,"Blocked")</x:f>
        <x:v>2</x:v>
      </x:c>
      <x:c r="G5" s="28" t="n">
        <x:f>COUNTIFS('Test Cases'!C6:C134,D5,'Test Cases'!L6:L134,"Not Run")</x:f>
        <x:v>5</x:v>
      </x:c>
      <x:c r="H5" s="28" t="n">
        <x:f>E5-F5-G5</x:f>
        <x:v>0</x:v>
      </x:c>
    </x:row>
    <x:row r="6">
      <x:c r="A6" s="28" t="str">
        <x:v>Pass</x:v>
      </x:c>
      <x:c r="B6" s="28" t="n">
        <x:f>COUNTIF('Test Cases'!L6:L134,"Pass")</x:f>
        <x:v>0</x:v>
      </x:c>
      <x:c r="C6" s="28"/>
      <x:c r="D6" s="28" t="str">
        <x:v>Authentication</x:v>
      </x:c>
      <x:c r="E6" s="28" t="n">
        <x:f>COUNTIF('Test Cases'!C6:C134,D6)</x:f>
        <x:v>5</x:v>
      </x:c>
      <x:c r="F6" s="28" t="n">
        <x:f>COUNTIFS('Test Cases'!C6:C134,D6,'Test Cases'!L6:L134,"Blocked")</x:f>
        <x:v>0</x:v>
      </x:c>
      <x:c r="G6" s="28" t="n">
        <x:f>COUNTIFS('Test Cases'!C6:C134,D6,'Test Cases'!L6:L134,"Not Run")</x:f>
        <x:v>5</x:v>
      </x:c>
      <x:c r="H6" s="28" t="n">
        <x:f>E6-F6-G6</x:f>
        <x:v>0</x:v>
      </x:c>
    </x:row>
    <x:row r="7">
      <x:c r="A7" s="28" t="str">
        <x:v>Fail</x:v>
      </x:c>
      <x:c r="B7" s="28" t="n">
        <x:f>COUNTIF('Test Cases'!L6:L134,"Fail")</x:f>
        <x:v>0</x:v>
      </x:c>
      <x:c r="C7" s="28"/>
      <x:c r="D7" s="28" t="str">
        <x:v>Student Profile</x:v>
      </x:c>
      <x:c r="E7" s="28" t="n">
        <x:f>COUNTIF('Test Cases'!C6:C134,D7)</x:f>
        <x:v>4</x:v>
      </x:c>
      <x:c r="F7" s="28" t="n">
        <x:f>COUNTIFS('Test Cases'!C6:C134,D7,'Test Cases'!L6:L134,"Blocked")</x:f>
        <x:v>0</x:v>
      </x:c>
      <x:c r="G7" s="28" t="n">
        <x:f>COUNTIFS('Test Cases'!C6:C134,D7,'Test Cases'!L6:L134,"Not Run")</x:f>
        <x:v>4</x:v>
      </x:c>
      <x:c r="H7" s="28" t="n">
        <x:f>E7-F7-G7</x:f>
        <x:v>0</x:v>
      </x:c>
    </x:row>
    <x:row r="8">
      <x:c r="A8" s="28" t="str">
        <x:v>Blocked</x:v>
      </x:c>
      <x:c r="B8" s="28" t="n">
        <x:f>COUNTIF('Test Cases'!L6:L134,"Blocked")</x:f>
        <x:v>61</x:v>
      </x:c>
      <x:c r="C8" s="28"/>
      <x:c r="D8" s="28" t="str">
        <x:v>Career Recommendations</x:v>
      </x:c>
      <x:c r="E8" s="28" t="n">
        <x:f>COUNTIF('Test Cases'!C6:C134,D8)</x:f>
        <x:v>6</x:v>
      </x:c>
      <x:c r="F8" s="28" t="n">
        <x:f>COUNTIFS('Test Cases'!C6:C134,D8,'Test Cases'!L6:L134,"Blocked")</x:f>
        <x:v>2</x:v>
      </x:c>
      <x:c r="G8" s="28" t="n">
        <x:f>COUNTIFS('Test Cases'!C6:C134,D8,'Test Cases'!L6:L134,"Not Run")</x:f>
        <x:v>4</x:v>
      </x:c>
      <x:c r="H8" s="28" t="n">
        <x:f>E8-F8-G8</x:f>
        <x:v>0</x:v>
      </x:c>
    </x:row>
    <x:row r="9">
      <x:c r="A9" s="28" t="str">
        <x:v>Not Run</x:v>
      </x:c>
      <x:c r="B9" s="28" t="n">
        <x:f>COUNTIF('Test Cases'!L6:L134,"Not Run")</x:f>
        <x:v>68</x:v>
      </x:c>
      <x:c r="C9" s="28"/>
      <x:c r="D9" s="28" t="str">
        <x:v>Skill Gap and Readiness</x:v>
      </x:c>
      <x:c r="E9" s="28" t="n">
        <x:f>COUNTIF('Test Cases'!C6:C134,D9)</x:f>
        <x:v>5</x:v>
      </x:c>
      <x:c r="F9" s="28" t="n">
        <x:f>COUNTIFS('Test Cases'!C6:C134,D9,'Test Cases'!L6:L134,"Blocked")</x:f>
        <x:v>1</x:v>
      </x:c>
      <x:c r="G9" s="28" t="n">
        <x:f>COUNTIFS('Test Cases'!C6:C134,D9,'Test Cases'!L6:L134,"Not Run")</x:f>
        <x:v>4</x:v>
      </x:c>
      <x:c r="H9" s="28" t="n">
        <x:f>E9-F9-G9</x:f>
        <x:v>0</x:v>
      </x:c>
    </x:row>
    <x:row r="10">
      <x:c r="A10" s="28" t="str">
        <x:v>Retest</x:v>
      </x:c>
      <x:c r="B10" s="28" t="n">
        <x:f>COUNTIF('Test Cases'!L6:L134,"Retest")</x:f>
        <x:v>0</x:v>
      </x:c>
      <x:c r="C10" s="28"/>
      <x:c r="D10" s="28" t="str">
        <x:v>Learning Suggestions</x:v>
      </x:c>
      <x:c r="E10" s="28" t="n">
        <x:f>COUNTIF('Test Cases'!C6:C134,D10)</x:f>
        <x:v>4</x:v>
      </x:c>
      <x:c r="F10" s="28" t="n">
        <x:f>COUNTIFS('Test Cases'!C6:C134,D10,'Test Cases'!L6:L134,"Blocked")</x:f>
        <x:v>0</x:v>
      </x:c>
      <x:c r="G10" s="28" t="n">
        <x:f>COUNTIFS('Test Cases'!C6:C134,D10,'Test Cases'!L6:L134,"Not Run")</x:f>
        <x:v>4</x:v>
      </x:c>
      <x:c r="H10" s="28" t="n">
        <x:f>E10-F10-G10</x:f>
        <x:v>0</x:v>
      </x:c>
    </x:row>
    <x:row r="11">
      <x:c r="A11" s="28"/>
      <x:c r="B11" s="28"/>
      <x:c r="C11" s="28"/>
      <x:c r="D11" s="28" t="str">
        <x:v>Career Roadmap</x:v>
      </x:c>
      <x:c r="E11" s="28" t="n">
        <x:f>COUNTIF('Test Cases'!C6:C134,D11)</x:f>
        <x:v>4</x:v>
      </x:c>
      <x:c r="F11" s="28" t="n">
        <x:f>COUNTIFS('Test Cases'!C6:C134,D11,'Test Cases'!L6:L134,"Blocked")</x:f>
        <x:v>0</x:v>
      </x:c>
      <x:c r="G11" s="28" t="n">
        <x:f>COUNTIFS('Test Cases'!C6:C134,D11,'Test Cases'!L6:L134,"Not Run")</x:f>
        <x:v>4</x:v>
      </x:c>
      <x:c r="H11" s="28" t="n">
        <x:f>E11-F11-G11</x:f>
        <x:v>0</x:v>
      </x:c>
    </x:row>
    <x:row r="12">
      <x:c r="A12" s="28"/>
      <x:c r="B12" s="28"/>
      <x:c r="C12" s="28"/>
      <x:c r="D12" s="28" t="str">
        <x:v>Job Matching</x:v>
      </x:c>
      <x:c r="E12" s="28" t="n">
        <x:f>COUNTIF('Test Cases'!C6:C134,D12)</x:f>
        <x:v>15</x:v>
      </x:c>
      <x:c r="F12" s="28" t="n">
        <x:f>COUNTIFS('Test Cases'!C6:C134,D12,'Test Cases'!L6:L134,"Blocked")</x:f>
        <x:v>0</x:v>
      </x:c>
      <x:c r="G12" s="28" t="n">
        <x:f>COUNTIFS('Test Cases'!C6:C134,D12,'Test Cases'!L6:L134,"Not Run")</x:f>
        <x:v>15</x:v>
      </x:c>
      <x:c r="H12" s="28" t="n">
        <x:f>E12-F12-G12</x:f>
        <x:v>0</x:v>
      </x:c>
    </x:row>
    <x:row r="13">
      <x:c r="A13" s="28"/>
      <x:c r="B13" s="28"/>
      <x:c r="C13" s="28"/>
      <x:c r="D13" s="28" t="str">
        <x:v>Resume Builder</x:v>
      </x:c>
      <x:c r="E13" s="28" t="n">
        <x:f>COUNTIF('Test Cases'!C6:C134,D13)</x:f>
        <x:v>7</x:v>
      </x:c>
      <x:c r="F13" s="28" t="n">
        <x:f>COUNTIFS('Test Cases'!C6:C134,D13,'Test Cases'!L6:L134,"Blocked")</x:f>
        <x:v>2</x:v>
      </x:c>
      <x:c r="G13" s="28" t="n">
        <x:f>COUNTIFS('Test Cases'!C6:C134,D13,'Test Cases'!L6:L134,"Not Run")</x:f>
        <x:v>5</x:v>
      </x:c>
      <x:c r="H13" s="28" t="n">
        <x:f>E13-F13-G13</x:f>
        <x:v>0</x:v>
      </x:c>
    </x:row>
    <x:row r="14">
      <x:c r="A14" s="28"/>
      <x:c r="B14" s="28"/>
      <x:c r="C14" s="28"/>
      <x:c r="D14" s="28" t="str">
        <x:v>Cover Letter Builder</x:v>
      </x:c>
      <x:c r="E14" s="28" t="n">
        <x:f>COUNTIF('Test Cases'!C6:C134,D14)</x:f>
        <x:v>7</x:v>
      </x:c>
      <x:c r="F14" s="28" t="n">
        <x:f>COUNTIFS('Test Cases'!C6:C134,D14,'Test Cases'!L6:L134,"Blocked")</x:f>
        <x:v>1</x:v>
      </x:c>
      <x:c r="G14" s="28" t="n">
        <x:f>COUNTIFS('Test Cases'!C6:C134,D14,'Test Cases'!L6:L134,"Not Run")</x:f>
        <x:v>6</x:v>
      </x:c>
      <x:c r="H14" s="28" t="n">
        <x:f>E14-F14-G14</x:f>
        <x:v>0</x:v>
      </x:c>
    </x:row>
    <x:row r="15">
      <x:c r="A15" s="28"/>
      <x:c r="B15" s="28"/>
      <x:c r="C15" s="28"/>
      <x:c r="D15" s="28" t="str">
        <x:v>Interview Preparation</x:v>
      </x:c>
      <x:c r="E15" s="28" t="n">
        <x:f>COUNTIF('Test Cases'!C6:C134,D15)</x:f>
        <x:v>9</x:v>
      </x:c>
      <x:c r="F15" s="28" t="n">
        <x:f>COUNTIFS('Test Cases'!C6:C134,D15,'Test Cases'!L6:L134,"Blocked")</x:f>
        <x:v>1</x:v>
      </x:c>
      <x:c r="G15" s="28" t="n">
        <x:f>COUNTIFS('Test Cases'!C6:C134,D15,'Test Cases'!L6:L134,"Not Run")</x:f>
        <x:v>8</x:v>
      </x:c>
      <x:c r="H15" s="28" t="n">
        <x:f>E15-F15-G15</x:f>
        <x:v>0</x:v>
      </x:c>
    </x:row>
    <x:row r="16">
      <x:c r="A16" s="28"/>
      <x:c r="B16" s="28"/>
      <x:c r="C16" s="28"/>
      <x:c r="D16" s="28" t="str">
        <x:v>AI Response Validation</x:v>
      </x:c>
      <x:c r="E16" s="28" t="n">
        <x:f>COUNTIF('Test Cases'!C6:C134,D16)</x:f>
        <x:v>12</x:v>
      </x:c>
      <x:c r="F16" s="28" t="n">
        <x:f>COUNTIFS('Test Cases'!C6:C134,D16,'Test Cases'!L6:L134,"Blocked")</x:f>
        <x:v>12</x:v>
      </x:c>
      <x:c r="G16" s="28" t="n">
        <x:f>COUNTIFS('Test Cases'!C6:C134,D16,'Test Cases'!L6:L134,"Not Run")</x:f>
        <x:v>0</x:v>
      </x:c>
      <x:c r="H16" s="28" t="n">
        <x:f>E16-F16-G16</x:f>
        <x:v>0</x:v>
      </x:c>
    </x:row>
    <x:row r="17">
      <x:c r="A17" s="28"/>
      <x:c r="B17" s="28"/>
      <x:c r="C17" s="28"/>
      <x:c r="D17" s="28" t="str">
        <x:v>Admin API</x:v>
      </x:c>
      <x:c r="E17" s="28" t="n">
        <x:f>COUNTIF('Test Cases'!C6:C134,D17)</x:f>
        <x:v>10</x:v>
      </x:c>
      <x:c r="F17" s="28" t="n">
        <x:f>COUNTIFS('Test Cases'!C6:C134,D17,'Test Cases'!L6:L134,"Blocked")</x:f>
        <x:v>10</x:v>
      </x:c>
      <x:c r="G17" s="28" t="n">
        <x:f>COUNTIFS('Test Cases'!C6:C134,D17,'Test Cases'!L6:L134,"Not Run")</x:f>
        <x:v>0</x:v>
      </x:c>
      <x:c r="H17" s="28" t="n">
        <x:f>E17-F17-G17</x:f>
        <x:v>0</x:v>
      </x:c>
    </x:row>
    <x:row r="18">
      <x:c r="A18" s="28"/>
      <x:c r="B18" s="28"/>
      <x:c r="C18" s="28"/>
      <x:c r="D18" s="28" t="str">
        <x:v>Admin Dashboard</x:v>
      </x:c>
      <x:c r="E18" s="28" t="n">
        <x:f>COUNTIF('Test Cases'!C6:C134,D18)</x:f>
        <x:v>8</x:v>
      </x:c>
      <x:c r="F18" s="28" t="n">
        <x:f>COUNTIFS('Test Cases'!C6:C134,D18,'Test Cases'!L6:L134,"Blocked")</x:f>
        <x:v>8</x:v>
      </x:c>
      <x:c r="G18" s="28" t="n">
        <x:f>COUNTIFS('Test Cases'!C6:C134,D18,'Test Cases'!L6:L134,"Not Run")</x:f>
        <x:v>0</x:v>
      </x:c>
      <x:c r="H18" s="28" t="n">
        <x:f>E18-F18-G18</x:f>
        <x:v>0</x:v>
      </x:c>
    </x:row>
    <x:row r="19">
      <x:c r="A19" s="28"/>
      <x:c r="B19" s="28"/>
      <x:c r="C19" s="28"/>
      <x:c r="D19" s="28" t="str">
        <x:v>Role Permissions</x:v>
      </x:c>
      <x:c r="E19" s="28" t="n">
        <x:f>COUNTIF('Test Cases'!C6:C134,D19)</x:f>
        <x:v>6</x:v>
      </x:c>
      <x:c r="F19" s="28" t="n">
        <x:f>COUNTIFS('Test Cases'!C6:C134,D19,'Test Cases'!L6:L134,"Blocked")</x:f>
        <x:v>6</x:v>
      </x:c>
      <x:c r="G19" s="28" t="n">
        <x:f>COUNTIFS('Test Cases'!C6:C134,D19,'Test Cases'!L6:L134,"Not Run")</x:f>
        <x:v>0</x:v>
      </x:c>
      <x:c r="H19" s="28" t="n">
        <x:f>E19-F19-G19</x:f>
        <x:v>0</x:v>
      </x:c>
    </x:row>
    <x:row r="20">
      <x:c r="A20" s="28"/>
      <x:c r="B20" s="28"/>
      <x:c r="C20" s="28"/>
      <x:c r="D20" s="28" t="str">
        <x:v>Audit Records</x:v>
      </x:c>
      <x:c r="E20" s="28" t="n">
        <x:f>COUNTIF('Test Cases'!C6:C134,D20)</x:f>
        <x:v>6</x:v>
      </x:c>
      <x:c r="F20" s="28" t="n">
        <x:f>COUNTIFS('Test Cases'!C6:C134,D20,'Test Cases'!L6:L134,"Blocked")</x:f>
        <x:v>6</x:v>
      </x:c>
      <x:c r="G20" s="28" t="n">
        <x:f>COUNTIFS('Test Cases'!C6:C134,D20,'Test Cases'!L6:L134,"Not Run")</x:f>
        <x:v>0</x:v>
      </x:c>
      <x:c r="H20" s="28" t="n">
        <x:f>E20-F20-G20</x:f>
        <x:v>0</x:v>
      </x:c>
    </x:row>
    <x:row r="21">
      <x:c r="A21" s="28"/>
      <x:c r="B21" s="28"/>
      <x:c r="C21" s="28"/>
      <x:c r="D21" s="28" t="str">
        <x:v>Frontend Quality</x:v>
      </x:c>
      <x:c r="E21" s="28" t="n">
        <x:f>COUNTIF('Test Cases'!C6:C134,D21)</x:f>
        <x:v>8</x:v>
      </x:c>
      <x:c r="F21" s="28" t="n">
        <x:f>COUNTIFS('Test Cases'!C6:C134,D21,'Test Cases'!L6:L134,"Blocked")</x:f>
        <x:v>4</x:v>
      </x:c>
      <x:c r="G21" s="28" t="n">
        <x:f>COUNTIFS('Test Cases'!C6:C134,D21,'Test Cases'!L6:L134,"Not Run")</x:f>
        <x:v>4</x:v>
      </x:c>
      <x:c r="H21" s="28" t="n">
        <x:f>E21-F21-G21</x:f>
        <x:v>0</x:v>
      </x:c>
    </x:row>
    <x:row r="22">
      <x:c r="A22" s="28"/>
      <x:c r="B22" s="28"/>
      <x:c r="C22" s="28"/>
      <x:c r="D22" s="28" t="str">
        <x:v>Cross-Sprint Regression</x:v>
      </x:c>
      <x:c r="E22" s="28" t="n">
        <x:f>COUNTIF('Test Cases'!C6:C134,D22)</x:f>
        <x:v>6</x:v>
      </x:c>
      <x:c r="F22" s="28" t="n">
        <x:f>COUNTIFS('Test Cases'!C6:C134,D22,'Test Cases'!L6:L134,"Blocked")</x:f>
        <x:v>6</x:v>
      </x:c>
      <x:c r="G22" s="28" t="n">
        <x:f>COUNTIFS('Test Cases'!C6:C134,D22,'Test Cases'!L6:L134,"Not Run")</x:f>
        <x:v>0</x:v>
      </x:c>
      <x:c r="H22" s="28" t="n">
        <x:f>E22-F22-G22</x:f>
        <x:v>0</x:v>
      </x:c>
    </x:row>
    <x:row r="25">
      <x:c r="A25" t="str">
        <x:v>Test Owner</x:v>
      </x:c>
      <x:c r="B25" t="str">
        <x:v>Assigned Tests</x:v>
      </x:c>
    </x:row>
    <x:row r="26">
      <x:c r="A26" t="str">
        <x:v>Jerald</x:v>
      </x:c>
      <x:c r="B26" t="n">
        <x:f>COUNTIF('Test Cases'!$K$6:$K$134,A26)</x:f>
        <x:v>46</x:v>
      </x:c>
    </x:row>
    <x:row r="27">
      <x:c r="A27" t="str">
        <x:v>MD</x:v>
      </x:c>
      <x:c r="B27" t="n">
        <x:f>COUNTIF('Test Cases'!$K$6:$K$134,A27)</x:f>
        <x:v>38</x:v>
      </x:c>
    </x:row>
    <x:row r="28">
      <x:c r="A28" t="str">
        <x:v>Joyee</x:v>
      </x:c>
      <x:c r="B28" t="n">
        <x:f>COUNTIF('Test Cases'!$K$6:$K$134,A28)</x:f>
        <x:v>45</x:v>
      </x:c>
    </x:row>
    <x:row r="29">
      <x:c r="A29" t="str">
        <x:v>Total</x:v>
      </x:c>
      <x:c r="B29" t="n">
        <x:f>SUM(B26:B28)</x:f>
        <x:v>129</x:v>
      </x:c>
    </x:row>
  </x:sheetData>
  <x:mergeCells>
    <x:mergeCell ref="A1:H1"/>
    <x:mergeCell ref="A2:H2"/>
  </x:mergeCells>
  <x:pageMargins left="0.7" right="0.7" top="0.75" bottom="0.75" header="0.3" footer="0.3"/>
  <x:drawing xmlns:r="http://schemas.openxmlformats.org/officeDocument/2006/relationships" r:id="Rb66c4c55c93f489e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24" hidden="0" customWidth="1"/>
    <x:col min="4" max="4" width="20" hidden="0" customWidth="1"/>
    <x:col min="5" max="5" width="12" hidden="0" customWidth="1"/>
    <x:col min="6" max="6" width="14" hidden="0" customWidth="1"/>
    <x:col min="7" max="7" width="34" hidden="0" customWidth="1"/>
    <x:col min="8" max="8" width="34" hidden="0" customWidth="1"/>
    <x:col min="9" max="9" width="42" hidden="0" customWidth="1"/>
    <x:col min="10" max="10" width="42" hidden="0" customWidth="1"/>
    <x:col min="11" max="11" width="16" hidden="0" customWidth="1"/>
    <x:col min="12" max="12" width="12" hidden="0" customWidth="1"/>
    <x:col min="13" max="13" width="28" hidden="0" customWidth="1"/>
    <x:col min="14" max="14" width="34" hidden="0" customWidth="1"/>
    <x:col min="15" max="15" width="16" hidden="0" customWidth="1"/>
    <x:col min="16" max="16" width="16" hidden="0" customWidth="1"/>
    <x:col min="17" max="17" width="14" hidden="0" customWidth="1"/>
    <x:col min="18" max="18" width="30" hidden="0" customWidth="1"/>
  </x:cols>
  <x:sheetData>
    <x:row r="1">
      <x:c r="A1" s="5" t="str">
        <x:v>GradNavi Sprint 4 Test Case Tracker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</x:row>
    <x:row r="2">
      <x:c r="A2" s="13" t="str">
        <x:v>WBS 7.9 planning baseline. Initial execution status uses Not Run or Blocked only. Do not mark Pass or Fail until the related test is executed.</x:v>
      </x:c>
      <x:c r="B2" s="13"/>
      <x:c r="C2" s="13"/>
      <x:c r="D2" s="13"/>
      <x:c r="E2" s="13"/>
      <x:c r="F2" s="13"/>
      <x:c r="G2" s="13"/>
      <x:c r="H2" s="13"/>
      <x:c r="I2" s="13"/>
      <x:c r="J2" s="13"/>
      <x:c r="K2" s="13"/>
      <x:c r="L2" s="13"/>
      <x:c r="M2" s="13"/>
      <x:c r="N2" s="13"/>
      <x:c r="O2" s="13"/>
      <x:c r="P2" s="13"/>
      <x:c r="Q2" s="13"/>
      <x:c r="R2" s="13"/>
    </x:row>
    <x:row r="5">
      <x:c r="A5" s="22" t="str">
        <x:v>Test ID</x:v>
      </x:c>
      <x:c r="B5" s="22" t="str">
        <x:v>WBS</x:v>
      </x:c>
      <x:c r="C5" s="22" t="str">
        <x:v>Area</x:v>
      </x:c>
      <x:c r="D5" s="22" t="str">
        <x:v>Requirement</x:v>
      </x:c>
      <x:c r="E5" s="22" t="str">
        <x:v>Priority</x:v>
      </x:c>
      <x:c r="F5" s="22" t="str">
        <x:v>Test Level</x:v>
      </x:c>
      <x:c r="G5" s="22" t="str">
        <x:v>Test Case</x:v>
      </x:c>
      <x:c r="H5" s="22" t="str">
        <x:v>Preconditions</x:v>
      </x:c>
      <x:c r="I5" s="22" t="str">
        <x:v>Steps</x:v>
      </x:c>
      <x:c r="J5" s="22" t="str">
        <x:v>Expected Result</x:v>
      </x:c>
      <x:c r="K5" s="22" t="str">
        <x:v>Owner</x:v>
      </x:c>
      <x:c r="L5" s="22" t="str">
        <x:v>Status</x:v>
      </x:c>
      <x:c r="M5" s="22" t="str">
        <x:v>Blocked By</x:v>
      </x:c>
      <x:c r="N5" s="22" t="str">
        <x:v>Actual Result</x:v>
      </x:c>
      <x:c r="O5" s="22" t="str">
        <x:v>Evidence ID</x:v>
      </x:c>
      <x:c r="P5" s="22" t="str">
        <x:v>Defect Ref</x:v>
      </x:c>
      <x:c r="Q5" s="22" t="str">
        <x:v>Automation</x:v>
      </x:c>
      <x:c r="R5" s="22" t="str">
        <x:v>Notes</x:v>
      </x:c>
    </x:row>
    <x:row r="6">
      <x:c r="A6" s="28" t="str">
        <x:v>S4-ENV-01</x:v>
      </x:c>
      <x:c r="B6" s="28" t="str">
        <x:v>7.9</x:v>
      </x:c>
      <x:c r="C6" s="28" t="str">
        <x:v>Environment</x:v>
      </x:c>
      <x:c r="D6" s="28" t="str">
        <x:v>NFR-12</x:v>
      </x:c>
      <x:c r="E6" s="28" t="str">
        <x:v>High</x:v>
      </x:c>
      <x:c r="F6" s="28" t="str">
        <x:v>Integration</x:v>
      </x:c>
      <x:c r="G6" s="28" t="str">
        <x:v>PostgreSQL connectivity</x:v>
      </x:c>
      <x:c r="H6" s="28" t="str">
        <x:v>Local Sprint 4 environment prepared</x:v>
      </x:c>
      <x:c r="I6" s="28" t="str">
        <x:v>Start PostgreSQL and run the approved database connectivity check.</x:v>
      </x:c>
      <x:c r="J6" s="28" t="str">
        <x:v>Backend reaches the configured PostgreSQL database without connection error.</x:v>
      </x:c>
      <x:c r="K6" s="28" t="str">
        <x:v>MD</x:v>
      </x:c>
      <x:c r="L6" s="28" t="str">
        <x:v>Not Run</x:v>
      </x:c>
      <x:c r="M6" s="28" t="str"/>
      <x:c r="N6" s="28" t="str"/>
      <x:c r="O6" s="28" t="str"/>
      <x:c r="P6" s="28" t="str"/>
      <x:c r="Q6" s="28" t="str">
        <x:v>Hybrid</x:v>
      </x:c>
      <x:c r="R6" s="28" t="str"/>
    </x:row>
    <x:row r="7">
      <x:c r="A7" s="28" t="str">
        <x:v>S4-ENV-02</x:v>
      </x:c>
      <x:c r="B7" s="28" t="str">
        <x:v>7.9</x:v>
      </x:c>
      <x:c r="C7" s="28" t="str">
        <x:v>Environment</x:v>
      </x:c>
      <x:c r="D7" s="28" t="str">
        <x:v>NFR-12</x:v>
      </x:c>
      <x:c r="E7" s="28" t="str">
        <x:v>High</x:v>
      </x:c>
      <x:c r="F7" s="28" t="str">
        <x:v>Integration</x:v>
      </x:c>
      <x:c r="G7" s="28" t="str">
        <x:v>Django system check</x:v>
      </x:c>
      <x:c r="H7" s="28" t="str">
        <x:v>Backend environment active</x:v>
      </x:c>
      <x:c r="I7" s="28" t="str">
        <x:v>Run Django system check.</x:v>
      </x:c>
      <x:c r="J7" s="28" t="str">
        <x:v>Django reports no system-check issues.</x:v>
      </x:c>
      <x:c r="K7" s="28" t="str">
        <x:v>MD</x:v>
      </x:c>
      <x:c r="L7" s="28" t="str">
        <x:v>Not Run</x:v>
      </x:c>
      <x:c r="M7" s="28" t="str"/>
      <x:c r="N7" s="28" t="str"/>
      <x:c r="O7" s="28" t="str"/>
      <x:c r="P7" s="28" t="str"/>
      <x:c r="Q7" s="28" t="str">
        <x:v>Automated</x:v>
      </x:c>
      <x:c r="R7" s="28" t="str"/>
    </x:row>
    <x:row r="8">
      <x:c r="A8" s="28" t="str">
        <x:v>S4-ENV-03</x:v>
      </x:c>
      <x:c r="B8" s="28" t="str">
        <x:v>7.9</x:v>
      </x:c>
      <x:c r="C8" s="28" t="str">
        <x:v>Environment</x:v>
      </x:c>
      <x:c r="D8" s="28" t="str">
        <x:v>NFR-12</x:v>
      </x:c>
      <x:c r="E8" s="28" t="str">
        <x:v>High</x:v>
      </x:c>
      <x:c r="F8" s="28" t="str">
        <x:v>Integration</x:v>
      </x:c>
      <x:c r="G8" s="28" t="str">
        <x:v>Migration drift check</x:v>
      </x:c>
      <x:c r="H8" s="28" t="str">
        <x:v>Backend environment active</x:v>
      </x:c>
      <x:c r="I8" s="28" t="str">
        <x:v>Run migration drift check.</x:v>
      </x:c>
      <x:c r="J8" s="28" t="str">
        <x:v>No uncommitted model changes require a new migration.</x:v>
      </x:c>
      <x:c r="K8" s="28" t="str">
        <x:v>MD</x:v>
      </x:c>
      <x:c r="L8" s="28" t="str">
        <x:v>Not Run</x:v>
      </x:c>
      <x:c r="M8" s="28" t="str"/>
      <x:c r="N8" s="28" t="str"/>
      <x:c r="O8" s="28" t="str"/>
      <x:c r="P8" s="28" t="str"/>
      <x:c r="Q8" s="28" t="str">
        <x:v>Automated</x:v>
      </x:c>
      <x:c r="R8" s="28" t="str"/>
    </x:row>
    <x:row r="9">
      <x:c r="A9" s="28" t="str">
        <x:v>S4-ENV-04</x:v>
      </x:c>
      <x:c r="B9" s="28" t="str">
        <x:v>7.9</x:v>
      </x:c>
      <x:c r="C9" s="28" t="str">
        <x:v>Environment</x:v>
      </x:c>
      <x:c r="D9" s="28" t="str">
        <x:v>NFR-12</x:v>
      </x:c>
      <x:c r="E9" s="28" t="str">
        <x:v>High</x:v>
      </x:c>
      <x:c r="F9" s="28" t="str">
        <x:v>Regression</x:v>
      </x:c>
      <x:c r="G9" s="28" t="str">
        <x:v>Full backend automated suite</x:v>
      </x:c>
      <x:c r="H9" s="28" t="str">
        <x:v>All required Sprint 4 predecessors merged</x:v>
      </x:c>
      <x:c r="I9" s="28" t="str">
        <x:v>Run the complete backend test suite.</x:v>
      </x:c>
      <x:c r="J9" s="28" t="str">
        <x:v>Full backend suite passes with no failures or errors.</x:v>
      </x:c>
      <x:c r="K9" s="28" t="str">
        <x:v>MD</x:v>
      </x:c>
      <x:c r="L9" s="28" t="str">
        <x:v>Blocked</x:v>
      </x:c>
      <x:c r="M9" s="28" t="str">
        <x:v>WBS 7.4, 7.6, 7.7, 7.8 integration gate</x:v>
      </x:c>
      <x:c r="N9" s="28" t="str"/>
      <x:c r="O9" s="28" t="str"/>
      <x:c r="P9" s="28" t="str"/>
      <x:c r="Q9" s="28" t="str">
        <x:v>Automated</x:v>
      </x:c>
      <x:c r="R9" s="28" t="str"/>
    </x:row>
    <x:row r="10">
      <x:c r="A10" s="28" t="str">
        <x:v>S4-ENV-05</x:v>
      </x:c>
      <x:c r="B10" s="28" t="str">
        <x:v>7.9</x:v>
      </x:c>
      <x:c r="C10" s="28" t="str">
        <x:v>Environment</x:v>
      </x:c>
      <x:c r="D10" s="28" t="str">
        <x:v>NFR-12</x:v>
      </x:c>
      <x:c r="E10" s="28" t="str">
        <x:v>High</x:v>
      </x:c>
      <x:c r="F10" s="28" t="str">
        <x:v>Frontend</x:v>
      </x:c>
      <x:c r="G10" s="28" t="str">
        <x:v>Frontend lint</x:v>
      </x:c>
      <x:c r="H10" s="28" t="str">
        <x:v>Frontend dependencies installed</x:v>
      </x:c>
      <x:c r="I10" s="28" t="str">
        <x:v>Run npm lint command.</x:v>
      </x:c>
      <x:c r="J10" s="28" t="str">
        <x:v>Lint completes with no errors.</x:v>
      </x:c>
      <x:c r="K10" s="28" t="str">
        <x:v>Joyee</x:v>
      </x:c>
      <x:c r="L10" s="28" t="str">
        <x:v>Not Run</x:v>
      </x:c>
      <x:c r="M10" s="28" t="str"/>
      <x:c r="N10" s="28" t="str"/>
      <x:c r="O10" s="28" t="str"/>
      <x:c r="P10" s="28" t="str"/>
      <x:c r="Q10" s="28" t="str">
        <x:v>Automated</x:v>
      </x:c>
      <x:c r="R10" s="28" t="str"/>
    </x:row>
    <x:row r="11">
      <x:c r="A11" s="28" t="str">
        <x:v>S4-ENV-06</x:v>
      </x:c>
      <x:c r="B11" s="28" t="str">
        <x:v>7.9</x:v>
      </x:c>
      <x:c r="C11" s="28" t="str">
        <x:v>Environment</x:v>
      </x:c>
      <x:c r="D11" s="28" t="str">
        <x:v>NFR-12</x:v>
      </x:c>
      <x:c r="E11" s="28" t="str">
        <x:v>High</x:v>
      </x:c>
      <x:c r="F11" s="28" t="str">
        <x:v>Frontend</x:v>
      </x:c>
      <x:c r="G11" s="28" t="str">
        <x:v>Frontend production build</x:v>
      </x:c>
      <x:c r="H11" s="28" t="str">
        <x:v>Frontend dependencies installed</x:v>
      </x:c>
      <x:c r="I11" s="28" t="str">
        <x:v>Run production build.</x:v>
      </x:c>
      <x:c r="J11" s="28" t="str">
        <x:v>Production build completes successfully.</x:v>
      </x:c>
      <x:c r="K11" s="28" t="str">
        <x:v>Joyee</x:v>
      </x:c>
      <x:c r="L11" s="28" t="str">
        <x:v>Not Run</x:v>
      </x:c>
      <x:c r="M11" s="28" t="str"/>
      <x:c r="N11" s="28" t="str"/>
      <x:c r="O11" s="28" t="str"/>
      <x:c r="P11" s="28" t="str"/>
      <x:c r="Q11" s="28" t="str">
        <x:v>Automated</x:v>
      </x:c>
      <x:c r="R11" s="28" t="str"/>
    </x:row>
    <x:row r="12">
      <x:c r="A12" s="28" t="str">
        <x:v>S4-ENV-07</x:v>
      </x:c>
      <x:c r="B12" s="28" t="str">
        <x:v>7.9</x:v>
      </x:c>
      <x:c r="C12" s="28" t="str">
        <x:v>Environment</x:v>
      </x:c>
      <x:c r="D12" s="28" t="str">
        <x:v>NFR-07</x:v>
      </x:c>
      <x:c r="E12" s="28" t="str">
        <x:v>Medium</x:v>
      </x:c>
      <x:c r="F12" s="28" t="str">
        <x:v>Integration</x:v>
      </x:c>
      <x:c r="G12" s="28" t="str">
        <x:v>Shared branch baseline verification</x:v>
      </x:c>
      <x:c r="H12" s="28" t="str">
        <x:v>All predecessor PRs ready for final integration</x:v>
      </x:c>
      <x:c r="I12" s="28" t="str">
        <x:v>Fetch feature/sprint-4 and compare local and remote heads.</x:v>
      </x:c>
      <x:c r="J12" s="28" t="str">
        <x:v>Local integration baseline matches origin/feature/sprint-4.</x:v>
      </x:c>
      <x:c r="K12" s="28" t="str">
        <x:v>Jerald</x:v>
      </x:c>
      <x:c r="L12" s="28" t="str">
        <x:v>Blocked</x:v>
      </x:c>
      <x:c r="M12" s="28" t="str">
        <x:v>WBS 7.4, 7.6, 7.7, 7.8 integration gate</x:v>
      </x:c>
      <x:c r="N12" s="28" t="str"/>
      <x:c r="O12" s="28" t="str"/>
      <x:c r="P12" s="28" t="str"/>
      <x:c r="Q12" s="28" t="str">
        <x:v>Automated</x:v>
      </x:c>
      <x:c r="R12" s="28" t="str"/>
    </x:row>
    <x:row r="13">
      <x:c r="A13" s="28" t="str">
        <x:v>S4-AUTH-01</x:v>
      </x:c>
      <x:c r="B13" s="28" t="str">
        <x:v>7.9</x:v>
      </x:c>
      <x:c r="C13" s="28" t="str">
        <x:v>Authentication</x:v>
      </x:c>
      <x:c r="D13" s="28" t="str">
        <x:v>FR-01</x:v>
      </x:c>
      <x:c r="E13" s="28" t="str">
        <x:v>High</x:v>
      </x:c>
      <x:c r="F13" s="28" t="str">
        <x:v>Regression</x:v>
      </x:c>
      <x:c r="G13" s="28" t="str">
        <x:v>Login with valid Student credentials</x:v>
      </x:c>
      <x:c r="H13" s="28" t="str">
        <x:v>Valid Student account</x:v>
      </x:c>
      <x:c r="I13" s="28" t="str">
        <x:v>Sign in through the Student login flow.</x:v>
      </x:c>
      <x:c r="J13" s="28" t="str">
        <x:v>Student is authenticated and routed to the protected Student application.</x:v>
      </x:c>
      <x:c r="K13" s="28" t="str">
        <x:v>Joyee</x:v>
      </x:c>
      <x:c r="L13" s="28" t="str">
        <x:v>Not Run</x:v>
      </x:c>
      <x:c r="M13" s="28" t="str"/>
      <x:c r="N13" s="28" t="str"/>
      <x:c r="O13" s="28" t="str"/>
      <x:c r="P13" s="28" t="str"/>
      <x:c r="Q13" s="28" t="str">
        <x:v>Hybrid</x:v>
      </x:c>
      <x:c r="R13" s="28" t="str"/>
    </x:row>
    <x:row r="14">
      <x:c r="A14" s="28" t="str">
        <x:v>S4-AUTH-02</x:v>
      </x:c>
      <x:c r="B14" s="28" t="str">
        <x:v>7.9</x:v>
      </x:c>
      <x:c r="C14" s="28" t="str">
        <x:v>Authentication</x:v>
      </x:c>
      <x:c r="D14" s="28" t="str">
        <x:v>FR-01</x:v>
      </x:c>
      <x:c r="E14" s="28" t="str">
        <x:v>High</x:v>
      </x:c>
      <x:c r="F14" s="28" t="str">
        <x:v>Regression</x:v>
      </x:c>
      <x:c r="G14" s="28" t="str">
        <x:v>Reject invalid Student credentials</x:v>
      </x:c>
      <x:c r="H14" s="28" t="str">
        <x:v>Student account exists</x:v>
      </x:c>
      <x:c r="I14" s="28" t="str">
        <x:v>Submit an invalid password.</x:v>
      </x:c>
      <x:c r="J14" s="28" t="str">
        <x:v>Login is rejected with a controlled validation or authentication message.</x:v>
      </x:c>
      <x:c r="K14" s="28" t="str">
        <x:v>Joyee</x:v>
      </x:c>
      <x:c r="L14" s="28" t="str">
        <x:v>Not Run</x:v>
      </x:c>
      <x:c r="M14" s="28" t="str"/>
      <x:c r="N14" s="28" t="str"/>
      <x:c r="O14" s="28" t="str"/>
      <x:c r="P14" s="28" t="str"/>
      <x:c r="Q14" s="28" t="str">
        <x:v>Hybrid</x:v>
      </x:c>
      <x:c r="R14" s="28" t="str"/>
    </x:row>
    <x:row r="15">
      <x:c r="A15" s="28" t="str">
        <x:v>S4-AUTH-03</x:v>
      </x:c>
      <x:c r="B15" s="28" t="str">
        <x:v>7.9</x:v>
      </x:c>
      <x:c r="C15" s="28" t="str">
        <x:v>Authentication</x:v>
      </x:c>
      <x:c r="D15" s="28" t="str">
        <x:v>FR-01</x:v>
      </x:c>
      <x:c r="E15" s="28" t="str">
        <x:v>High</x:v>
      </x:c>
      <x:c r="F15" s="28" t="str">
        <x:v>Regression</x:v>
      </x:c>
      <x:c r="G15" s="28" t="str">
        <x:v>Protected Student route without authentication</x:v>
      </x:c>
      <x:c r="H15" s="28" t="str">
        <x:v>Signed out browser session</x:v>
      </x:c>
      <x:c r="I15" s="28" t="str">
        <x:v>Navigate directly to a protected Student route.</x:v>
      </x:c>
      <x:c r="J15" s="28" t="str">
        <x:v>Access is blocked and the user is directed to authentication.</x:v>
      </x:c>
      <x:c r="K15" s="28" t="str">
        <x:v>Joyee</x:v>
      </x:c>
      <x:c r="L15" s="28" t="str">
        <x:v>Not Run</x:v>
      </x:c>
      <x:c r="M15" s="28" t="str"/>
      <x:c r="N15" s="28" t="str"/>
      <x:c r="O15" s="28" t="str"/>
      <x:c r="P15" s="28" t="str"/>
      <x:c r="Q15" s="28" t="str">
        <x:v>Hybrid</x:v>
      </x:c>
      <x:c r="R15" s="28" t="str"/>
    </x:row>
    <x:row r="16">
      <x:c r="A16" s="28" t="str">
        <x:v>S4-AUTH-04</x:v>
      </x:c>
      <x:c r="B16" s="28" t="str">
        <x:v>7.9</x:v>
      </x:c>
      <x:c r="C16" s="28" t="str">
        <x:v>Authentication</x:v>
      </x:c>
      <x:c r="D16" s="28" t="str">
        <x:v>NFR-05</x:v>
      </x:c>
      <x:c r="E16" s="28" t="str">
        <x:v>High</x:v>
      </x:c>
      <x:c r="F16" s="28" t="str">
        <x:v>Regression</x:v>
      </x:c>
      <x:c r="G16" s="28" t="str">
        <x:v>JWT-protected API without token</x:v>
      </x:c>
      <x:c r="H16" s="28" t="str">
        <x:v>No access token</x:v>
      </x:c>
      <x:c r="I16" s="28" t="str">
        <x:v>Call a protected Student API.</x:v>
      </x:c>
      <x:c r="J16" s="28" t="str">
        <x:v>API rejects the request with the approved unauthenticated response.</x:v>
      </x:c>
      <x:c r="K16" s="28" t="str">
        <x:v>Jerald</x:v>
      </x:c>
      <x:c r="L16" s="28" t="str">
        <x:v>Not Run</x:v>
      </x:c>
      <x:c r="M16" s="28" t="str"/>
      <x:c r="N16" s="28" t="str"/>
      <x:c r="O16" s="28" t="str"/>
      <x:c r="P16" s="28" t="str"/>
      <x:c r="Q16" s="28" t="str">
        <x:v>Hybrid</x:v>
      </x:c>
      <x:c r="R16" s="28" t="str"/>
    </x:row>
    <x:row r="17">
      <x:c r="A17" s="28" t="str">
        <x:v>S4-AUTH-05</x:v>
      </x:c>
      <x:c r="B17" s="28" t="str">
        <x:v>7.9</x:v>
      </x:c>
      <x:c r="C17" s="28" t="str">
        <x:v>Authentication</x:v>
      </x:c>
      <x:c r="D17" s="28" t="str">
        <x:v>FR-01</x:v>
      </x:c>
      <x:c r="E17" s="28" t="str">
        <x:v>High</x:v>
      </x:c>
      <x:c r="F17" s="28" t="str">
        <x:v>Regression</x:v>
      </x:c>
      <x:c r="G17" s="28" t="str">
        <x:v>Current-user retrieval after login</x:v>
      </x:c>
      <x:c r="H17" s="28" t="str">
        <x:v>Authenticated Student</x:v>
      </x:c>
      <x:c r="I17" s="28" t="str">
        <x:v>Load the current-user/session endpoint or dependent UI state.</x:v>
      </x:c>
      <x:c r="J17" s="28" t="str">
        <x:v>Authenticated Student identity is returned without exposing sensitive fields.</x:v>
      </x:c>
      <x:c r="K17" s="28" t="str">
        <x:v>Jerald</x:v>
      </x:c>
      <x:c r="L17" s="28" t="str">
        <x:v>Not Run</x:v>
      </x:c>
      <x:c r="M17" s="28" t="str"/>
      <x:c r="N17" s="28" t="str"/>
      <x:c r="O17" s="28" t="str"/>
      <x:c r="P17" s="28" t="str"/>
      <x:c r="Q17" s="28" t="str">
        <x:v>Hybrid</x:v>
      </x:c>
      <x:c r="R17" s="28" t="str"/>
    </x:row>
    <x:row r="18">
      <x:c r="A18" s="28" t="str">
        <x:v>S4-PROFILE-01</x:v>
      </x:c>
      <x:c r="B18" s="28" t="str">
        <x:v>7.9</x:v>
      </x:c>
      <x:c r="C18" s="28" t="str">
        <x:v>Student Profile</x:v>
      </x:c>
      <x:c r="D18" s="28" t="str">
        <x:v>FR-02</x:v>
      </x:c>
      <x:c r="E18" s="28" t="str">
        <x:v>High</x:v>
      </x:c>
      <x:c r="F18" s="28" t="str">
        <x:v>Regression</x:v>
      </x:c>
      <x:c r="G18" s="28" t="str">
        <x:v>Load authenticated Student Profile</x:v>
      </x:c>
      <x:c r="H18" s="28" t="str">
        <x:v>Authenticated Student with profile</x:v>
      </x:c>
      <x:c r="I18" s="28" t="str">
        <x:v>Open Student Profile.</x:v>
      </x:c>
      <x:c r="J18" s="28" t="str">
        <x:v>Only the authenticated Student profile loads.</x:v>
      </x:c>
      <x:c r="K18" s="28" t="str">
        <x:v>Joyee</x:v>
      </x:c>
      <x:c r="L18" s="28" t="str">
        <x:v>Not Run</x:v>
      </x:c>
      <x:c r="M18" s="28" t="str"/>
      <x:c r="N18" s="28" t="str"/>
      <x:c r="O18" s="28" t="str"/>
      <x:c r="P18" s="28" t="str"/>
      <x:c r="Q18" s="28" t="str">
        <x:v>Hybrid</x:v>
      </x:c>
      <x:c r="R18" s="28" t="str"/>
    </x:row>
    <x:row r="19">
      <x:c r="A19" s="28" t="str">
        <x:v>S4-PROFILE-02</x:v>
      </x:c>
      <x:c r="B19" s="28" t="str">
        <x:v>7.9</x:v>
      </x:c>
      <x:c r="C19" s="28" t="str">
        <x:v>Student Profile</x:v>
      </x:c>
      <x:c r="D19" s="28" t="str">
        <x:v>FR-02</x:v>
      </x:c>
      <x:c r="E19" s="28" t="str">
        <x:v>High</x:v>
      </x:c>
      <x:c r="F19" s="28" t="str">
        <x:v>Regression</x:v>
      </x:c>
      <x:c r="G19" s="28" t="str">
        <x:v>Update approved Student Profile field</x:v>
      </x:c>
      <x:c r="H19" s="28" t="str">
        <x:v>Authenticated Student</x:v>
      </x:c>
      <x:c r="I19" s="28" t="str">
        <x:v>Change an approved editable profile field and save.</x:v>
      </x:c>
      <x:c r="J19" s="28" t="str">
        <x:v>Update persists and reloads correctly.</x:v>
      </x:c>
      <x:c r="K19" s="28" t="str">
        <x:v>Joyee</x:v>
      </x:c>
      <x:c r="L19" s="28" t="str">
        <x:v>Not Run</x:v>
      </x:c>
      <x:c r="M19" s="28" t="str"/>
      <x:c r="N19" s="28" t="str"/>
      <x:c r="O19" s="28" t="str"/>
      <x:c r="P19" s="28" t="str"/>
      <x:c r="Q19" s="28" t="str">
        <x:v>Hybrid</x:v>
      </x:c>
      <x:c r="R19" s="28" t="str"/>
    </x:row>
    <x:row r="20">
      <x:c r="A20" s="28" t="str">
        <x:v>S4-PROFILE-03</x:v>
      </x:c>
      <x:c r="B20" s="28" t="str">
        <x:v>7.9</x:v>
      </x:c>
      <x:c r="C20" s="28" t="str">
        <x:v>Student Profile</x:v>
      </x:c>
      <x:c r="D20" s="28" t="str">
        <x:v>NFR-06</x:v>
      </x:c>
      <x:c r="E20" s="28" t="str">
        <x:v>High</x:v>
      </x:c>
      <x:c r="F20" s="28" t="str">
        <x:v>Regression</x:v>
      </x:c>
      <x:c r="G20" s="28" t="str">
        <x:v>Reject cross-student profile access</x:v>
      </x:c>
      <x:c r="H20" s="28" t="str">
        <x:v>Two Student accounts</x:v>
      </x:c>
      <x:c r="I20" s="28" t="str">
        <x:v>Attempt to access another Student record through direct API manipulation.</x:v>
      </x:c>
      <x:c r="J20" s="28" t="str">
        <x:v>Backend prevents cross-student access.</x:v>
      </x:c>
      <x:c r="K20" s="28" t="str">
        <x:v>MD</x:v>
      </x:c>
      <x:c r="L20" s="28" t="str">
        <x:v>Not Run</x:v>
      </x:c>
      <x:c r="M20" s="28" t="str"/>
      <x:c r="N20" s="28" t="str"/>
      <x:c r="O20" s="28" t="str"/>
      <x:c r="P20" s="28" t="str"/>
      <x:c r="Q20" s="28" t="str">
        <x:v>Hybrid</x:v>
      </x:c>
      <x:c r="R20" s="28" t="str"/>
    </x:row>
    <x:row r="21">
      <x:c r="A21" s="28" t="str">
        <x:v>S4-PROFILE-04</x:v>
      </x:c>
      <x:c r="B21" s="28" t="str">
        <x:v>7.9</x:v>
      </x:c>
      <x:c r="C21" s="28" t="str">
        <x:v>Student Profile</x:v>
      </x:c>
      <x:c r="D21" s="28" t="str">
        <x:v>FR-02</x:v>
      </x:c>
      <x:c r="E21" s="28" t="str">
        <x:v>High</x:v>
      </x:c>
      <x:c r="F21" s="28" t="str">
        <x:v>Regression</x:v>
      </x:c>
      <x:c r="G21" s="28" t="str">
        <x:v>Profile changes feed downstream career context</x:v>
      </x:c>
      <x:c r="H21" s="28" t="str">
        <x:v>Authenticated Student with editable Skills</x:v>
      </x:c>
      <x:c r="I21" s="28" t="str">
        <x:v>Change an approved Skill then reload a dependent career feature.</x:v>
      </x:c>
      <x:c r="J21" s="28" t="str">
        <x:v>Dependent feature uses the updated authenticated Student context.</x:v>
      </x:c>
      <x:c r="K21" s="28" t="str">
        <x:v>Jerald</x:v>
      </x:c>
      <x:c r="L21" s="28" t="str">
        <x:v>Not Run</x:v>
      </x:c>
      <x:c r="M21" s="28" t="str"/>
      <x:c r="N21" s="28" t="str"/>
      <x:c r="O21" s="28" t="str"/>
      <x:c r="P21" s="28" t="str"/>
      <x:c r="Q21" s="28" t="str">
        <x:v>Hybrid</x:v>
      </x:c>
      <x:c r="R21" s="28" t="str"/>
    </x:row>
    <x:row r="22">
      <x:c r="A22" s="28" t="str">
        <x:v>S4-REC-01</x:v>
      </x:c>
      <x:c r="B22" s="28" t="str">
        <x:v>7.9</x:v>
      </x:c>
      <x:c r="C22" s="28" t="str">
        <x:v>Career Recommendations</x:v>
      </x:c>
      <x:c r="D22" s="28" t="str">
        <x:v>FR-03</x:v>
      </x:c>
      <x:c r="E22" s="28" t="str">
        <x:v>High</x:v>
      </x:c>
      <x:c r="F22" s="28" t="str">
        <x:v>Regression</x:v>
      </x:c>
      <x:c r="G22" s="28" t="str">
        <x:v>Generate ranked Career Recommendations</x:v>
      </x:c>
      <x:c r="H22" s="28" t="str">
        <x:v>Student Profile contains required evidence</x:v>
      </x:c>
      <x:c r="I22" s="28" t="str">
        <x:v>Open Career Recommendations or request recommendations.</x:v>
      </x:c>
      <x:c r="J22" s="28" t="str">
        <x:v>Ranked deterministic recommendations are returned.</x:v>
      </x:c>
      <x:c r="K22" s="28" t="str">
        <x:v>Jerald</x:v>
      </x:c>
      <x:c r="L22" s="28" t="str">
        <x:v>Not Run</x:v>
      </x:c>
      <x:c r="M22" s="28" t="str"/>
      <x:c r="N22" s="28" t="str"/>
      <x:c r="O22" s="28" t="str"/>
      <x:c r="P22" s="28" t="str"/>
      <x:c r="Q22" s="28" t="str">
        <x:v>Hybrid</x:v>
      </x:c>
      <x:c r="R22" s="28" t="str"/>
    </x:row>
    <x:row r="23">
      <x:c r="A23" s="28" t="str">
        <x:v>S4-REC-02</x:v>
      </x:c>
      <x:c r="B23" s="28" t="str">
        <x:v>7.9</x:v>
      </x:c>
      <x:c r="C23" s="28" t="str">
        <x:v>Career Recommendations</x:v>
      </x:c>
      <x:c r="D23" s="28" t="str">
        <x:v>FR-04</x:v>
      </x:c>
      <x:c r="E23" s="28" t="str">
        <x:v>High</x:v>
      </x:c>
      <x:c r="F23" s="28" t="str">
        <x:v>Regression</x:v>
      </x:c>
      <x:c r="G23" s="28" t="str">
        <x:v>Recommendation score is visible</x:v>
      </x:c>
      <x:c r="H23" s="28" t="str">
        <x:v>Recommendation result exists</x:v>
      </x:c>
      <x:c r="I23" s="28" t="str">
        <x:v>Inspect recommendation result.</x:v>
      </x:c>
      <x:c r="J23" s="28" t="str">
        <x:v>Recommendation score is displayed with the result.</x:v>
      </x:c>
      <x:c r="K23" s="28" t="str">
        <x:v>Joyee</x:v>
      </x:c>
      <x:c r="L23" s="28" t="str">
        <x:v>Not Run</x:v>
      </x:c>
      <x:c r="M23" s="28" t="str"/>
      <x:c r="N23" s="28" t="str"/>
      <x:c r="O23" s="28" t="str"/>
      <x:c r="P23" s="28" t="str"/>
      <x:c r="Q23" s="28" t="str">
        <x:v>Hybrid</x:v>
      </x:c>
      <x:c r="R23" s="28" t="str"/>
    </x:row>
    <x:row r="24">
      <x:c r="A24" s="28" t="str">
        <x:v>S4-REC-03</x:v>
      </x:c>
      <x:c r="B24" s="28" t="str">
        <x:v>7.4,7.9</x:v>
      </x:c>
      <x:c r="C24" s="28" t="str">
        <x:v>Career Recommendations</x:v>
      </x:c>
      <x:c r="D24" s="28" t="str">
        <x:v>FR-04</x:v>
      </x:c>
      <x:c r="E24" s="28" t="str">
        <x:v>High</x:v>
      </x:c>
      <x:c r="F24" s="28" t="str">
        <x:v>Regression</x:v>
      </x:c>
      <x:c r="G24" s="28" t="str">
        <x:v>Recommendation explanation is available</x:v>
      </x:c>
      <x:c r="H24" s="28" t="str">
        <x:v>Top recommendation exists and AI provider is available</x:v>
      </x:c>
      <x:c r="I24" s="28" t="str">
        <x:v>Request the approved recommendation explanation.</x:v>
      </x:c>
      <x:c r="J24" s="28" t="str">
        <x:v>Explanation is returned without changing deterministic score or rank.</x:v>
      </x:c>
      <x:c r="K24" s="28" t="str">
        <x:v>Jerald</x:v>
      </x:c>
      <x:c r="L24" s="28" t="str">
        <x:v>Blocked</x:v>
      </x:c>
      <x:c r="M24" s="28" t="str">
        <x:v>WBS 7.4</x:v>
      </x:c>
      <x:c r="N24" s="28" t="str"/>
      <x:c r="O24" s="28" t="str"/>
      <x:c r="P24" s="28" t="str"/>
      <x:c r="Q24" s="28" t="str">
        <x:v>Hybrid</x:v>
      </x:c>
      <x:c r="R24" s="28" t="str"/>
    </x:row>
    <x:row r="25">
      <x:c r="A25" s="28" t="str">
        <x:v>S4-REC-04</x:v>
      </x:c>
      <x:c r="B25" s="28" t="str">
        <x:v>7.9</x:v>
      </x:c>
      <x:c r="C25" s="28" t="str">
        <x:v>Career Recommendations</x:v>
      </x:c>
      <x:c r="D25" s="28" t="str">
        <x:v>NFR-08</x:v>
      </x:c>
      <x:c r="E25" s="28" t="str">
        <x:v>High</x:v>
      </x:c>
      <x:c r="F25" s="28" t="str">
        <x:v>Regression</x:v>
      </x:c>
      <x:c r="G25" s="28" t="str">
        <x:v>Recommendation result repeats for same structured profile</x:v>
      </x:c>
      <x:c r="H25" s="28" t="str">
        <x:v>Profile is unchanged</x:v>
      </x:c>
      <x:c r="I25" s="28" t="str">
        <x:v>Request recommendations twice under the same controlled data.</x:v>
      </x:c>
      <x:c r="J25" s="28" t="str">
        <x:v>Deterministic recommendation order and scores repeat.</x:v>
      </x:c>
      <x:c r="K25" s="28" t="str">
        <x:v>Jerald</x:v>
      </x:c>
      <x:c r="L25" s="28" t="str">
        <x:v>Not Run</x:v>
      </x:c>
      <x:c r="M25" s="28" t="str"/>
      <x:c r="N25" s="28" t="str"/>
      <x:c r="O25" s="28" t="str"/>
      <x:c r="P25" s="28" t="str"/>
      <x:c r="Q25" s="28" t="str">
        <x:v>Hybrid</x:v>
      </x:c>
      <x:c r="R25" s="28" t="str"/>
    </x:row>
    <x:row r="26">
      <x:c r="A26" s="28" t="str">
        <x:v>S4-REC-05</x:v>
      </x:c>
      <x:c r="B26" s="28" t="str">
        <x:v>7.9</x:v>
      </x:c>
      <x:c r="C26" s="28" t="str">
        <x:v>Career Recommendations</x:v>
      </x:c>
      <x:c r="D26" s="28" t="str">
        <x:v>NFR-06</x:v>
      </x:c>
      <x:c r="E26" s="28" t="str">
        <x:v>High</x:v>
      </x:c>
      <x:c r="F26" s="28" t="str">
        <x:v>Regression</x:v>
      </x:c>
      <x:c r="G26" s="28" t="str">
        <x:v>Recommendation data is isolated by Student</x:v>
      </x:c>
      <x:c r="H26" s="28" t="str">
        <x:v>Two Students have different profiles</x:v>
      </x:c>
      <x:c r="I26" s="28" t="str">
        <x:v>Request recommendations for both authenticated accounts.</x:v>
      </x:c>
      <x:c r="J26" s="28" t="str">
        <x:v>Each Student receives results from their own profile context.</x:v>
      </x:c>
      <x:c r="K26" s="28" t="str">
        <x:v>MD</x:v>
      </x:c>
      <x:c r="L26" s="28" t="str">
        <x:v>Not Run</x:v>
      </x:c>
      <x:c r="M26" s="28" t="str"/>
      <x:c r="N26" s="28" t="str"/>
      <x:c r="O26" s="28" t="str"/>
      <x:c r="P26" s="28" t="str"/>
      <x:c r="Q26" s="28" t="str">
        <x:v>Hybrid</x:v>
      </x:c>
      <x:c r="R26" s="28" t="str"/>
    </x:row>
    <x:row r="27">
      <x:c r="A27" s="28" t="str">
        <x:v>S4-REC-06</x:v>
      </x:c>
      <x:c r="B27" s="28" t="str">
        <x:v>7.4,7.9</x:v>
      </x:c>
      <x:c r="C27" s="28" t="str">
        <x:v>Career Recommendations</x:v>
      </x:c>
      <x:c r="D27" s="28" t="str">
        <x:v>FR-18</x:v>
      </x:c>
      <x:c r="E27" s="28" t="str">
        <x:v>High</x:v>
      </x:c>
      <x:c r="F27" s="28" t="str">
        <x:v>Regression</x:v>
      </x:c>
      <x:c r="G27" s="28" t="str">
        <x:v>AI explanation failure preserves deterministic recommendation</x:v>
      </x:c>
      <x:c r="H27" s="28" t="str">
        <x:v>Recommendation result exists</x:v>
      </x:c>
      <x:c r="I27" s="28" t="str">
        <x:v>Simulate or trigger controlled text-provider failure for explanation.</x:v>
      </x:c>
      <x:c r="J27" s="28" t="str">
        <x:v>Deterministic recommendation score and rank remain unchanged.</x:v>
      </x:c>
      <x:c r="K27" s="28" t="str">
        <x:v>Jerald</x:v>
      </x:c>
      <x:c r="L27" s="28" t="str">
        <x:v>Blocked</x:v>
      </x:c>
      <x:c r="M27" s="28" t="str">
        <x:v>WBS 7.4</x:v>
      </x:c>
      <x:c r="N27" s="28" t="str"/>
      <x:c r="O27" s="28" t="str"/>
      <x:c r="P27" s="28" t="str"/>
      <x:c r="Q27" s="28" t="str">
        <x:v>Hybrid</x:v>
      </x:c>
      <x:c r="R27" s="28" t="str"/>
    </x:row>
    <x:row r="28">
      <x:c r="A28" s="28" t="str">
        <x:v>S4-GAP-01</x:v>
      </x:c>
      <x:c r="B28" s="28" t="str">
        <x:v>7.9</x:v>
      </x:c>
      <x:c r="C28" s="28" t="str">
        <x:v>Skill Gap and Readiness</x:v>
      </x:c>
      <x:c r="D28" s="28" t="str">
        <x:v>FR-05</x:v>
      </x:c>
      <x:c r="E28" s="28" t="str">
        <x:v>High</x:v>
      </x:c>
      <x:c r="F28" s="28" t="str">
        <x:v>Regression</x:v>
      </x:c>
      <x:c r="G28" s="28" t="str">
        <x:v>Load Skill Gap for selected Career</x:v>
      </x:c>
      <x:c r="H28" s="28" t="str">
        <x:v>Authenticated Student and valid Career</x:v>
      </x:c>
      <x:c r="I28" s="28" t="str">
        <x:v>Open Skill Gap for the selected Career.</x:v>
      </x:c>
      <x:c r="J28" s="28" t="str">
        <x:v>Matched and missing requirements are shown for the selected Career.</x:v>
      </x:c>
      <x:c r="K28" s="28" t="str">
        <x:v>Joyee</x:v>
      </x:c>
      <x:c r="L28" s="28" t="str">
        <x:v>Not Run</x:v>
      </x:c>
      <x:c r="M28" s="28" t="str"/>
      <x:c r="N28" s="28" t="str"/>
      <x:c r="O28" s="28" t="str"/>
      <x:c r="P28" s="28" t="str"/>
      <x:c r="Q28" s="28" t="str">
        <x:v>Hybrid</x:v>
      </x:c>
      <x:c r="R28" s="28" t="str"/>
    </x:row>
    <x:row r="29">
      <x:c r="A29" s="28" t="str">
        <x:v>S4-GAP-02</x:v>
      </x:c>
      <x:c r="B29" s="28" t="str">
        <x:v>7.9</x:v>
      </x:c>
      <x:c r="C29" s="28" t="str">
        <x:v>Skill Gap and Readiness</x:v>
      </x:c>
      <x:c r="D29" s="28" t="str">
        <x:v>FR-06</x:v>
      </x:c>
      <x:c r="E29" s="28" t="str">
        <x:v>High</x:v>
      </x:c>
      <x:c r="F29" s="28" t="str">
        <x:v>Regression</x:v>
      </x:c>
      <x:c r="G29" s="28" t="str">
        <x:v>Load Career Readiness score</x:v>
      </x:c>
      <x:c r="H29" s="28" t="str">
        <x:v>Authenticated Student and valid Career</x:v>
      </x:c>
      <x:c r="I29" s="28" t="str">
        <x:v>Open readiness for the selected Career.</x:v>
      </x:c>
      <x:c r="J29" s="28" t="str">
        <x:v>Deterministic readiness score and factor details are returned.</x:v>
      </x:c>
      <x:c r="K29" s="28" t="str">
        <x:v>Joyee</x:v>
      </x:c>
      <x:c r="L29" s="28" t="str">
        <x:v>Not Run</x:v>
      </x:c>
      <x:c r="M29" s="28" t="str"/>
      <x:c r="N29" s="28" t="str"/>
      <x:c r="O29" s="28" t="str"/>
      <x:c r="P29" s="28" t="str"/>
      <x:c r="Q29" s="28" t="str">
        <x:v>Hybrid</x:v>
      </x:c>
      <x:c r="R29" s="28" t="str"/>
    </x:row>
    <x:row r="30">
      <x:c r="A30" s="28" t="str">
        <x:v>S4-GAP-03</x:v>
      </x:c>
      <x:c r="B30" s="28" t="str">
        <x:v>7.9</x:v>
      </x:c>
      <x:c r="C30" s="28" t="str">
        <x:v>Skill Gap and Readiness</x:v>
      </x:c>
      <x:c r="D30" s="28" t="str">
        <x:v>NFR-08</x:v>
      </x:c>
      <x:c r="E30" s="28" t="str">
        <x:v>High</x:v>
      </x:c>
      <x:c r="F30" s="28" t="str">
        <x:v>Regression</x:v>
      </x:c>
      <x:c r="G30" s="28" t="str">
        <x:v>Repeat Skill Gap and readiness with unchanged profile</x:v>
      </x:c>
      <x:c r="H30" s="28" t="str">
        <x:v>Profile and Career unchanged</x:v>
      </x:c>
      <x:c r="I30" s="28" t="str">
        <x:v>Run the same Skill Gap and readiness request twice.</x:v>
      </x:c>
      <x:c r="J30" s="28" t="str">
        <x:v>Deterministic results repeat.</x:v>
      </x:c>
      <x:c r="K30" s="28" t="str">
        <x:v>Jerald</x:v>
      </x:c>
      <x:c r="L30" s="28" t="str">
        <x:v>Not Run</x:v>
      </x:c>
      <x:c r="M30" s="28" t="str"/>
      <x:c r="N30" s="28" t="str"/>
      <x:c r="O30" s="28" t="str"/>
      <x:c r="P30" s="28" t="str"/>
      <x:c r="Q30" s="28" t="str">
        <x:v>Hybrid</x:v>
      </x:c>
      <x:c r="R30" s="28" t="str"/>
    </x:row>
    <x:row r="31">
      <x:c r="A31" s="28" t="str">
        <x:v>S4-GAP-04</x:v>
      </x:c>
      <x:c r="B31" s="28" t="str">
        <x:v>7.4,7.9</x:v>
      </x:c>
      <x:c r="C31" s="28" t="str">
        <x:v>Skill Gap and Readiness</x:v>
      </x:c>
      <x:c r="D31" s="28" t="str">
        <x:v>FR-18</x:v>
      </x:c>
      <x:c r="E31" s="28" t="str">
        <x:v>High</x:v>
      </x:c>
      <x:c r="F31" s="28" t="str">
        <x:v>Regression</x:v>
      </x:c>
      <x:c r="G31" s="28" t="str">
        <x:v>Skill Gap AI summary failure preserves deterministic gap</x:v>
      </x:c>
      <x:c r="H31" s="28" t="str">
        <x:v>Skill Gap deterministic result exists</x:v>
      </x:c>
      <x:c r="I31" s="28" t="str">
        <x:v>Simulate controlled text-provider failure for summary.</x:v>
      </x:c>
      <x:c r="J31" s="28" t="str">
        <x:v>Deterministic matched and missing requirements remain unchanged.</x:v>
      </x:c>
      <x:c r="K31" s="28" t="str">
        <x:v>Jerald</x:v>
      </x:c>
      <x:c r="L31" s="28" t="str">
        <x:v>Blocked</x:v>
      </x:c>
      <x:c r="M31" s="28" t="str">
        <x:v>WBS 7.4</x:v>
      </x:c>
      <x:c r="N31" s="28" t="str"/>
      <x:c r="O31" s="28" t="str"/>
      <x:c r="P31" s="28" t="str"/>
      <x:c r="Q31" s="28" t="str">
        <x:v>Hybrid</x:v>
      </x:c>
      <x:c r="R31" s="28" t="str"/>
    </x:row>
    <x:row r="32">
      <x:c r="A32" s="28" t="str">
        <x:v>S4-GAP-05</x:v>
      </x:c>
      <x:c r="B32" s="28" t="str">
        <x:v>7.4,7.9</x:v>
      </x:c>
      <x:c r="C32" s="28" t="str">
        <x:v>Skill Gap and Readiness</x:v>
      </x:c>
      <x:c r="D32" s="28" t="str">
        <x:v>FR-18</x:v>
      </x:c>
      <x:c r="E32" s="28" t="str">
        <x:v>High</x:v>
      </x:c>
      <x:c r="F32" s="28" t="str">
        <x:v>Regression</x:v>
      </x:c>
      <x:c r="G32" s="28" t="str">
        <x:v>Readiness does not depend on text AI provider</x:v>
      </x:c>
      <x:c r="H32" s="28" t="str">
        <x:v>Valid Student and Career</x:v>
      </x:c>
      <x:c r="I32" s="28" t="str">
        <x:v>Disable or simulate unavailable text provider then request readiness.</x:v>
      </x:c>
      <x:c r="J32" s="28" t="str">
        <x:v>Readiness deterministic response remains available.</x:v>
      </x:c>
      <x:c r="K32" s="28" t="str">
        <x:v>Jerald</x:v>
      </x:c>
      <x:c r="L32" s="28" t="str">
        <x:v>Not Run</x:v>
      </x:c>
      <x:c r="M32" s="28" t="str"/>
      <x:c r="N32" s="28" t="str"/>
      <x:c r="O32" s="28" t="str"/>
      <x:c r="P32" s="28" t="str"/>
      <x:c r="Q32" s="28" t="str">
        <x:v>Hybrid</x:v>
      </x:c>
      <x:c r="R32" s="28" t="str"/>
    </x:row>
    <x:row r="33">
      <x:c r="A33" s="28" t="str">
        <x:v>S4-LEARN-01</x:v>
      </x:c>
      <x:c r="B33" s="28" t="str">
        <x:v>7.9</x:v>
      </x:c>
      <x:c r="C33" s="28" t="str">
        <x:v>Learning Suggestions</x:v>
      </x:c>
      <x:c r="D33" s="28" t="str">
        <x:v>FR-11</x:v>
      </x:c>
      <x:c r="E33" s="28" t="str">
        <x:v>Medium</x:v>
      </x:c>
      <x:c r="F33" s="28" t="str">
        <x:v>Regression</x:v>
      </x:c>
      <x:c r="G33" s="28" t="str">
        <x:v>Load ranked Learning Resources</x:v>
      </x:c>
      <x:c r="H33" s="28" t="str">
        <x:v>Authenticated Student and selected Career</x:v>
      </x:c>
      <x:c r="I33" s="28" t="str">
        <x:v>Open Learning Resources.</x:v>
      </x:c>
      <x:c r="J33" s="28" t="str">
        <x:v>Ranked resources load for unresolved skill gaps.</x:v>
      </x:c>
      <x:c r="K33" s="28" t="str">
        <x:v>Joyee</x:v>
      </x:c>
      <x:c r="L33" s="28" t="str">
        <x:v>Not Run</x:v>
      </x:c>
      <x:c r="M33" s="28" t="str"/>
      <x:c r="N33" s="28" t="str"/>
      <x:c r="O33" s="28" t="str"/>
      <x:c r="P33" s="28" t="str"/>
      <x:c r="Q33" s="28" t="str">
        <x:v>Hybrid</x:v>
      </x:c>
      <x:c r="R33" s="28" t="str"/>
    </x:row>
    <x:row r="34">
      <x:c r="A34" s="28" t="str">
        <x:v>S4-LEARN-02</x:v>
      </x:c>
      <x:c r="B34" s="28" t="str">
        <x:v>7.9</x:v>
      </x:c>
      <x:c r="C34" s="28" t="str">
        <x:v>Learning Suggestions</x:v>
      </x:c>
      <x:c r="D34" s="28" t="str">
        <x:v>FR-11</x:v>
      </x:c>
      <x:c r="E34" s="28" t="str">
        <x:v>Medium</x:v>
      </x:c>
      <x:c r="F34" s="28" t="str">
        <x:v>Regression</x:v>
      </x:c>
      <x:c r="G34" s="28" t="str">
        <x:v>Learning Resources match selected Career context</x:v>
      </x:c>
      <x:c r="H34" s="28" t="str">
        <x:v>Multiple Careers available</x:v>
      </x:c>
      <x:c r="I34" s="28" t="str">
        <x:v>Change selected Career and reload resources.</x:v>
      </x:c>
      <x:c r="J34" s="28" t="str">
        <x:v>Resources reflect the active selected Career context.</x:v>
      </x:c>
      <x:c r="K34" s="28" t="str">
        <x:v>Joyee</x:v>
      </x:c>
      <x:c r="L34" s="28" t="str">
        <x:v>Not Run</x:v>
      </x:c>
      <x:c r="M34" s="28" t="str"/>
      <x:c r="N34" s="28" t="str"/>
      <x:c r="O34" s="28" t="str"/>
      <x:c r="P34" s="28" t="str"/>
      <x:c r="Q34" s="28" t="str">
        <x:v>Hybrid</x:v>
      </x:c>
      <x:c r="R34" s="28" t="str"/>
    </x:row>
    <x:row r="35">
      <x:c r="A35" s="28" t="str">
        <x:v>S4-LEARN-03</x:v>
      </x:c>
      <x:c r="B35" s="28" t="str">
        <x:v>7.9</x:v>
      </x:c>
      <x:c r="C35" s="28" t="str">
        <x:v>Learning Suggestions</x:v>
      </x:c>
      <x:c r="D35" s="28" t="str">
        <x:v>FR-11</x:v>
      </x:c>
      <x:c r="E35" s="28" t="str">
        <x:v>Medium</x:v>
      </x:c>
      <x:c r="F35" s="28" t="str">
        <x:v>Regression</x:v>
      </x:c>
      <x:c r="G35" s="28" t="str">
        <x:v>Learning Resource feedback action</x:v>
      </x:c>
      <x:c r="H35" s="28" t="str">
        <x:v>Feedback action is available</x:v>
      </x:c>
      <x:c r="I35" s="28" t="str">
        <x:v>Submit an approved Helpful or Not Useful action.</x:v>
      </x:c>
      <x:c r="J35" s="28" t="str">
        <x:v>Feedback request is handled without breaking the resource list.</x:v>
      </x:c>
      <x:c r="K35" s="28" t="str">
        <x:v>MD</x:v>
      </x:c>
      <x:c r="L35" s="28" t="str">
        <x:v>Not Run</x:v>
      </x:c>
      <x:c r="M35" s="28" t="str"/>
      <x:c r="N35" s="28" t="str"/>
      <x:c r="O35" s="28" t="str"/>
      <x:c r="P35" s="28" t="str"/>
      <x:c r="Q35" s="28" t="str">
        <x:v>Hybrid</x:v>
      </x:c>
      <x:c r="R35" s="28" t="str"/>
    </x:row>
    <x:row r="36">
      <x:c r="A36" s="28" t="str">
        <x:v>S4-LEARN-04</x:v>
      </x:c>
      <x:c r="B36" s="28" t="str">
        <x:v>7.9</x:v>
      </x:c>
      <x:c r="C36" s="28" t="str">
        <x:v>Learning Suggestions</x:v>
      </x:c>
      <x:c r="D36" s="28" t="str">
        <x:v>FR-11</x:v>
      </x:c>
      <x:c r="E36" s="28" t="str">
        <x:v>Medium</x:v>
      </x:c>
      <x:c r="F36" s="28" t="str">
        <x:v>Regression</x:v>
      </x:c>
      <x:c r="G36" s="28" t="str">
        <x:v>Learning Resource issue report action</x:v>
      </x:c>
      <x:c r="H36" s="28" t="str">
        <x:v>Issue-report action is available</x:v>
      </x:c>
      <x:c r="I36" s="28" t="str">
        <x:v>Submit an approved report action.</x:v>
      </x:c>
      <x:c r="J36" s="28" t="str">
        <x:v>Report is handled through the approved backend flow.</x:v>
      </x:c>
      <x:c r="K36" s="28" t="str">
        <x:v>MD</x:v>
      </x:c>
      <x:c r="L36" s="28" t="str">
        <x:v>Not Run</x:v>
      </x:c>
      <x:c r="M36" s="28" t="str"/>
      <x:c r="N36" s="28" t="str"/>
      <x:c r="O36" s="28" t="str"/>
      <x:c r="P36" s="28" t="str"/>
      <x:c r="Q36" s="28" t="str">
        <x:v>Hybrid</x:v>
      </x:c>
      <x:c r="R36" s="28" t="str"/>
    </x:row>
    <x:row r="37">
      <x:c r="A37" s="28" t="str">
        <x:v>S4-ROAD-01</x:v>
      </x:c>
      <x:c r="B37" s="28" t="str">
        <x:v>7.9</x:v>
      </x:c>
      <x:c r="C37" s="28" t="str">
        <x:v>Career Roadmap</x:v>
      </x:c>
      <x:c r="D37" s="28" t="str">
        <x:v>FR-12</x:v>
      </x:c>
      <x:c r="E37" s="28" t="str">
        <x:v>Medium</x:v>
      </x:c>
      <x:c r="F37" s="28" t="str">
        <x:v>Regression</x:v>
      </x:c>
      <x:c r="G37" s="28" t="str">
        <x:v>Load Career Roadmap</x:v>
      </x:c>
      <x:c r="H37" s="28" t="str">
        <x:v>Authenticated Student and selected Career</x:v>
      </x:c>
      <x:c r="I37" s="28" t="str">
        <x:v>Open Career Roadmap.</x:v>
      </x:c>
      <x:c r="J37" s="28" t="str">
        <x:v>Ordered roadmap steps load for the selected Career.</x:v>
      </x:c>
      <x:c r="K37" s="28" t="str">
        <x:v>Joyee</x:v>
      </x:c>
      <x:c r="L37" s="28" t="str">
        <x:v>Not Run</x:v>
      </x:c>
      <x:c r="M37" s="28" t="str"/>
      <x:c r="N37" s="28" t="str"/>
      <x:c r="O37" s="28" t="str"/>
      <x:c r="P37" s="28" t="str"/>
      <x:c r="Q37" s="28" t="str">
        <x:v>Hybrid</x:v>
      </x:c>
      <x:c r="R37" s="28" t="str"/>
    </x:row>
    <x:row r="38">
      <x:c r="A38" s="28" t="str">
        <x:v>S4-ROAD-02</x:v>
      </x:c>
      <x:c r="B38" s="28" t="str">
        <x:v>7.9</x:v>
      </x:c>
      <x:c r="C38" s="28" t="str">
        <x:v>Career Roadmap</x:v>
      </x:c>
      <x:c r="D38" s="28" t="str">
        <x:v>FR-12</x:v>
      </x:c>
      <x:c r="E38" s="28" t="str">
        <x:v>Medium</x:v>
      </x:c>
      <x:c r="F38" s="28" t="str">
        <x:v>Regression</x:v>
      </x:c>
      <x:c r="G38" s="28" t="str">
        <x:v>Start roadmap step</x:v>
      </x:c>
      <x:c r="H38" s="28" t="str">
        <x:v>Roadmap step is available</x:v>
      </x:c>
      <x:c r="I38" s="28" t="str">
        <x:v>Start an eligible roadmap step.</x:v>
      </x:c>
      <x:c r="J38" s="28" t="str">
        <x:v>Progress state updates for the authenticated Student.</x:v>
      </x:c>
      <x:c r="K38" s="28" t="str">
        <x:v>MD</x:v>
      </x:c>
      <x:c r="L38" s="28" t="str">
        <x:v>Not Run</x:v>
      </x:c>
      <x:c r="M38" s="28" t="str"/>
      <x:c r="N38" s="28" t="str"/>
      <x:c r="O38" s="28" t="str"/>
      <x:c r="P38" s="28" t="str"/>
      <x:c r="Q38" s="28" t="str">
        <x:v>Hybrid</x:v>
      </x:c>
      <x:c r="R38" s="28" t="str"/>
    </x:row>
    <x:row r="39">
      <x:c r="A39" s="28" t="str">
        <x:v>S4-ROAD-03</x:v>
      </x:c>
      <x:c r="B39" s="28" t="str">
        <x:v>7.9</x:v>
      </x:c>
      <x:c r="C39" s="28" t="str">
        <x:v>Career Roadmap</x:v>
      </x:c>
      <x:c r="D39" s="28" t="str">
        <x:v>FR-12</x:v>
      </x:c>
      <x:c r="E39" s="28" t="str">
        <x:v>Medium</x:v>
      </x:c>
      <x:c r="F39" s="28" t="str">
        <x:v>Regression</x:v>
      </x:c>
      <x:c r="G39" s="28" t="str">
        <x:v>Mark roadmap step complete</x:v>
      </x:c>
      <x:c r="H39" s="28" t="str">
        <x:v>Started roadmap step exists</x:v>
      </x:c>
      <x:c r="I39" s="28" t="str">
        <x:v>Mark the step complete.</x:v>
      </x:c>
      <x:c r="J39" s="28" t="str">
        <x:v>Completion persists and progress updates.</x:v>
      </x:c>
      <x:c r="K39" s="28" t="str">
        <x:v>MD</x:v>
      </x:c>
      <x:c r="L39" s="28" t="str">
        <x:v>Not Run</x:v>
      </x:c>
      <x:c r="M39" s="28" t="str"/>
      <x:c r="N39" s="28" t="str"/>
      <x:c r="O39" s="28" t="str"/>
      <x:c r="P39" s="28" t="str"/>
      <x:c r="Q39" s="28" t="str">
        <x:v>Hybrid</x:v>
      </x:c>
      <x:c r="R39" s="28" t="str"/>
    </x:row>
    <x:row r="40">
      <x:c r="A40" s="28" t="str">
        <x:v>S4-ROAD-04</x:v>
      </x:c>
      <x:c r="B40" s="28" t="str">
        <x:v>7.9</x:v>
      </x:c>
      <x:c r="C40" s="28" t="str">
        <x:v>Career Roadmap</x:v>
      </x:c>
      <x:c r="D40" s="28" t="str">
        <x:v>NFR-06</x:v>
      </x:c>
      <x:c r="E40" s="28" t="str">
        <x:v>Medium</x:v>
      </x:c>
      <x:c r="F40" s="28" t="str">
        <x:v>Regression</x:v>
      </x:c>
      <x:c r="G40" s="28" t="str">
        <x:v>Roadmap guidance remains Student-owned</x:v>
      </x:c>
      <x:c r="H40" s="28" t="str">
        <x:v>Two Students have roadmap data</x:v>
      </x:c>
      <x:c r="I40" s="28" t="str">
        <x:v>Attempt cross-student roadmap access.</x:v>
      </x:c>
      <x:c r="J40" s="28" t="str">
        <x:v>Backend prevents cross-student access.</x:v>
      </x:c>
      <x:c r="K40" s="28" t="str">
        <x:v>MD</x:v>
      </x:c>
      <x:c r="L40" s="28" t="str">
        <x:v>Not Run</x:v>
      </x:c>
      <x:c r="M40" s="28" t="str"/>
      <x:c r="N40" s="28" t="str"/>
      <x:c r="O40" s="28" t="str"/>
      <x:c r="P40" s="28" t="str"/>
      <x:c r="Q40" s="28" t="str">
        <x:v>Hybrid</x:v>
      </x:c>
      <x:c r="R40" s="28" t="str"/>
    </x:row>
    <x:row r="41">
      <x:c r="A41" s="28" t="str">
        <x:v>S4-JOB-01</x:v>
      </x:c>
      <x:c r="B41" s="28" t="str">
        <x:v>7.5,7.9</x:v>
      </x:c>
      <x:c r="C41" s="28" t="str">
        <x:v>Job Matching</x:v>
      </x:c>
      <x:c r="D41" s="28" t="str">
        <x:v>FR-07</x:v>
      </x:c>
      <x:c r="E41" s="28" t="str">
        <x:v>High</x:v>
      </x:c>
      <x:c r="F41" s="28" t="str">
        <x:v>Integration</x:v>
      </x:c>
      <x:c r="G41" s="28" t="str">
        <x:v>Open protected Job Matching page</x:v>
      </x:c>
      <x:c r="H41" s="28" t="str">
        <x:v>Authenticated Student</x:v>
      </x:c>
      <x:c r="I41" s="28" t="str">
        <x:v>Navigate to Job Matching.</x:v>
      </x:c>
      <x:c r="J41" s="28" t="str">
        <x:v>Job Matching page loads for the authenticated Student.</x:v>
      </x:c>
      <x:c r="K41" s="28" t="str">
        <x:v>Joyee</x:v>
      </x:c>
      <x:c r="L41" s="28" t="str">
        <x:v>Not Run</x:v>
      </x:c>
      <x:c r="M41" s="28" t="str"/>
      <x:c r="N41" s="28" t="str"/>
      <x:c r="O41" s="28" t="str"/>
      <x:c r="P41" s="28" t="str"/>
      <x:c r="Q41" s="28" t="str">
        <x:v>Hybrid</x:v>
      </x:c>
      <x:c r="R41" s="28" t="str"/>
    </x:row>
    <x:row r="42">
      <x:c r="A42" s="28" t="str">
        <x:v>S4-JOB-02</x:v>
      </x:c>
      <x:c r="B42" s="28" t="str">
        <x:v>7.2,7.5,7.9</x:v>
      </x:c>
      <x:c r="C42" s="28" t="str">
        <x:v>Job Matching</x:v>
      </x:c>
      <x:c r="D42" s="28" t="str">
        <x:v>FR-07</x:v>
      </x:c>
      <x:c r="E42" s="28" t="str">
        <x:v>High</x:v>
      </x:c>
      <x:c r="F42" s="28" t="str">
        <x:v>Integration</x:v>
      </x:c>
      <x:c r="G42" s="28" t="str">
        <x:v>Submit valid job description</x:v>
      </x:c>
      <x:c r="H42" s="28" t="str">
        <x:v>Authenticated Student with Skills</x:v>
      </x:c>
      <x:c r="I42" s="28" t="str">
        <x:v>Paste a valid job description and submit.</x:v>
      </x:c>
      <x:c r="J42" s="28" t="str">
        <x:v>Structured matched and missing requirement result is displayed.</x:v>
      </x:c>
      <x:c r="K42" s="28" t="str">
        <x:v>Jerald</x:v>
      </x:c>
      <x:c r="L42" s="28" t="str">
        <x:v>Not Run</x:v>
      </x:c>
      <x:c r="M42" s="28" t="str"/>
      <x:c r="N42" s="28" t="str"/>
      <x:c r="O42" s="28" t="str"/>
      <x:c r="P42" s="28" t="str"/>
      <x:c r="Q42" s="28" t="str">
        <x:v>Hybrid</x:v>
      </x:c>
      <x:c r="R42" s="28" t="str"/>
    </x:row>
    <x:row r="43">
      <x:c r="A43" s="28" t="str">
        <x:v>S4-JOB-03</x:v>
      </x:c>
      <x:c r="B43" s="28" t="str">
        <x:v>7.2,7.5,7.9</x:v>
      </x:c>
      <x:c r="C43" s="28" t="str">
        <x:v>Job Matching</x:v>
      </x:c>
      <x:c r="D43" s="28" t="str">
        <x:v>FR-07</x:v>
      </x:c>
      <x:c r="E43" s="28" t="str">
        <x:v>High</x:v>
      </x:c>
      <x:c r="F43" s="28" t="str">
        <x:v>Integration</x:v>
      </x:c>
      <x:c r="G43" s="28" t="str">
        <x:v>Reject blank job description</x:v>
      </x:c>
      <x:c r="H43" s="28" t="str">
        <x:v>Authenticated Student</x:v>
      </x:c>
      <x:c r="I43" s="28" t="str">
        <x:v>Submit blank job-description input.</x:v>
      </x:c>
      <x:c r="J43" s="28" t="str">
        <x:v>Validation prevents the request or API rejects the blank value.</x:v>
      </x:c>
      <x:c r="K43" s="28" t="str">
        <x:v>Jerald</x:v>
      </x:c>
      <x:c r="L43" s="28" t="str">
        <x:v>Not Run</x:v>
      </x:c>
      <x:c r="M43" s="28" t="str"/>
      <x:c r="N43" s="28" t="str"/>
      <x:c r="O43" s="28" t="str"/>
      <x:c r="P43" s="28" t="str"/>
      <x:c r="Q43" s="28" t="str">
        <x:v>Hybrid</x:v>
      </x:c>
      <x:c r="R43" s="28" t="str"/>
    </x:row>
    <x:row r="44">
      <x:c r="A44" s="28" t="str">
        <x:v>S4-JOB-04</x:v>
      </x:c>
      <x:c r="B44" s="28" t="str">
        <x:v>7.2,7.5,7.9</x:v>
      </x:c>
      <x:c r="C44" s="28" t="str">
        <x:v>Job Matching</x:v>
      </x:c>
      <x:c r="D44" s="28" t="str">
        <x:v>FR-07</x:v>
      </x:c>
      <x:c r="E44" s="28" t="str">
        <x:v>High</x:v>
      </x:c>
      <x:c r="F44" s="28" t="str">
        <x:v>Integration</x:v>
      </x:c>
      <x:c r="G44" s="28" t="str">
        <x:v>Reject oversized job description</x:v>
      </x:c>
      <x:c r="H44" s="28" t="str">
        <x:v>Authenticated Student</x:v>
      </x:c>
      <x:c r="I44" s="28" t="str">
        <x:v>Submit text above the approved 20,000-character limit.</x:v>
      </x:c>
      <x:c r="J44" s="28" t="str">
        <x:v>Oversized input is rejected with controlled validation.</x:v>
      </x:c>
      <x:c r="K44" s="28" t="str">
        <x:v>Jerald</x:v>
      </x:c>
      <x:c r="L44" s="28" t="str">
        <x:v>Not Run</x:v>
      </x:c>
      <x:c r="M44" s="28" t="str"/>
      <x:c r="N44" s="28" t="str"/>
      <x:c r="O44" s="28" t="str"/>
      <x:c r="P44" s="28" t="str"/>
      <x:c r="Q44" s="28" t="str">
        <x:v>Hybrid</x:v>
      </x:c>
      <x:c r="R44" s="28" t="str"/>
    </x:row>
    <x:row r="45">
      <x:c r="A45" s="28" t="str">
        <x:v>S4-JOB-05</x:v>
      </x:c>
      <x:c r="B45" s="28" t="str">
        <x:v>7.2,7.5,7.9</x:v>
      </x:c>
      <x:c r="C45" s="28" t="str">
        <x:v>Job Matching</x:v>
      </x:c>
      <x:c r="D45" s="28" t="str">
        <x:v>FR-07</x:v>
      </x:c>
      <x:c r="E45" s="28" t="str">
        <x:v>High</x:v>
      </x:c>
      <x:c r="F45" s="28" t="str">
        <x:v>Integration</x:v>
      </x:c>
      <x:c r="G45" s="28" t="str">
        <x:v>Display matched requirements</x:v>
      </x:c>
      <x:c r="H45" s="28" t="str">
        <x:v>Job description contains known Student Skills</x:v>
      </x:c>
      <x:c r="I45" s="28" t="str">
        <x:v>Submit job description.</x:v>
      </x:c>
      <x:c r="J45" s="28" t="str">
        <x:v>Known requirements appear in the matched section.</x:v>
      </x:c>
      <x:c r="K45" s="28" t="str">
        <x:v>Joyee</x:v>
      </x:c>
      <x:c r="L45" s="28" t="str">
        <x:v>Not Run</x:v>
      </x:c>
      <x:c r="M45" s="28" t="str"/>
      <x:c r="N45" s="28" t="str"/>
      <x:c r="O45" s="28" t="str"/>
      <x:c r="P45" s="28" t="str"/>
      <x:c r="Q45" s="28" t="str">
        <x:v>Hybrid</x:v>
      </x:c>
      <x:c r="R45" s="28" t="str"/>
    </x:row>
    <x:row r="46">
      <x:c r="A46" s="28" t="str">
        <x:v>S4-JOB-06</x:v>
      </x:c>
      <x:c r="B46" s="28" t="str">
        <x:v>7.2,7.5,7.9</x:v>
      </x:c>
      <x:c r="C46" s="28" t="str">
        <x:v>Job Matching</x:v>
      </x:c>
      <x:c r="D46" s="28" t="str">
        <x:v>FR-07</x:v>
      </x:c>
      <x:c r="E46" s="28" t="str">
        <x:v>High</x:v>
      </x:c>
      <x:c r="F46" s="28" t="str">
        <x:v>Integration</x:v>
      </x:c>
      <x:c r="G46" s="28" t="str">
        <x:v>Display missing requirements</x:v>
      </x:c>
      <x:c r="H46" s="28" t="str">
        <x:v>Job description contains recognised Skills absent from profile</x:v>
      </x:c>
      <x:c r="I46" s="28" t="str">
        <x:v>Submit job description.</x:v>
      </x:c>
      <x:c r="J46" s="28" t="str">
        <x:v>Recognised absent requirements appear in the missing section.</x:v>
      </x:c>
      <x:c r="K46" s="28" t="str">
        <x:v>Joyee</x:v>
      </x:c>
      <x:c r="L46" s="28" t="str">
        <x:v>Not Run</x:v>
      </x:c>
      <x:c r="M46" s="28" t="str"/>
      <x:c r="N46" s="28" t="str"/>
      <x:c r="O46" s="28" t="str"/>
      <x:c r="P46" s="28" t="str"/>
      <x:c r="Q46" s="28" t="str">
        <x:v>Hybrid</x:v>
      </x:c>
      <x:c r="R46" s="28" t="str"/>
    </x:row>
    <x:row r="47">
      <x:c r="A47" s="28" t="str">
        <x:v>S4-JOB-07</x:v>
      </x:c>
      <x:c r="B47" s="28" t="str">
        <x:v>7.2,7.9</x:v>
      </x:c>
      <x:c r="C47" s="28" t="str">
        <x:v>Job Matching</x:v>
      </x:c>
      <x:c r="D47" s="28" t="str">
        <x:v>FR-07</x:v>
      </x:c>
      <x:c r="E47" s="28" t="str">
        <x:v>High</x:v>
      </x:c>
      <x:c r="F47" s="28" t="str">
        <x:v>Integration</x:v>
      </x:c>
      <x:c r="G47" s="28" t="str">
        <x:v>Canonical skill matching</x:v>
      </x:c>
      <x:c r="H47" s="28" t="str">
        <x:v>Canonical Skill name appears in job description</x:v>
      </x:c>
      <x:c r="I47" s="28" t="str">
        <x:v>Submit job description.</x:v>
      </x:c>
      <x:c r="J47" s="28" t="str">
        <x:v>Canonical Skill is recognised correctly.</x:v>
      </x:c>
      <x:c r="K47" s="28" t="str">
        <x:v>Jerald</x:v>
      </x:c>
      <x:c r="L47" s="28" t="str">
        <x:v>Not Run</x:v>
      </x:c>
      <x:c r="M47" s="28" t="str"/>
      <x:c r="N47" s="28" t="str"/>
      <x:c r="O47" s="28" t="str"/>
      <x:c r="P47" s="28" t="str"/>
      <x:c r="Q47" s="28" t="str">
        <x:v>Hybrid</x:v>
      </x:c>
      <x:c r="R47" s="28" t="str"/>
    </x:row>
    <x:row r="48">
      <x:c r="A48" s="28" t="str">
        <x:v>S4-JOB-08</x:v>
      </x:c>
      <x:c r="B48" s="28" t="str">
        <x:v>7.2,7.9</x:v>
      </x:c>
      <x:c r="C48" s="28" t="str">
        <x:v>Job Matching</x:v>
      </x:c>
      <x:c r="D48" s="28" t="str">
        <x:v>FR-07</x:v>
      </x:c>
      <x:c r="E48" s="28" t="str">
        <x:v>High</x:v>
      </x:c>
      <x:c r="F48" s="28" t="str">
        <x:v>Integration</x:v>
      </x:c>
      <x:c r="G48" s="28" t="str">
        <x:v>Skill alias matching</x:v>
      </x:c>
      <x:c r="H48" s="28" t="str">
        <x:v>Approved SkillAlias appears in job description</x:v>
      </x:c>
      <x:c r="I48" s="28" t="str">
        <x:v>Submit job description.</x:v>
      </x:c>
      <x:c r="J48" s="28" t="str">
        <x:v>Alias resolves to the canonical Skill.</x:v>
      </x:c>
      <x:c r="K48" s="28" t="str">
        <x:v>Jerald</x:v>
      </x:c>
      <x:c r="L48" s="28" t="str">
        <x:v>Not Run</x:v>
      </x:c>
      <x:c r="M48" s="28" t="str"/>
      <x:c r="N48" s="28" t="str"/>
      <x:c r="O48" s="28" t="str"/>
      <x:c r="P48" s="28" t="str"/>
      <x:c r="Q48" s="28" t="str">
        <x:v>Hybrid</x:v>
      </x:c>
      <x:c r="R48" s="28" t="str"/>
    </x:row>
    <x:row r="49">
      <x:c r="A49" s="28" t="str">
        <x:v>S4-JOB-09</x:v>
      </x:c>
      <x:c r="B49" s="28" t="str">
        <x:v>7.2,7.9</x:v>
      </x:c>
      <x:c r="C49" s="28" t="str">
        <x:v>Job Matching</x:v>
      </x:c>
      <x:c r="D49" s="28" t="str">
        <x:v>FR-07</x:v>
      </x:c>
      <x:c r="E49" s="28" t="str">
        <x:v>High</x:v>
      </x:c>
      <x:c r="F49" s="28" t="str">
        <x:v>Integration</x:v>
      </x:c>
      <x:c r="G49" s="28" t="str">
        <x:v>Avoid unsupported synonym guessing</x:v>
      </x:c>
      <x:c r="H49" s="28" t="str">
        <x:v>Job description uses unsupported related wording</x:v>
      </x:c>
      <x:c r="I49" s="28" t="str">
        <x:v>Submit job description.</x:v>
      </x:c>
      <x:c r="J49" s="28" t="str">
        <x:v>Unsupported wording is not silently mapped to a different Skill.</x:v>
      </x:c>
      <x:c r="K49" s="28" t="str">
        <x:v>Jerald</x:v>
      </x:c>
      <x:c r="L49" s="28" t="str">
        <x:v>Not Run</x:v>
      </x:c>
      <x:c r="M49" s="28" t="str"/>
      <x:c r="N49" s="28" t="str"/>
      <x:c r="O49" s="28" t="str"/>
      <x:c r="P49" s="28" t="str"/>
      <x:c r="Q49" s="28" t="str">
        <x:v>Hybrid</x:v>
      </x:c>
      <x:c r="R49" s="28" t="str"/>
    </x:row>
    <x:row r="50">
      <x:c r="A50" s="28" t="str">
        <x:v>S4-JOB-10</x:v>
      </x:c>
      <x:c r="B50" s="28" t="str">
        <x:v>7.2,7.9</x:v>
      </x:c>
      <x:c r="C50" s="28" t="str">
        <x:v>Job Matching</x:v>
      </x:c>
      <x:c r="D50" s="28" t="str">
        <x:v>FR-07</x:v>
      </x:c>
      <x:c r="E50" s="28" t="str">
        <x:v>High</x:v>
      </x:c>
      <x:c r="F50" s="28" t="str">
        <x:v>Integration</x:v>
      </x:c>
      <x:c r="G50" s="28" t="str">
        <x:v>Avoid generic Design false positive</x:v>
      </x:c>
      <x:c r="H50" s="28" t="str">
        <x:v>Job description contains generic design wording without approved context</x:v>
      </x:c>
      <x:c r="I50" s="28" t="str">
        <x:v>Submit job description.</x:v>
      </x:c>
      <x:c r="J50" s="28" t="str">
        <x:v>Generic wording does not incorrectly map to the canonical Design concept.</x:v>
      </x:c>
      <x:c r="K50" s="28" t="str">
        <x:v>Jerald</x:v>
      </x:c>
      <x:c r="L50" s="28" t="str">
        <x:v>Not Run</x:v>
      </x:c>
      <x:c r="M50" s="28" t="str"/>
      <x:c r="N50" s="28" t="str"/>
      <x:c r="O50" s="28" t="str"/>
      <x:c r="P50" s="28" t="str"/>
      <x:c r="Q50" s="28" t="str">
        <x:v>Hybrid</x:v>
      </x:c>
      <x:c r="R50" s="28" t="str"/>
    </x:row>
    <x:row r="51">
      <x:c r="A51" s="28" t="str">
        <x:v>S4-JOB-11</x:v>
      </x:c>
      <x:c r="B51" s="28" t="str">
        <x:v>7.2,7.9</x:v>
      </x:c>
      <x:c r="C51" s="28" t="str">
        <x:v>Job Matching</x:v>
      </x:c>
      <x:c r="D51" s="28" t="str">
        <x:v>FR-07</x:v>
      </x:c>
      <x:c r="E51" s="28" t="str">
        <x:v>High</x:v>
      </x:c>
      <x:c r="F51" s="28" t="str">
        <x:v>Integration</x:v>
      </x:c>
      <x:c r="G51" s="28" t="str">
        <x:v>Do not expose suitability score</x:v>
      </x:c>
      <x:c r="H51" s="28" t="str">
        <x:v>Valid job match result exists</x:v>
      </x:c>
      <x:c r="I51" s="28" t="str">
        <x:v>Inspect result UI and API response.</x:v>
      </x:c>
      <x:c r="J51" s="28" t="str">
        <x:v>No hiring probability or employment suitability score is presented.</x:v>
      </x:c>
      <x:c r="K51" s="28" t="str">
        <x:v>Jerald</x:v>
      </x:c>
      <x:c r="L51" s="28" t="str">
        <x:v>Not Run</x:v>
      </x:c>
      <x:c r="M51" s="28" t="str"/>
      <x:c r="N51" s="28" t="str"/>
      <x:c r="O51" s="28" t="str"/>
      <x:c r="P51" s="28" t="str"/>
      <x:c r="Q51" s="28" t="str">
        <x:v>Hybrid</x:v>
      </x:c>
      <x:c r="R51" s="28" t="str"/>
    </x:row>
    <x:row r="52">
      <x:c r="A52" s="28" t="str">
        <x:v>S4-JOB-12</x:v>
      </x:c>
      <x:c r="B52" s="28" t="str">
        <x:v>7.2,7.9</x:v>
      </x:c>
      <x:c r="C52" s="28" t="str">
        <x:v>Job Matching</x:v>
      </x:c>
      <x:c r="D52" s="28" t="str">
        <x:v>FR-07</x:v>
      </x:c>
      <x:c r="E52" s="28" t="str">
        <x:v>High</x:v>
      </x:c>
      <x:c r="F52" s="28" t="str">
        <x:v>Integration</x:v>
      </x:c>
      <x:c r="G52" s="28" t="str">
        <x:v>Reject client ownership override</x:v>
      </x:c>
      <x:c r="H52" s="28" t="str">
        <x:v>Authenticated Student</x:v>
      </x:c>
      <x:c r="I52" s="28" t="str">
        <x:v>Add unsupported ownership identifiers to the request.</x:v>
      </x:c>
      <x:c r="J52" s="28" t="str">
        <x:v>Request is rejected or ownership fields are ignored according to the approved contract.</x:v>
      </x:c>
      <x:c r="K52" s="28" t="str">
        <x:v>Jerald</x:v>
      </x:c>
      <x:c r="L52" s="28" t="str">
        <x:v>Not Run</x:v>
      </x:c>
      <x:c r="M52" s="28" t="str"/>
      <x:c r="N52" s="28" t="str"/>
      <x:c r="O52" s="28" t="str"/>
      <x:c r="P52" s="28" t="str"/>
      <x:c r="Q52" s="28" t="str">
        <x:v>Hybrid</x:v>
      </x:c>
      <x:c r="R52" s="28" t="str"/>
    </x:row>
    <x:row r="53">
      <x:c r="A53" s="28" t="str">
        <x:v>S4-JOB-13</x:v>
      </x:c>
      <x:c r="B53" s="28" t="str">
        <x:v>7.2,7.9</x:v>
      </x:c>
      <x:c r="C53" s="28" t="str">
        <x:v>Job Matching</x:v>
      </x:c>
      <x:c r="D53" s="28" t="str">
        <x:v>FR-07</x:v>
      </x:c>
      <x:c r="E53" s="28" t="str">
        <x:v>High</x:v>
      </x:c>
      <x:c r="F53" s="28" t="str">
        <x:v>Integration</x:v>
      </x:c>
      <x:c r="G53" s="28" t="str">
        <x:v>Job Matching is stateless for profile</x:v>
      </x:c>
      <x:c r="H53" s="28" t="str">
        <x:v>Valid job description</x:v>
      </x:c>
      <x:c r="I53" s="28" t="str">
        <x:v>Run job match then reload Student Profile.</x:v>
      </x:c>
      <x:c r="J53" s="28" t="str">
        <x:v>Student Profile is not mutated by the job-match operation.</x:v>
      </x:c>
      <x:c r="K53" s="28" t="str">
        <x:v>Jerald</x:v>
      </x:c>
      <x:c r="L53" s="28" t="str">
        <x:v>Not Run</x:v>
      </x:c>
      <x:c r="M53" s="28" t="str"/>
      <x:c r="N53" s="28" t="str"/>
      <x:c r="O53" s="28" t="str"/>
      <x:c r="P53" s="28" t="str"/>
      <x:c r="Q53" s="28" t="str">
        <x:v>Hybrid</x:v>
      </x:c>
      <x:c r="R53" s="28" t="str"/>
    </x:row>
    <x:row r="54">
      <x:c r="A54" s="28" t="str">
        <x:v>S4-JOB-14</x:v>
      </x:c>
      <x:c r="B54" s="28" t="str">
        <x:v>7.5,7.9</x:v>
      </x:c>
      <x:c r="C54" s="28" t="str">
        <x:v>Job Matching</x:v>
      </x:c>
      <x:c r="D54" s="28" t="str">
        <x:v>FR-07</x:v>
      </x:c>
      <x:c r="E54" s="28" t="str">
        <x:v>High</x:v>
      </x:c>
      <x:c r="F54" s="28" t="str">
        <x:v>Integration</x:v>
      </x:c>
      <x:c r="G54" s="28" t="str">
        <x:v>Handoff job description to Resume Builder</x:v>
      </x:c>
      <x:c r="H54" s="28" t="str">
        <x:v>Job Matching result exists</x:v>
      </x:c>
      <x:c r="I54" s="28" t="str">
        <x:v>Use Resume Builder next-step action.</x:v>
      </x:c>
      <x:c r="J54" s="28" t="str">
        <x:v>Resume Builder receives the current job description context where supported.</x:v>
      </x:c>
      <x:c r="K54" s="28" t="str">
        <x:v>Joyee</x:v>
      </x:c>
      <x:c r="L54" s="28" t="str">
        <x:v>Not Run</x:v>
      </x:c>
      <x:c r="M54" s="28" t="str"/>
      <x:c r="N54" s="28" t="str"/>
      <x:c r="O54" s="28" t="str"/>
      <x:c r="P54" s="28" t="str"/>
      <x:c r="Q54" s="28" t="str">
        <x:v>Hybrid</x:v>
      </x:c>
      <x:c r="R54" s="28" t="str"/>
    </x:row>
    <x:row r="55">
      <x:c r="A55" s="28" t="str">
        <x:v>S4-JOB-15</x:v>
      </x:c>
      <x:c r="B55" s="28" t="str">
        <x:v>7.5,7.9</x:v>
      </x:c>
      <x:c r="C55" s="28" t="str">
        <x:v>Job Matching</x:v>
      </x:c>
      <x:c r="D55" s="28" t="str">
        <x:v>FR-07</x:v>
      </x:c>
      <x:c r="E55" s="28" t="str">
        <x:v>High</x:v>
      </x:c>
      <x:c r="F55" s="28" t="str">
        <x:v>Integration</x:v>
      </x:c>
      <x:c r="G55" s="28" t="str">
        <x:v>Handoff job description to Cover Letter Builder</x:v>
      </x:c>
      <x:c r="H55" s="28" t="str">
        <x:v>Job Matching result exists</x:v>
      </x:c>
      <x:c r="I55" s="28" t="str">
        <x:v>Use Cover Letter Builder next-step action.</x:v>
      </x:c>
      <x:c r="J55" s="28" t="str">
        <x:v>Cover Letter Builder receives the current job description context.</x:v>
      </x:c>
      <x:c r="K55" s="28" t="str">
        <x:v>Joyee</x:v>
      </x:c>
      <x:c r="L55" s="28" t="str">
        <x:v>Not Run</x:v>
      </x:c>
      <x:c r="M55" s="28" t="str"/>
      <x:c r="N55" s="28" t="str"/>
      <x:c r="O55" s="28" t="str"/>
      <x:c r="P55" s="28" t="str"/>
      <x:c r="Q55" s="28" t="str">
        <x:v>Hybrid</x:v>
      </x:c>
      <x:c r="R55" s="28" t="str"/>
    </x:row>
    <x:row r="56">
      <x:c r="A56" s="28" t="str">
        <x:v>S4-RESUME-01</x:v>
      </x:c>
      <x:c r="B56" s="28" t="str">
        <x:v>7.9</x:v>
      </x:c>
      <x:c r="C56" s="28" t="str">
        <x:v>Resume Builder</x:v>
      </x:c>
      <x:c r="D56" s="28" t="str">
        <x:v>FR-08</x:v>
      </x:c>
      <x:c r="E56" s="28" t="str">
        <x:v>High</x:v>
      </x:c>
      <x:c r="F56" s="28" t="str">
        <x:v>Integration</x:v>
      </x:c>
      <x:c r="G56" s="28" t="str">
        <x:v>Open protected Resume Builder</x:v>
      </x:c>
      <x:c r="H56" s="28" t="str">
        <x:v>Authenticated Student</x:v>
      </x:c>
      <x:c r="I56" s="28" t="str">
        <x:v>Navigate to Resume Builder.</x:v>
      </x:c>
      <x:c r="J56" s="28" t="str">
        <x:v>Protected Resume Builder loads.</x:v>
      </x:c>
      <x:c r="K56" s="28" t="str">
        <x:v>Joyee</x:v>
      </x:c>
      <x:c r="L56" s="28" t="str">
        <x:v>Not Run</x:v>
      </x:c>
      <x:c r="M56" s="28" t="str"/>
      <x:c r="N56" s="28" t="str"/>
      <x:c r="O56" s="28" t="str"/>
      <x:c r="P56" s="28" t="str"/>
      <x:c r="Q56" s="28" t="str">
        <x:v>Hybrid</x:v>
      </x:c>
      <x:c r="R56" s="28" t="str"/>
    </x:row>
    <x:row r="57">
      <x:c r="A57" s="28" t="str">
        <x:v>S4-RESUME-02</x:v>
      </x:c>
      <x:c r="B57" s="28" t="str">
        <x:v>7.3,7.9</x:v>
      </x:c>
      <x:c r="C57" s="28" t="str">
        <x:v>Resume Builder</x:v>
      </x:c>
      <x:c r="D57" s="28" t="str">
        <x:v>FR-08</x:v>
      </x:c>
      <x:c r="E57" s="28" t="str">
        <x:v>High</x:v>
      </x:c>
      <x:c r="F57" s="28" t="str">
        <x:v>Integration</x:v>
      </x:c>
      <x:c r="G57" s="28" t="str">
        <x:v>Generate Resume from approved profile context</x:v>
      </x:c>
      <x:c r="H57" s="28" t="str">
        <x:v>Authenticated Student with approved Resume context</x:v>
      </x:c>
      <x:c r="I57" s="28" t="str">
        <x:v>Generate a Resume draft.</x:v>
      </x:c>
      <x:c r="J57" s="28" t="str">
        <x:v>Structured Resume draft is returned through the backend provider path.</x:v>
      </x:c>
      <x:c r="K57" s="28" t="str">
        <x:v>MD</x:v>
      </x:c>
      <x:c r="L57" s="28" t="str">
        <x:v>Not Run</x:v>
      </x:c>
      <x:c r="M57" s="28" t="str"/>
      <x:c r="N57" s="28" t="str"/>
      <x:c r="O57" s="28" t="str"/>
      <x:c r="P57" s="28" t="str"/>
      <x:c r="Q57" s="28" t="str">
        <x:v>Hybrid</x:v>
      </x:c>
      <x:c r="R57" s="28" t="str"/>
    </x:row>
    <x:row r="58">
      <x:c r="A58" s="28" t="str">
        <x:v>S4-RESUME-03</x:v>
      </x:c>
      <x:c r="B58" s="28" t="str">
        <x:v>7.9</x:v>
      </x:c>
      <x:c r="C58" s="28" t="str">
        <x:v>Resume Builder</x:v>
      </x:c>
      <x:c r="D58" s="28" t="str">
        <x:v>FR-08</x:v>
      </x:c>
      <x:c r="E58" s="28" t="str">
        <x:v>High</x:v>
      </x:c>
      <x:c r="F58" s="28" t="str">
        <x:v>Integration</x:v>
      </x:c>
      <x:c r="G58" s="28" t="str">
        <x:v>Resume draft remains editable</x:v>
      </x:c>
      <x:c r="H58" s="28" t="str">
        <x:v>Generated Resume exists</x:v>
      </x:c>
      <x:c r="I58" s="28" t="str">
        <x:v>Edit generated Resume content.</x:v>
      </x:c>
      <x:c r="J58" s="28" t="str">
        <x:v>Student edits are accepted in the UI.</x:v>
      </x:c>
      <x:c r="K58" s="28" t="str">
        <x:v>Joyee</x:v>
      </x:c>
      <x:c r="L58" s="28" t="str">
        <x:v>Not Run</x:v>
      </x:c>
      <x:c r="M58" s="28" t="str"/>
      <x:c r="N58" s="28" t="str"/>
      <x:c r="O58" s="28" t="str"/>
      <x:c r="P58" s="28" t="str"/>
      <x:c r="Q58" s="28" t="str">
        <x:v>Hybrid</x:v>
      </x:c>
      <x:c r="R58" s="28" t="str"/>
    </x:row>
    <x:row r="59">
      <x:c r="A59" s="28" t="str">
        <x:v>S4-RESUME-04</x:v>
      </x:c>
      <x:c r="B59" s="28" t="str">
        <x:v>7.9</x:v>
      </x:c>
      <x:c r="C59" s="28" t="str">
        <x:v>Resume Builder</x:v>
      </x:c>
      <x:c r="D59" s="28" t="str">
        <x:v>FR-08</x:v>
      </x:c>
      <x:c r="E59" s="28" t="str">
        <x:v>High</x:v>
      </x:c>
      <x:c r="F59" s="28" t="str">
        <x:v>Integration</x:v>
      </x:c>
      <x:c r="G59" s="28" t="str">
        <x:v>Resume output requires user review</x:v>
      </x:c>
      <x:c r="H59" s="28" t="str">
        <x:v>Generated Resume exists</x:v>
      </x:c>
      <x:c r="I59" s="28" t="str">
        <x:v>Inspect generated draft and review messaging.</x:v>
      </x:c>
      <x:c r="J59" s="28" t="str">
        <x:v>Draft is presented for user review before use.</x:v>
      </x:c>
      <x:c r="K59" s="28" t="str">
        <x:v>Joyee</x:v>
      </x:c>
      <x:c r="L59" s="28" t="str">
        <x:v>Not Run</x:v>
      </x:c>
      <x:c r="M59" s="28" t="str"/>
      <x:c r="N59" s="28" t="str"/>
      <x:c r="O59" s="28" t="str"/>
      <x:c r="P59" s="28" t="str"/>
      <x:c r="Q59" s="28" t="str">
        <x:v>Hybrid</x:v>
      </x:c>
      <x:c r="R59" s="28" t="str"/>
    </x:row>
    <x:row r="60">
      <x:c r="A60" s="28" t="str">
        <x:v>S4-RESUME-05</x:v>
      </x:c>
      <x:c r="B60" s="28" t="str">
        <x:v>7.4,7.9</x:v>
      </x:c>
      <x:c r="C60" s="28" t="str">
        <x:v>Resume Builder</x:v>
      </x:c>
      <x:c r="D60" s="28" t="str">
        <x:v>FR-08</x:v>
      </x:c>
      <x:c r="E60" s="28" t="str">
        <x:v>High</x:v>
      </x:c>
      <x:c r="F60" s="28" t="str">
        <x:v>Integration</x:v>
      </x:c>
      <x:c r="G60" s="28" t="str">
        <x:v>Resume provider failure is controlled</x:v>
      </x:c>
      <x:c r="H60" s="28" t="str">
        <x:v>Authenticated Student</x:v>
      </x:c>
      <x:c r="I60" s="28" t="str">
        <x:v>Simulate provider-unavailable condition and generate.</x:v>
      </x:c>
      <x:c r="J60" s="28" t="str">
        <x:v>Controlled error is returned without provider internals.</x:v>
      </x:c>
      <x:c r="K60" s="28" t="str">
        <x:v>Jerald</x:v>
      </x:c>
      <x:c r="L60" s="28" t="str">
        <x:v>Blocked</x:v>
      </x:c>
      <x:c r="M60" s="28" t="str">
        <x:v>WBS 7.4</x:v>
      </x:c>
      <x:c r="N60" s="28" t="str"/>
      <x:c r="O60" s="28" t="str"/>
      <x:c r="P60" s="28" t="str"/>
      <x:c r="Q60" s="28" t="str">
        <x:v>Hybrid</x:v>
      </x:c>
      <x:c r="R60" s="28" t="str"/>
    </x:row>
    <x:row r="61">
      <x:c r="A61" s="28" t="str">
        <x:v>S4-RESUME-06</x:v>
      </x:c>
      <x:c r="B61" s="28" t="str">
        <x:v>7.4,7.9</x:v>
      </x:c>
      <x:c r="C61" s="28" t="str">
        <x:v>Resume Builder</x:v>
      </x:c>
      <x:c r="D61" s="28" t="str">
        <x:v>FR-08</x:v>
      </x:c>
      <x:c r="E61" s="28" t="str">
        <x:v>High</x:v>
      </x:c>
      <x:c r="F61" s="28" t="str">
        <x:v>Integration</x:v>
      </x:c>
      <x:c r="G61" s="28" t="str">
        <x:v>Resume invalid AI response is rejected</x:v>
      </x:c>
      <x:c r="H61" s="28" t="str">
        <x:v>Controlled invalid provider response is available</x:v>
      </x:c>
      <x:c r="I61" s="28" t="str">
        <x:v>Generate using invalid structured response.</x:v>
      </x:c>
      <x:c r="J61" s="28" t="str">
        <x:v>Invalid response is rejected and no invalid draft is accepted.</x:v>
      </x:c>
      <x:c r="K61" s="28" t="str">
        <x:v>Jerald</x:v>
      </x:c>
      <x:c r="L61" s="28" t="str">
        <x:v>Blocked</x:v>
      </x:c>
      <x:c r="M61" s="28" t="str">
        <x:v>WBS 7.4</x:v>
      </x:c>
      <x:c r="N61" s="28" t="str"/>
      <x:c r="O61" s="28" t="str"/>
      <x:c r="P61" s="28" t="str"/>
      <x:c r="Q61" s="28" t="str">
        <x:v>Hybrid</x:v>
      </x:c>
      <x:c r="R61" s="28" t="str"/>
    </x:row>
    <x:row r="62">
      <x:c r="A62" s="28" t="str">
        <x:v>S4-RESUME-07</x:v>
      </x:c>
      <x:c r="B62" s="28" t="str">
        <x:v>7.5,7.9</x:v>
      </x:c>
      <x:c r="C62" s="28" t="str">
        <x:v>Resume Builder</x:v>
      </x:c>
      <x:c r="D62" s="28" t="str">
        <x:v>FR-08</x:v>
      </x:c>
      <x:c r="E62" s="28" t="str">
        <x:v>High</x:v>
      </x:c>
      <x:c r="F62" s="28" t="str">
        <x:v>Integration</x:v>
      </x:c>
      <x:c r="G62" s="28" t="str">
        <x:v>Job Matching handoff reaches Resume Builder</x:v>
      </x:c>
      <x:c r="H62" s="28" t="str">
        <x:v>Job Matching page contains a current job description</x:v>
      </x:c>
      <x:c r="I62" s="28" t="str">
        <x:v>Navigate to Resume Builder through the Job Matching action.</x:v>
      </x:c>
      <x:c r="J62" s="28" t="str">
        <x:v>Expected job-description context is retained where supported.</x:v>
      </x:c>
      <x:c r="K62" s="28" t="str">
        <x:v>Joyee</x:v>
      </x:c>
      <x:c r="L62" s="28" t="str">
        <x:v>Not Run</x:v>
      </x:c>
      <x:c r="M62" s="28" t="str"/>
      <x:c r="N62" s="28" t="str"/>
      <x:c r="O62" s="28" t="str"/>
      <x:c r="P62" s="28" t="str"/>
      <x:c r="Q62" s="28" t="str">
        <x:v>Hybrid</x:v>
      </x:c>
      <x:c r="R62" s="28" t="str"/>
    </x:row>
    <x:row r="63">
      <x:c r="A63" s="28" t="str">
        <x:v>S4-COVER-01</x:v>
      </x:c>
      <x:c r="B63" s="28" t="str">
        <x:v>7.9</x:v>
      </x:c>
      <x:c r="C63" s="28" t="str">
        <x:v>Cover Letter Builder</x:v>
      </x:c>
      <x:c r="D63" s="28" t="str">
        <x:v>FR-09</x:v>
      </x:c>
      <x:c r="E63" s="28" t="str">
        <x:v>High</x:v>
      </x:c>
      <x:c r="F63" s="28" t="str">
        <x:v>Integration</x:v>
      </x:c>
      <x:c r="G63" s="28" t="str">
        <x:v>Open protected Cover Letter Builder</x:v>
      </x:c>
      <x:c r="H63" s="28" t="str">
        <x:v>Authenticated Student</x:v>
      </x:c>
      <x:c r="I63" s="28" t="str">
        <x:v>Navigate to Cover Letter Builder.</x:v>
      </x:c>
      <x:c r="J63" s="28" t="str">
        <x:v>Protected Cover Letter Builder loads.</x:v>
      </x:c>
      <x:c r="K63" s="28" t="str">
        <x:v>Joyee</x:v>
      </x:c>
      <x:c r="L63" s="28" t="str">
        <x:v>Not Run</x:v>
      </x:c>
      <x:c r="M63" s="28" t="str"/>
      <x:c r="N63" s="28" t="str"/>
      <x:c r="O63" s="28" t="str"/>
      <x:c r="P63" s="28" t="str"/>
      <x:c r="Q63" s="28" t="str">
        <x:v>Hybrid</x:v>
      </x:c>
      <x:c r="R63" s="28" t="str"/>
    </x:row>
    <x:row r="64">
      <x:c r="A64" s="28" t="str">
        <x:v>S4-COVER-02</x:v>
      </x:c>
      <x:c r="B64" s="28" t="str">
        <x:v>7.9</x:v>
      </x:c>
      <x:c r="C64" s="28" t="str">
        <x:v>Cover Letter Builder</x:v>
      </x:c>
      <x:c r="D64" s="28" t="str">
        <x:v>FR-09</x:v>
      </x:c>
      <x:c r="E64" s="28" t="str">
        <x:v>High</x:v>
      </x:c>
      <x:c r="F64" s="28" t="str">
        <x:v>Integration</x:v>
      </x:c>
      <x:c r="G64" s="28" t="str">
        <x:v>Require target job description</x:v>
      </x:c>
      <x:c r="H64" s="28" t="str">
        <x:v>Authenticated Student</x:v>
      </x:c>
      <x:c r="I64" s="28" t="str">
        <x:v>Attempt generation without required job-description context.</x:v>
      </x:c>
      <x:c r="J64" s="28" t="str">
        <x:v>Generation is prevented with controlled validation.</x:v>
      </x:c>
      <x:c r="K64" s="28" t="str">
        <x:v>MD</x:v>
      </x:c>
      <x:c r="L64" s="28" t="str">
        <x:v>Not Run</x:v>
      </x:c>
      <x:c r="M64" s="28" t="str"/>
      <x:c r="N64" s="28" t="str"/>
      <x:c r="O64" s="28" t="str"/>
      <x:c r="P64" s="28" t="str"/>
      <x:c r="Q64" s="28" t="str">
        <x:v>Hybrid</x:v>
      </x:c>
      <x:c r="R64" s="28" t="str"/>
    </x:row>
    <x:row r="65">
      <x:c r="A65" s="28" t="str">
        <x:v>S4-COVER-03</x:v>
      </x:c>
      <x:c r="B65" s="28" t="str">
        <x:v>7.3,7.9</x:v>
      </x:c>
      <x:c r="C65" s="28" t="str">
        <x:v>Cover Letter Builder</x:v>
      </x:c>
      <x:c r="D65" s="28" t="str">
        <x:v>FR-09</x:v>
      </x:c>
      <x:c r="E65" s="28" t="str">
        <x:v>High</x:v>
      </x:c>
      <x:c r="F65" s="28" t="str">
        <x:v>Integration</x:v>
      </x:c>
      <x:c r="G65" s="28" t="str">
        <x:v>Generate Cover Letter from profile and job context</x:v>
      </x:c>
      <x:c r="H65" s="28" t="str">
        <x:v>Authenticated Student with approved profile and job description</x:v>
      </x:c>
      <x:c r="I65" s="28" t="str">
        <x:v>Generate a Cover Letter draft.</x:v>
      </x:c>
      <x:c r="J65" s="28" t="str">
        <x:v>Structured Cover Letter draft is returned.</x:v>
      </x:c>
      <x:c r="K65" s="28" t="str">
        <x:v>MD</x:v>
      </x:c>
      <x:c r="L65" s="28" t="str">
        <x:v>Not Run</x:v>
      </x:c>
      <x:c r="M65" s="28" t="str"/>
      <x:c r="N65" s="28" t="str"/>
      <x:c r="O65" s="28" t="str"/>
      <x:c r="P65" s="28" t="str"/>
      <x:c r="Q65" s="28" t="str">
        <x:v>Hybrid</x:v>
      </x:c>
      <x:c r="R65" s="28" t="str"/>
    </x:row>
    <x:row r="66">
      <x:c r="A66" s="28" t="str">
        <x:v>S4-COVER-04</x:v>
      </x:c>
      <x:c r="B66" s="28" t="str">
        <x:v>7.9</x:v>
      </x:c>
      <x:c r="C66" s="28" t="str">
        <x:v>Cover Letter Builder</x:v>
      </x:c>
      <x:c r="D66" s="28" t="str">
        <x:v>FR-09</x:v>
      </x:c>
      <x:c r="E66" s="28" t="str">
        <x:v>High</x:v>
      </x:c>
      <x:c r="F66" s="28" t="str">
        <x:v>Integration</x:v>
      </x:c>
      <x:c r="G66" s="28" t="str">
        <x:v>Cover Letter draft remains editable</x:v>
      </x:c>
      <x:c r="H66" s="28" t="str">
        <x:v>Generated Cover Letter exists</x:v>
      </x:c>
      <x:c r="I66" s="28" t="str">
        <x:v>Edit generated Cover Letter content.</x:v>
      </x:c>
      <x:c r="J66" s="28" t="str">
        <x:v>Student edits are accepted in the UI.</x:v>
      </x:c>
      <x:c r="K66" s="28" t="str">
        <x:v>Joyee</x:v>
      </x:c>
      <x:c r="L66" s="28" t="str">
        <x:v>Not Run</x:v>
      </x:c>
      <x:c r="M66" s="28" t="str"/>
      <x:c r="N66" s="28" t="str"/>
      <x:c r="O66" s="28" t="str"/>
      <x:c r="P66" s="28" t="str"/>
      <x:c r="Q66" s="28" t="str">
        <x:v>Hybrid</x:v>
      </x:c>
      <x:c r="R66" s="28" t="str"/>
    </x:row>
    <x:row r="67">
      <x:c r="A67" s="28" t="str">
        <x:v>S4-COVER-05</x:v>
      </x:c>
      <x:c r="B67" s="28" t="str">
        <x:v>7.9</x:v>
      </x:c>
      <x:c r="C67" s="28" t="str">
        <x:v>Cover Letter Builder</x:v>
      </x:c>
      <x:c r="D67" s="28" t="str">
        <x:v>FR-09</x:v>
      </x:c>
      <x:c r="E67" s="28" t="str">
        <x:v>High</x:v>
      </x:c>
      <x:c r="F67" s="28" t="str">
        <x:v>Integration</x:v>
      </x:c>
      <x:c r="G67" s="28" t="str">
        <x:v>Cover Letter output requires user review</x:v>
      </x:c>
      <x:c r="H67" s="28" t="str">
        <x:v>Generated Cover Letter exists</x:v>
      </x:c>
      <x:c r="I67" s="28" t="str">
        <x:v>Inspect generated draft and review messaging.</x:v>
      </x:c>
      <x:c r="J67" s="28" t="str">
        <x:v>Draft is presented for user review before use.</x:v>
      </x:c>
      <x:c r="K67" s="28" t="str">
        <x:v>Joyee</x:v>
      </x:c>
      <x:c r="L67" s="28" t="str">
        <x:v>Not Run</x:v>
      </x:c>
      <x:c r="M67" s="28" t="str"/>
      <x:c r="N67" s="28" t="str"/>
      <x:c r="O67" s="28" t="str"/>
      <x:c r="P67" s="28" t="str"/>
      <x:c r="Q67" s="28" t="str">
        <x:v>Hybrid</x:v>
      </x:c>
      <x:c r="R67" s="28" t="str"/>
    </x:row>
    <x:row r="68">
      <x:c r="A68" s="28" t="str">
        <x:v>S4-COVER-06</x:v>
      </x:c>
      <x:c r="B68" s="28" t="str">
        <x:v>7.4,7.9</x:v>
      </x:c>
      <x:c r="C68" s="28" t="str">
        <x:v>Cover Letter Builder</x:v>
      </x:c>
      <x:c r="D68" s="28" t="str">
        <x:v>FR-09</x:v>
      </x:c>
      <x:c r="E68" s="28" t="str">
        <x:v>High</x:v>
      </x:c>
      <x:c r="F68" s="28" t="str">
        <x:v>Integration</x:v>
      </x:c>
      <x:c r="G68" s="28" t="str">
        <x:v>Cover Letter provider failure is controlled</x:v>
      </x:c>
      <x:c r="H68" s="28" t="str">
        <x:v>Authenticated Student</x:v>
      </x:c>
      <x:c r="I68" s="28" t="str">
        <x:v>Simulate provider-unavailable condition and generate.</x:v>
      </x:c>
      <x:c r="J68" s="28" t="str">
        <x:v>Controlled error is returned without provider internals.</x:v>
      </x:c>
      <x:c r="K68" s="28" t="str">
        <x:v>Jerald</x:v>
      </x:c>
      <x:c r="L68" s="28" t="str">
        <x:v>Blocked</x:v>
      </x:c>
      <x:c r="M68" s="28" t="str">
        <x:v>WBS 7.4</x:v>
      </x:c>
      <x:c r="N68" s="28" t="str"/>
      <x:c r="O68" s="28" t="str"/>
      <x:c r="P68" s="28" t="str"/>
      <x:c r="Q68" s="28" t="str">
        <x:v>Hybrid</x:v>
      </x:c>
      <x:c r="R68" s="28" t="str"/>
    </x:row>
    <x:row r="69">
      <x:c r="A69" s="28" t="str">
        <x:v>S4-COVER-07</x:v>
      </x:c>
      <x:c r="B69" s="28" t="str">
        <x:v>7.5,7.9</x:v>
      </x:c>
      <x:c r="C69" s="28" t="str">
        <x:v>Cover Letter Builder</x:v>
      </x:c>
      <x:c r="D69" s="28" t="str">
        <x:v>FR-09</x:v>
      </x:c>
      <x:c r="E69" s="28" t="str">
        <x:v>High</x:v>
      </x:c>
      <x:c r="F69" s="28" t="str">
        <x:v>Integration</x:v>
      </x:c>
      <x:c r="G69" s="28" t="str">
        <x:v>Job Matching handoff reaches Cover Letter Builder</x:v>
      </x:c>
      <x:c r="H69" s="28" t="str">
        <x:v>Job Matching page contains a current job description</x:v>
      </x:c>
      <x:c r="I69" s="28" t="str">
        <x:v>Navigate through the Cover Letter next-step action.</x:v>
      </x:c>
      <x:c r="J69" s="28" t="str">
        <x:v>Current job-description context is carried into the builder.</x:v>
      </x:c>
      <x:c r="K69" s="28" t="str">
        <x:v>Joyee</x:v>
      </x:c>
      <x:c r="L69" s="28" t="str">
        <x:v>Not Run</x:v>
      </x:c>
      <x:c r="M69" s="28" t="str"/>
      <x:c r="N69" s="28" t="str"/>
      <x:c r="O69" s="28" t="str"/>
      <x:c r="P69" s="28" t="str"/>
      <x:c r="Q69" s="28" t="str">
        <x:v>Hybrid</x:v>
      </x:c>
      <x:c r="R69" s="28" t="str"/>
    </x:row>
    <x:row r="70">
      <x:c r="A70" s="28" t="str">
        <x:v>S4-INT-01</x:v>
      </x:c>
      <x:c r="B70" s="28" t="str">
        <x:v>7.9</x:v>
      </x:c>
      <x:c r="C70" s="28" t="str">
        <x:v>Interview Preparation</x:v>
      </x:c>
      <x:c r="D70" s="28" t="str">
        <x:v>FR-10</x:v>
      </x:c>
      <x:c r="E70" s="28" t="str">
        <x:v>High</x:v>
      </x:c>
      <x:c r="F70" s="28" t="str">
        <x:v>Integration</x:v>
      </x:c>
      <x:c r="G70" s="28" t="str">
        <x:v>Open protected Interview Preparation page</x:v>
      </x:c>
      <x:c r="H70" s="28" t="str">
        <x:v>Authenticated Student</x:v>
      </x:c>
      <x:c r="I70" s="28" t="str">
        <x:v>Navigate to Interview Preparation.</x:v>
      </x:c>
      <x:c r="J70" s="28" t="str">
        <x:v>Protected Interview page loads.</x:v>
      </x:c>
      <x:c r="K70" s="28" t="str">
        <x:v>Joyee</x:v>
      </x:c>
      <x:c r="L70" s="28" t="str">
        <x:v>Not Run</x:v>
      </x:c>
      <x:c r="M70" s="28" t="str"/>
      <x:c r="N70" s="28" t="str"/>
      <x:c r="O70" s="28" t="str"/>
      <x:c r="P70" s="28" t="str"/>
      <x:c r="Q70" s="28" t="str">
        <x:v>Hybrid</x:v>
      </x:c>
      <x:c r="R70" s="28" t="str"/>
    </x:row>
    <x:row r="71">
      <x:c r="A71" s="28" t="str">
        <x:v>S4-INT-02</x:v>
      </x:c>
      <x:c r="B71" s="28" t="str">
        <x:v>7.3,7.9</x:v>
      </x:c>
      <x:c r="C71" s="28" t="str">
        <x:v>Interview Preparation</x:v>
      </x:c>
      <x:c r="D71" s="28" t="str">
        <x:v>FR-10</x:v>
      </x:c>
      <x:c r="E71" s="28" t="str">
        <x:v>High</x:v>
      </x:c>
      <x:c r="F71" s="28" t="str">
        <x:v>Integration</x:v>
      </x:c>
      <x:c r="G71" s="28" t="str">
        <x:v>Generate valid Interview Questions</x:v>
      </x:c>
      <x:c r="H71" s="28" t="str">
        <x:v>Authenticated Student and valid target role</x:v>
      </x:c>
      <x:c r="I71" s="28" t="str">
        <x:v>Request an approved question count.</x:v>
      </x:c>
      <x:c r="J71" s="28" t="str">
        <x:v>Structured Interview Questions are returned.</x:v>
      </x:c>
      <x:c r="K71" s="28" t="str">
        <x:v>Jerald</x:v>
      </x:c>
      <x:c r="L71" s="28" t="str">
        <x:v>Not Run</x:v>
      </x:c>
      <x:c r="M71" s="28" t="str"/>
      <x:c r="N71" s="28" t="str"/>
      <x:c r="O71" s="28" t="str"/>
      <x:c r="P71" s="28" t="str"/>
      <x:c r="Q71" s="28" t="str">
        <x:v>Hybrid</x:v>
      </x:c>
      <x:c r="R71" s="28" t="str"/>
    </x:row>
    <x:row r="72">
      <x:c r="A72" s="28" t="str">
        <x:v>S4-INT-03</x:v>
      </x:c>
      <x:c r="B72" s="28" t="str">
        <x:v>7.9</x:v>
      </x:c>
      <x:c r="C72" s="28" t="str">
        <x:v>Interview Preparation</x:v>
      </x:c>
      <x:c r="D72" s="28" t="str">
        <x:v>FR-10</x:v>
      </x:c>
      <x:c r="E72" s="28" t="str">
        <x:v>High</x:v>
      </x:c>
      <x:c r="F72" s="28" t="str">
        <x:v>Integration</x:v>
      </x:c>
      <x:c r="G72" s="28" t="str">
        <x:v>Reject invalid question count below range</x:v>
      </x:c>
      <x:c r="H72" s="28" t="str">
        <x:v>Authenticated Student</x:v>
      </x:c>
      <x:c r="I72" s="28" t="str">
        <x:v>Request a count below the allowed minimum.</x:v>
      </x:c>
      <x:c r="J72" s="28" t="str">
        <x:v>Validation rejects the request.</x:v>
      </x:c>
      <x:c r="K72" s="28" t="str">
        <x:v>Jerald</x:v>
      </x:c>
      <x:c r="L72" s="28" t="str">
        <x:v>Not Run</x:v>
      </x:c>
      <x:c r="M72" s="28" t="str"/>
      <x:c r="N72" s="28" t="str"/>
      <x:c r="O72" s="28" t="str"/>
      <x:c r="P72" s="28" t="str"/>
      <x:c r="Q72" s="28" t="str">
        <x:v>Hybrid</x:v>
      </x:c>
      <x:c r="R72" s="28" t="str"/>
    </x:row>
    <x:row r="73">
      <x:c r="A73" s="28" t="str">
        <x:v>S4-INT-04</x:v>
      </x:c>
      <x:c r="B73" s="28" t="str">
        <x:v>7.9</x:v>
      </x:c>
      <x:c r="C73" s="28" t="str">
        <x:v>Interview Preparation</x:v>
      </x:c>
      <x:c r="D73" s="28" t="str">
        <x:v>FR-10</x:v>
      </x:c>
      <x:c r="E73" s="28" t="str">
        <x:v>High</x:v>
      </x:c>
      <x:c r="F73" s="28" t="str">
        <x:v>Integration</x:v>
      </x:c>
      <x:c r="G73" s="28" t="str">
        <x:v>Reject invalid question count above range</x:v>
      </x:c>
      <x:c r="H73" s="28" t="str">
        <x:v>Authenticated Student</x:v>
      </x:c>
      <x:c r="I73" s="28" t="str">
        <x:v>Request a count above the allowed maximum.</x:v>
      </x:c>
      <x:c r="J73" s="28" t="str">
        <x:v>Validation rejects the request.</x:v>
      </x:c>
      <x:c r="K73" s="28" t="str">
        <x:v>Jerald</x:v>
      </x:c>
      <x:c r="L73" s="28" t="str">
        <x:v>Not Run</x:v>
      </x:c>
      <x:c r="M73" s="28" t="str"/>
      <x:c r="N73" s="28" t="str"/>
      <x:c r="O73" s="28" t="str"/>
      <x:c r="P73" s="28" t="str"/>
      <x:c r="Q73" s="28" t="str">
        <x:v>Hybrid</x:v>
      </x:c>
      <x:c r="R73" s="28" t="str"/>
    </x:row>
    <x:row r="74">
      <x:c r="A74" s="28" t="str">
        <x:v>S4-INT-05</x:v>
      </x:c>
      <x:c r="B74" s="28" t="str">
        <x:v>7.9</x:v>
      </x:c>
      <x:c r="C74" s="28" t="str">
        <x:v>Interview Preparation</x:v>
      </x:c>
      <x:c r="D74" s="28" t="str">
        <x:v>FR-10</x:v>
      </x:c>
      <x:c r="E74" s="28" t="str">
        <x:v>High</x:v>
      </x:c>
      <x:c r="F74" s="28" t="str">
        <x:v>Integration</x:v>
      </x:c>
      <x:c r="G74" s="28" t="str">
        <x:v>Render returned Interview Questions</x:v>
      </x:c>
      <x:c r="H74" s="28" t="str">
        <x:v>Valid question set exists</x:v>
      </x:c>
      <x:c r="I74" s="28" t="str">
        <x:v>Inspect Interview page.</x:v>
      </x:c>
      <x:c r="J74" s="28" t="str">
        <x:v>Returned questions render correctly.</x:v>
      </x:c>
      <x:c r="K74" s="28" t="str">
        <x:v>Joyee</x:v>
      </x:c>
      <x:c r="L74" s="28" t="str">
        <x:v>Not Run</x:v>
      </x:c>
      <x:c r="M74" s="28" t="str"/>
      <x:c r="N74" s="28" t="str"/>
      <x:c r="O74" s="28" t="str"/>
      <x:c r="P74" s="28" t="str"/>
      <x:c r="Q74" s="28" t="str">
        <x:v>Hybrid</x:v>
      </x:c>
      <x:c r="R74" s="28" t="str"/>
    </x:row>
    <x:row r="75">
      <x:c r="A75" s="28" t="str">
        <x:v>S4-INT-06</x:v>
      </x:c>
      <x:c r="B75" s="28" t="str">
        <x:v>7.9</x:v>
      </x:c>
      <x:c r="C75" s="28" t="str">
        <x:v>Interview Preparation</x:v>
      </x:c>
      <x:c r="D75" s="28" t="str">
        <x:v>FR-10</x:v>
      </x:c>
      <x:c r="E75" s="28" t="str">
        <x:v>High</x:v>
      </x:c>
      <x:c r="F75" s="28" t="str">
        <x:v>Integration</x:v>
      </x:c>
      <x:c r="G75" s="28" t="str">
        <x:v>Submit typed Interview answer</x:v>
      </x:c>
      <x:c r="H75" s="28" t="str">
        <x:v>Question is selected</x:v>
      </x:c>
      <x:c r="I75" s="28" t="str">
        <x:v>Enter an answer and submit for feedback.</x:v>
      </x:c>
      <x:c r="J75" s="28" t="str">
        <x:v>Answer is accepted as untrusted user input.</x:v>
      </x:c>
      <x:c r="K75" s="28" t="str">
        <x:v>Joyee</x:v>
      </x:c>
      <x:c r="L75" s="28" t="str">
        <x:v>Not Run</x:v>
      </x:c>
      <x:c r="M75" s="28" t="str"/>
      <x:c r="N75" s="28" t="str"/>
      <x:c r="O75" s="28" t="str"/>
      <x:c r="P75" s="28" t="str"/>
      <x:c r="Q75" s="28" t="str">
        <x:v>Hybrid</x:v>
      </x:c>
      <x:c r="R75" s="28" t="str"/>
    </x:row>
    <x:row r="76">
      <x:c r="A76" s="28" t="str">
        <x:v>S4-INT-07</x:v>
      </x:c>
      <x:c r="B76" s="28" t="str">
        <x:v>7.3,7.9</x:v>
      </x:c>
      <x:c r="C76" s="28" t="str">
        <x:v>Interview Preparation</x:v>
      </x:c>
      <x:c r="D76" s="28" t="str">
        <x:v>FR-10</x:v>
      </x:c>
      <x:c r="E76" s="28" t="str">
        <x:v>High</x:v>
      </x:c>
      <x:c r="F76" s="28" t="str">
        <x:v>Integration</x:v>
      </x:c>
      <x:c r="G76" s="28" t="str">
        <x:v>Generate structured Interview Feedback</x:v>
      </x:c>
      <x:c r="H76" s="28" t="str">
        <x:v>Valid answer submitted</x:v>
      </x:c>
      <x:c r="I76" s="28" t="str">
        <x:v>Request feedback.</x:v>
      </x:c>
      <x:c r="J76" s="28" t="str">
        <x:v>Structured strengths and improvement feedback is returned.</x:v>
      </x:c>
      <x:c r="K76" s="28" t="str">
        <x:v>Jerald</x:v>
      </x:c>
      <x:c r="L76" s="28" t="str">
        <x:v>Not Run</x:v>
      </x:c>
      <x:c r="M76" s="28" t="str"/>
      <x:c r="N76" s="28" t="str"/>
      <x:c r="O76" s="28" t="str"/>
      <x:c r="P76" s="28" t="str"/>
      <x:c r="Q76" s="28" t="str">
        <x:v>Hybrid</x:v>
      </x:c>
      <x:c r="R76" s="28" t="str"/>
    </x:row>
    <x:row r="77">
      <x:c r="A77" s="28" t="str">
        <x:v>S4-INT-08</x:v>
      </x:c>
      <x:c r="B77" s="28" t="str">
        <x:v>7.4,7.9</x:v>
      </x:c>
      <x:c r="C77" s="28" t="str">
        <x:v>Interview Preparation</x:v>
      </x:c>
      <x:c r="D77" s="28" t="str">
        <x:v>FR-10</x:v>
      </x:c>
      <x:c r="E77" s="28" t="str">
        <x:v>High</x:v>
      </x:c>
      <x:c r="F77" s="28" t="str">
        <x:v>Integration</x:v>
      </x:c>
      <x:c r="G77" s="28" t="str">
        <x:v>Reject semantically invalid focus areas</x:v>
      </x:c>
      <x:c r="H77" s="28" t="str">
        <x:v>Controlled invalid provider response is available</x:v>
      </x:c>
      <x:c r="I77" s="28" t="str">
        <x:v>Return duplicate, blank, missing, or extra focus areas.</x:v>
      </x:c>
      <x:c r="J77" s="28" t="str">
        <x:v>Semantic validator rejects invalid question set.</x:v>
      </x:c>
      <x:c r="K77" s="28" t="str">
        <x:v>Jerald</x:v>
      </x:c>
      <x:c r="L77" s="28" t="str">
        <x:v>Blocked</x:v>
      </x:c>
      <x:c r="M77" s="28" t="str">
        <x:v>WBS 7.4</x:v>
      </x:c>
      <x:c r="N77" s="28" t="str"/>
      <x:c r="O77" s="28" t="str"/>
      <x:c r="P77" s="28" t="str"/>
      <x:c r="Q77" s="28" t="str">
        <x:v>Hybrid</x:v>
      </x:c>
      <x:c r="R77" s="28" t="str"/>
    </x:row>
    <x:row r="78">
      <x:c r="A78" s="28" t="str">
        <x:v>S4-INT-09</x:v>
      </x:c>
      <x:c r="B78" s="28" t="str">
        <x:v>7.9</x:v>
      </x:c>
      <x:c r="C78" s="28" t="str">
        <x:v>Interview Preparation</x:v>
      </x:c>
      <x:c r="D78" s="28" t="str">
        <x:v>FR-10</x:v>
      </x:c>
      <x:c r="E78" s="28" t="str">
        <x:v>High</x:v>
      </x:c>
      <x:c r="F78" s="28" t="str">
        <x:v>Integration</x:v>
      </x:c>
      <x:c r="G78" s="28" t="str">
        <x:v>Exclude hiring probability or pass-fail classification</x:v>
      </x:c>
      <x:c r="H78" s="28" t="str">
        <x:v>Questions or feedback generated</x:v>
      </x:c>
      <x:c r="I78" s="28" t="str">
        <x:v>Inspect returned output.</x:v>
      </x:c>
      <x:c r="J78" s="28" t="str">
        <x:v>No hiring probability or pass-fail hiring classification appears.</x:v>
      </x:c>
      <x:c r="K78" s="28" t="str">
        <x:v>Jerald</x:v>
      </x:c>
      <x:c r="L78" s="28" t="str">
        <x:v>Not Run</x:v>
      </x:c>
      <x:c r="M78" s="28" t="str"/>
      <x:c r="N78" s="28" t="str"/>
      <x:c r="O78" s="28" t="str"/>
      <x:c r="P78" s="28" t="str"/>
      <x:c r="Q78" s="28" t="str">
        <x:v>Hybrid</x:v>
      </x:c>
      <x:c r="R78" s="28" t="str"/>
    </x:row>
    <x:row r="79">
      <x:c r="A79" s="28" t="str">
        <x:v>S4-AI-01</x:v>
      </x:c>
      <x:c r="B79" s="28" t="str">
        <x:v>7.4,7.9</x:v>
      </x:c>
      <x:c r="C79" s="28" t="str">
        <x:v>AI Response Validation</x:v>
      </x:c>
      <x:c r="D79" s="28" t="str">
        <x:v>FR-18</x:v>
      </x:c>
      <x:c r="E79" s="28" t="str">
        <x:v>High</x:v>
      </x:c>
      <x:c r="F79" s="28" t="str">
        <x:v>Integration</x:v>
      </x:c>
      <x:c r="G79" s="28" t="str">
        <x:v>Accept completed AI response</x:v>
      </x:c>
      <x:c r="H79" s="28" t="str">
        <x:v>Controlled completed provider response</x:v>
      </x:c>
      <x:c r="I79" s="28" t="str">
        <x:v>Invoke approved AI operation.</x:v>
      </x:c>
      <x:c r="J79" s="28" t="str">
        <x:v>Completed response proceeds to structured validation.</x:v>
      </x:c>
      <x:c r="K79" s="28" t="str">
        <x:v>Jerald</x:v>
      </x:c>
      <x:c r="L79" s="28" t="str">
        <x:v>Blocked</x:v>
      </x:c>
      <x:c r="M79" s="28" t="str">
        <x:v>WBS 7.4</x:v>
      </x:c>
      <x:c r="N79" s="28" t="str"/>
      <x:c r="O79" s="28" t="str"/>
      <x:c r="P79" s="28" t="str"/>
      <x:c r="Q79" s="28" t="str">
        <x:v>Automated</x:v>
      </x:c>
      <x:c r="R79" s="28" t="str"/>
    </x:row>
    <x:row r="80">
      <x:c r="A80" s="28" t="str">
        <x:v>S4-AI-02</x:v>
      </x:c>
      <x:c r="B80" s="28" t="str">
        <x:v>7.4,7.9</x:v>
      </x:c>
      <x:c r="C80" s="28" t="str">
        <x:v>AI Response Validation</x:v>
      </x:c>
      <x:c r="D80" s="28" t="str">
        <x:v>FR-18</x:v>
      </x:c>
      <x:c r="E80" s="28" t="str">
        <x:v>High</x:v>
      </x:c>
      <x:c r="F80" s="28" t="str">
        <x:v>Integration</x:v>
      </x:c>
      <x:c r="G80" s="28" t="str">
        <x:v>Reject incomplete AI response</x:v>
      </x:c>
      <x:c r="H80" s="28" t="str">
        <x:v>Controlled incomplete provider response</x:v>
      </x:c>
      <x:c r="I80" s="28" t="str">
        <x:v>Invoke approved AI operation.</x:v>
      </x:c>
      <x:c r="J80" s="28" t="str">
        <x:v>Incomplete response is rejected.</x:v>
      </x:c>
      <x:c r="K80" s="28" t="str">
        <x:v>Jerald</x:v>
      </x:c>
      <x:c r="L80" s="28" t="str">
        <x:v>Blocked</x:v>
      </x:c>
      <x:c r="M80" s="28" t="str">
        <x:v>WBS 7.4</x:v>
      </x:c>
      <x:c r="N80" s="28" t="str"/>
      <x:c r="O80" s="28" t="str"/>
      <x:c r="P80" s="28" t="str"/>
      <x:c r="Q80" s="28" t="str">
        <x:v>Automated</x:v>
      </x:c>
      <x:c r="R80" s="28" t="str"/>
    </x:row>
    <x:row r="81">
      <x:c r="A81" s="28" t="str">
        <x:v>S4-AI-03</x:v>
      </x:c>
      <x:c r="B81" s="28" t="str">
        <x:v>7.4,7.9</x:v>
      </x:c>
      <x:c r="C81" s="28" t="str">
        <x:v>AI Response Validation</x:v>
      </x:c>
      <x:c r="D81" s="28" t="str">
        <x:v>FR-18</x:v>
      </x:c>
      <x:c r="E81" s="28" t="str">
        <x:v>High</x:v>
      </x:c>
      <x:c r="F81" s="28" t="str">
        <x:v>Integration</x:v>
      </x:c>
      <x:c r="G81" s="28" t="str">
        <x:v>Reject failed AI response state</x:v>
      </x:c>
      <x:c r="H81" s="28" t="str">
        <x:v>Controlled failed provider response</x:v>
      </x:c>
      <x:c r="I81" s="28" t="str">
        <x:v>Invoke approved AI operation.</x:v>
      </x:c>
      <x:c r="J81" s="28" t="str">
        <x:v>Failed response is rejected.</x:v>
      </x:c>
      <x:c r="K81" s="28" t="str">
        <x:v>Jerald</x:v>
      </x:c>
      <x:c r="L81" s="28" t="str">
        <x:v>Blocked</x:v>
      </x:c>
      <x:c r="M81" s="28" t="str">
        <x:v>WBS 7.4</x:v>
      </x:c>
      <x:c r="N81" s="28" t="str"/>
      <x:c r="O81" s="28" t="str"/>
      <x:c r="P81" s="28" t="str"/>
      <x:c r="Q81" s="28" t="str">
        <x:v>Automated</x:v>
      </x:c>
      <x:c r="R81" s="28" t="str"/>
    </x:row>
    <x:row r="82">
      <x:c r="A82" s="28" t="str">
        <x:v>S4-AI-04</x:v>
      </x:c>
      <x:c r="B82" s="28" t="str">
        <x:v>7.4,7.9</x:v>
      </x:c>
      <x:c r="C82" s="28" t="str">
        <x:v>AI Response Validation</x:v>
      </x:c>
      <x:c r="D82" s="28" t="str">
        <x:v>FR-18</x:v>
      </x:c>
      <x:c r="E82" s="28" t="str">
        <x:v>High</x:v>
      </x:c>
      <x:c r="F82" s="28" t="str">
        <x:v>Integration</x:v>
      </x:c>
      <x:c r="G82" s="28" t="str">
        <x:v>Reject cancelled AI response state</x:v>
      </x:c>
      <x:c r="H82" s="28" t="str">
        <x:v>Controlled cancelled provider response</x:v>
      </x:c>
      <x:c r="I82" s="28" t="str">
        <x:v>Invoke approved AI operation.</x:v>
      </x:c>
      <x:c r="J82" s="28" t="str">
        <x:v>Cancelled response is rejected.</x:v>
      </x:c>
      <x:c r="K82" s="28" t="str">
        <x:v>Jerald</x:v>
      </x:c>
      <x:c r="L82" s="28" t="str">
        <x:v>Blocked</x:v>
      </x:c>
      <x:c r="M82" s="28" t="str">
        <x:v>WBS 7.4</x:v>
      </x:c>
      <x:c r="N82" s="28" t="str"/>
      <x:c r="O82" s="28" t="str"/>
      <x:c r="P82" s="28" t="str"/>
      <x:c r="Q82" s="28" t="str">
        <x:v>Automated</x:v>
      </x:c>
      <x:c r="R82" s="28" t="str"/>
    </x:row>
    <x:row r="83">
      <x:c r="A83" s="28" t="str">
        <x:v>S4-AI-05</x:v>
      </x:c>
      <x:c r="B83" s="28" t="str">
        <x:v>7.4,7.9</x:v>
      </x:c>
      <x:c r="C83" s="28" t="str">
        <x:v>AI Response Validation</x:v>
      </x:c>
      <x:c r="D83" s="28" t="str">
        <x:v>FR-18</x:v>
      </x:c>
      <x:c r="E83" s="28" t="str">
        <x:v>High</x:v>
      </x:c>
      <x:c r="F83" s="28" t="str">
        <x:v>Integration</x:v>
      </x:c>
      <x:c r="G83" s="28" t="str">
        <x:v>Reject queued or in-progress response state</x:v>
      </x:c>
      <x:c r="H83" s="28" t="str">
        <x:v>Controlled non-completed response</x:v>
      </x:c>
      <x:c r="I83" s="28" t="str">
        <x:v>Invoke approved AI operation.</x:v>
      </x:c>
      <x:c r="J83" s="28" t="str">
        <x:v>Non-completed response is rejected.</x:v>
      </x:c>
      <x:c r="K83" s="28" t="str">
        <x:v>Jerald</x:v>
      </x:c>
      <x:c r="L83" s="28" t="str">
        <x:v>Blocked</x:v>
      </x:c>
      <x:c r="M83" s="28" t="str">
        <x:v>WBS 7.4</x:v>
      </x:c>
      <x:c r="N83" s="28" t="str"/>
      <x:c r="O83" s="28" t="str"/>
      <x:c r="P83" s="28" t="str"/>
      <x:c r="Q83" s="28" t="str">
        <x:v>Automated</x:v>
      </x:c>
      <x:c r="R83" s="28" t="str"/>
    </x:row>
    <x:row r="84">
      <x:c r="A84" s="28" t="str">
        <x:v>S4-AI-06</x:v>
      </x:c>
      <x:c r="B84" s="28" t="str">
        <x:v>7.4,7.9</x:v>
      </x:c>
      <x:c r="C84" s="28" t="str">
        <x:v>AI Response Validation</x:v>
      </x:c>
      <x:c r="D84" s="28" t="str">
        <x:v>FR-18</x:v>
      </x:c>
      <x:c r="E84" s="28" t="str">
        <x:v>High</x:v>
      </x:c>
      <x:c r="F84" s="28" t="str">
        <x:v>Integration</x:v>
      </x:c>
      <x:c r="G84" s="28" t="str">
        <x:v>Reject missing AI response status</x:v>
      </x:c>
      <x:c r="H84" s="28" t="str">
        <x:v>Controlled response without status</x:v>
      </x:c>
      <x:c r="I84" s="28" t="str">
        <x:v>Invoke approved AI operation.</x:v>
      </x:c>
      <x:c r="J84" s="28" t="str">
        <x:v>Missing response status is rejected.</x:v>
      </x:c>
      <x:c r="K84" s="28" t="str">
        <x:v>Jerald</x:v>
      </x:c>
      <x:c r="L84" s="28" t="str">
        <x:v>Blocked</x:v>
      </x:c>
      <x:c r="M84" s="28" t="str">
        <x:v>WBS 7.4</x:v>
      </x:c>
      <x:c r="N84" s="28" t="str"/>
      <x:c r="O84" s="28" t="str"/>
      <x:c r="P84" s="28" t="str"/>
      <x:c r="Q84" s="28" t="str">
        <x:v>Automated</x:v>
      </x:c>
      <x:c r="R84" s="28" t="str"/>
    </x:row>
    <x:row r="85">
      <x:c r="A85" s="28" t="str">
        <x:v>S4-AI-07</x:v>
      </x:c>
      <x:c r="B85" s="28" t="str">
        <x:v>7.4,7.9</x:v>
      </x:c>
      <x:c r="C85" s="28" t="str">
        <x:v>AI Response Validation</x:v>
      </x:c>
      <x:c r="D85" s="28" t="str">
        <x:v>FR-18</x:v>
      </x:c>
      <x:c r="E85" s="28" t="str">
        <x:v>High</x:v>
      </x:c>
      <x:c r="F85" s="28" t="str">
        <x:v>Integration</x:v>
      </x:c>
      <x:c r="G85" s="28" t="str">
        <x:v>Reject empty AI output</x:v>
      </x:c>
      <x:c r="H85" s="28" t="str">
        <x:v>Controlled completed response with empty output</x:v>
      </x:c>
      <x:c r="I85" s="28" t="str">
        <x:v>Invoke approved AI operation.</x:v>
      </x:c>
      <x:c r="J85" s="28" t="str">
        <x:v>Empty output is rejected.</x:v>
      </x:c>
      <x:c r="K85" s="28" t="str">
        <x:v>Jerald</x:v>
      </x:c>
      <x:c r="L85" s="28" t="str">
        <x:v>Blocked</x:v>
      </x:c>
      <x:c r="M85" s="28" t="str">
        <x:v>WBS 7.4</x:v>
      </x:c>
      <x:c r="N85" s="28" t="str"/>
      <x:c r="O85" s="28" t="str"/>
      <x:c r="P85" s="28" t="str"/>
      <x:c r="Q85" s="28" t="str">
        <x:v>Automated</x:v>
      </x:c>
      <x:c r="R85" s="28" t="str"/>
    </x:row>
    <x:row r="86">
      <x:c r="A86" s="28" t="str">
        <x:v>S4-AI-08</x:v>
      </x:c>
      <x:c r="B86" s="28" t="str">
        <x:v>7.4,7.9</x:v>
      </x:c>
      <x:c r="C86" s="28" t="str">
        <x:v>AI Response Validation</x:v>
      </x:c>
      <x:c r="D86" s="28" t="str">
        <x:v>FR-18</x:v>
      </x:c>
      <x:c r="E86" s="28" t="str">
        <x:v>High</x:v>
      </x:c>
      <x:c r="F86" s="28" t="str">
        <x:v>Integration</x:v>
      </x:c>
      <x:c r="G86" s="28" t="str">
        <x:v>Reject malformed AI JSON</x:v>
      </x:c>
      <x:c r="H86" s="28" t="str">
        <x:v>Controlled malformed structured output</x:v>
      </x:c>
      <x:c r="I86" s="28" t="str">
        <x:v>Invoke approved AI operation.</x:v>
      </x:c>
      <x:c r="J86" s="28" t="str">
        <x:v>Malformed JSON is rejected.</x:v>
      </x:c>
      <x:c r="K86" s="28" t="str">
        <x:v>Jerald</x:v>
      </x:c>
      <x:c r="L86" s="28" t="str">
        <x:v>Blocked</x:v>
      </x:c>
      <x:c r="M86" s="28" t="str">
        <x:v>WBS 7.4</x:v>
      </x:c>
      <x:c r="N86" s="28" t="str"/>
      <x:c r="O86" s="28" t="str"/>
      <x:c r="P86" s="28" t="str"/>
      <x:c r="Q86" s="28" t="str">
        <x:v>Automated</x:v>
      </x:c>
      <x:c r="R86" s="28" t="str"/>
    </x:row>
    <x:row r="87">
      <x:c r="A87" s="28" t="str">
        <x:v>S4-AI-09</x:v>
      </x:c>
      <x:c r="B87" s="28" t="str">
        <x:v>7.4,7.9</x:v>
      </x:c>
      <x:c r="C87" s="28" t="str">
        <x:v>AI Response Validation</x:v>
      </x:c>
      <x:c r="D87" s="28" t="str">
        <x:v>FR-18</x:v>
      </x:c>
      <x:c r="E87" s="28" t="str">
        <x:v>High</x:v>
      </x:c>
      <x:c r="F87" s="28" t="str">
        <x:v>Integration</x:v>
      </x:c>
      <x:c r="G87" s="28" t="str">
        <x:v>Translate provider timeout safely</x:v>
      </x:c>
      <x:c r="H87" s="28" t="str">
        <x:v>Controlled timeout condition</x:v>
      </x:c>
      <x:c r="I87" s="28" t="str">
        <x:v>Invoke approved AI operation.</x:v>
      </x:c>
      <x:c r="J87" s="28" t="str">
        <x:v>Controlled application error is returned without internal detail.</x:v>
      </x:c>
      <x:c r="K87" s="28" t="str">
        <x:v>Jerald</x:v>
      </x:c>
      <x:c r="L87" s="28" t="str">
        <x:v>Blocked</x:v>
      </x:c>
      <x:c r="M87" s="28" t="str">
        <x:v>WBS 7.4</x:v>
      </x:c>
      <x:c r="N87" s="28" t="str"/>
      <x:c r="O87" s="28" t="str"/>
      <x:c r="P87" s="28" t="str"/>
      <x:c r="Q87" s="28" t="str">
        <x:v>Automated</x:v>
      </x:c>
      <x:c r="R87" s="28" t="str"/>
    </x:row>
    <x:row r="88">
      <x:c r="A88" s="28" t="str">
        <x:v>S4-AI-10</x:v>
      </x:c>
      <x:c r="B88" s="28" t="str">
        <x:v>7.4,7.9</x:v>
      </x:c>
      <x:c r="C88" s="28" t="str">
        <x:v>AI Response Validation</x:v>
      </x:c>
      <x:c r="D88" s="28" t="str">
        <x:v>FR-18</x:v>
      </x:c>
      <x:c r="E88" s="28" t="str">
        <x:v>High</x:v>
      </x:c>
      <x:c r="F88" s="28" t="str">
        <x:v>Integration</x:v>
      </x:c>
      <x:c r="G88" s="28" t="str">
        <x:v>Translate connection or service-unavailable failure safely</x:v>
      </x:c>
      <x:c r="H88" s="28" t="str">
        <x:v>Controlled connection failure</x:v>
      </x:c>
      <x:c r="I88" s="28" t="str">
        <x:v>Invoke approved AI operation.</x:v>
      </x:c>
      <x:c r="J88" s="28" t="str">
        <x:v>Controlled application error is returned without provider internals.</x:v>
      </x:c>
      <x:c r="K88" s="28" t="str">
        <x:v>Jerald</x:v>
      </x:c>
      <x:c r="L88" s="28" t="str">
        <x:v>Blocked</x:v>
      </x:c>
      <x:c r="M88" s="28" t="str">
        <x:v>WBS 7.4</x:v>
      </x:c>
      <x:c r="N88" s="28" t="str"/>
      <x:c r="O88" s="28" t="str"/>
      <x:c r="P88" s="28" t="str"/>
      <x:c r="Q88" s="28" t="str">
        <x:v>Automated</x:v>
      </x:c>
      <x:c r="R88" s="28" t="str"/>
    </x:row>
    <x:row r="89">
      <x:c r="A89" s="28" t="str">
        <x:v>S4-AI-11</x:v>
      </x:c>
      <x:c r="B89" s="28" t="str">
        <x:v>7.4,7.9</x:v>
      </x:c>
      <x:c r="C89" s="28" t="str">
        <x:v>AI Response Validation</x:v>
      </x:c>
      <x:c r="D89" s="28" t="str">
        <x:v>FR-18</x:v>
      </x:c>
      <x:c r="E89" s="28" t="str">
        <x:v>High</x:v>
      </x:c>
      <x:c r="F89" s="28" t="str">
        <x:v>Integration</x:v>
      </x:c>
      <x:c r="G89" s="28" t="str">
        <x:v>Translate rate-limit or provider HTTP failure safely</x:v>
      </x:c>
      <x:c r="H89" s="28" t="str">
        <x:v>Controlled provider failure</x:v>
      </x:c>
      <x:c r="I89" s="28" t="str">
        <x:v>Invoke approved AI operation.</x:v>
      </x:c>
      <x:c r="J89" s="28" t="str">
        <x:v>Controlled application error is returned without provider internals.</x:v>
      </x:c>
      <x:c r="K89" s="28" t="str">
        <x:v>Jerald</x:v>
      </x:c>
      <x:c r="L89" s="28" t="str">
        <x:v>Blocked</x:v>
      </x:c>
      <x:c r="M89" s="28" t="str">
        <x:v>WBS 7.4</x:v>
      </x:c>
      <x:c r="N89" s="28" t="str"/>
      <x:c r="O89" s="28" t="str"/>
      <x:c r="P89" s="28" t="str"/>
      <x:c r="Q89" s="28" t="str">
        <x:v>Automated</x:v>
      </x:c>
      <x:c r="R89" s="28" t="str"/>
    </x:row>
    <x:row r="90">
      <x:c r="A90" s="28" t="str">
        <x:v>S4-AI-12</x:v>
      </x:c>
      <x:c r="B90" s="28" t="str">
        <x:v>7.4,7.9</x:v>
      </x:c>
      <x:c r="C90" s="28" t="str">
        <x:v>AI Response Validation</x:v>
      </x:c>
      <x:c r="D90" s="28" t="str">
        <x:v>FR-18</x:v>
      </x:c>
      <x:c r="E90" s="28" t="str">
        <x:v>High</x:v>
      </x:c>
      <x:c r="F90" s="28" t="str">
        <x:v>Integration</x:v>
      </x:c>
      <x:c r="G90" s="28" t="str">
        <x:v>Protect deterministic results during AI failure</x:v>
      </x:c>
      <x:c r="H90" s="28" t="str">
        <x:v>Existing deterministic recommendation, gap, readiness, and job-match data</x:v>
      </x:c>
      <x:c r="I90" s="28" t="str">
        <x:v>Trigger controlled text-AI failure then compare deterministic outputs.</x:v>
      </x:c>
      <x:c r="J90" s="28" t="str">
        <x:v>Deterministic values remain unchanged.</x:v>
      </x:c>
      <x:c r="K90" s="28" t="str">
        <x:v>Jerald</x:v>
      </x:c>
      <x:c r="L90" s="28" t="str">
        <x:v>Blocked</x:v>
      </x:c>
      <x:c r="M90" s="28" t="str">
        <x:v>WBS 7.4</x:v>
      </x:c>
      <x:c r="N90" s="28" t="str"/>
      <x:c r="O90" s="28" t="str"/>
      <x:c r="P90" s="28" t="str"/>
      <x:c r="Q90" s="28" t="str">
        <x:v>Automated</x:v>
      </x:c>
      <x:c r="R90" s="28" t="str"/>
    </x:row>
    <x:row r="91">
      <x:c r="A91" s="28" t="str">
        <x:v>S4-ADMINAPI-01</x:v>
      </x:c>
      <x:c r="B91" s="28" t="str">
        <x:v>7.6,7.9</x:v>
      </x:c>
      <x:c r="C91" s="28" t="str">
        <x:v>Admin API</x:v>
      </x:c>
      <x:c r="D91" s="28" t="str">
        <x:v>FR-14</x:v>
      </x:c>
      <x:c r="E91" s="28" t="str">
        <x:v>High</x:v>
      </x:c>
      <x:c r="F91" s="28" t="str">
        <x:v>API</x:v>
      </x:c>
      <x:c r="G91" s="28" t="str">
        <x:v>Reject unauthenticated admin API request</x:v>
      </x:c>
      <x:c r="H91" s="28" t="str">
        <x:v>No authentication</x:v>
      </x:c>
      <x:c r="I91" s="28" t="str">
        <x:v>Call an administrator collection endpoint.</x:v>
      </x:c>
      <x:c r="J91" s="28" t="str">
        <x:v>Request is rejected.</x:v>
      </x:c>
      <x:c r="K91" s="28" t="str">
        <x:v>MD</x:v>
      </x:c>
      <x:c r="L91" s="28" t="str">
        <x:v>Blocked</x:v>
      </x:c>
      <x:c r="M91" s="28" t="str">
        <x:v>WBS 7.6</x:v>
      </x:c>
      <x:c r="N91" s="28" t="str"/>
      <x:c r="O91" s="28" t="str"/>
      <x:c r="P91" s="28" t="str"/>
      <x:c r="Q91" s="28" t="str">
        <x:v>Hybrid</x:v>
      </x:c>
      <x:c r="R91" s="28" t="str"/>
    </x:row>
    <x:row r="92">
      <x:c r="A92" s="28" t="str">
        <x:v>S4-ADMINAPI-02</x:v>
      </x:c>
      <x:c r="B92" s="28" t="str">
        <x:v>7.6,7.9</x:v>
      </x:c>
      <x:c r="C92" s="28" t="str">
        <x:v>Admin API</x:v>
      </x:c>
      <x:c r="D92" s="28" t="str">
        <x:v>FR-14</x:v>
      </x:c>
      <x:c r="E92" s="28" t="str">
        <x:v>High</x:v>
      </x:c>
      <x:c r="F92" s="28" t="str">
        <x:v>API</x:v>
      </x:c>
      <x:c r="G92" s="28" t="str">
        <x:v>Reject Student-role admin API request</x:v>
      </x:c>
      <x:c r="H92" s="28" t="str">
        <x:v>Authenticated Student</x:v>
      </x:c>
      <x:c r="I92" s="28" t="str">
        <x:v>Call an administrator collection endpoint.</x:v>
      </x:c>
      <x:c r="J92" s="28" t="str">
        <x:v>Backend returns permission denial.</x:v>
      </x:c>
      <x:c r="K92" s="28" t="str">
        <x:v>MD</x:v>
      </x:c>
      <x:c r="L92" s="28" t="str">
        <x:v>Blocked</x:v>
      </x:c>
      <x:c r="M92" s="28" t="str">
        <x:v>WBS 7.6</x:v>
      </x:c>
      <x:c r="N92" s="28" t="str"/>
      <x:c r="O92" s="28" t="str"/>
      <x:c r="P92" s="28" t="str"/>
      <x:c r="Q92" s="28" t="str">
        <x:v>Hybrid</x:v>
      </x:c>
      <x:c r="R92" s="28" t="str"/>
    </x:row>
    <x:row r="93">
      <x:c r="A93" s="28" t="str">
        <x:v>S4-ADMINAPI-03</x:v>
      </x:c>
      <x:c r="B93" s="28" t="str">
        <x:v>7.6,7.9</x:v>
      </x:c>
      <x:c r="C93" s="28" t="str">
        <x:v>Admin API</x:v>
      </x:c>
      <x:c r="D93" s="28" t="str">
        <x:v>FR-14</x:v>
      </x:c>
      <x:c r="E93" s="28" t="str">
        <x:v>High</x:v>
      </x:c>
      <x:c r="F93" s="28" t="str">
        <x:v>API</x:v>
      </x:c>
      <x:c r="G93" s="28" t="str">
        <x:v>Allow Administrator admin API request</x:v>
      </x:c>
      <x:c r="H93" s="28" t="str">
        <x:v>Authenticated Administrator</x:v>
      </x:c>
      <x:c r="I93" s="28" t="str">
        <x:v>Call an approved administrator collection endpoint.</x:v>
      </x:c>
      <x:c r="J93" s="28" t="str">
        <x:v>Approved administration data is returned.</x:v>
      </x:c>
      <x:c r="K93" s="28" t="str">
        <x:v>MD</x:v>
      </x:c>
      <x:c r="L93" s="28" t="str">
        <x:v>Blocked</x:v>
      </x:c>
      <x:c r="M93" s="28" t="str">
        <x:v>WBS 7.6</x:v>
      </x:c>
      <x:c r="N93" s="28" t="str"/>
      <x:c r="O93" s="28" t="str"/>
      <x:c r="P93" s="28" t="str"/>
      <x:c r="Q93" s="28" t="str">
        <x:v>Hybrid</x:v>
      </x:c>
      <x:c r="R93" s="28" t="str"/>
    </x:row>
    <x:row r="94">
      <x:c r="A94" s="28" t="str">
        <x:v>S4-ADMINAPI-04</x:v>
      </x:c>
      <x:c r="B94" s="28" t="str">
        <x:v>7.6,7.9</x:v>
      </x:c>
      <x:c r="C94" s="28" t="str">
        <x:v>Admin API</x:v>
      </x:c>
      <x:c r="D94" s="28" t="str">
        <x:v>FR-14</x:v>
      </x:c>
      <x:c r="E94" s="28" t="str">
        <x:v>High</x:v>
      </x:c>
      <x:c r="F94" s="28" t="str">
        <x:v>API</x:v>
      </x:c>
      <x:c r="G94" s="28" t="str">
        <x:v>List users without exposing passwords</x:v>
      </x:c>
      <x:c r="H94" s="28" t="str">
        <x:v>Authenticated Administrator</x:v>
      </x:c>
      <x:c r="I94" s="28" t="str">
        <x:v>Request administrator user list.</x:v>
      </x:c>
      <x:c r="J94" s="28" t="str">
        <x:v>User list excludes password values and unnecessary private profile data.</x:v>
      </x:c>
      <x:c r="K94" s="28" t="str">
        <x:v>MD</x:v>
      </x:c>
      <x:c r="L94" s="28" t="str">
        <x:v>Blocked</x:v>
      </x:c>
      <x:c r="M94" s="28" t="str">
        <x:v>WBS 7.6</x:v>
      </x:c>
      <x:c r="N94" s="28" t="str"/>
      <x:c r="O94" s="28" t="str"/>
      <x:c r="P94" s="28" t="str"/>
      <x:c r="Q94" s="28" t="str">
        <x:v>Hybrid</x:v>
      </x:c>
      <x:c r="R94" s="28" t="str"/>
    </x:row>
    <x:row r="95">
      <x:c r="A95" s="28" t="str">
        <x:v>S4-ADMINAPI-05</x:v>
      </x:c>
      <x:c r="B95" s="28" t="str">
        <x:v>7.6,7.9</x:v>
      </x:c>
      <x:c r="C95" s="28" t="str">
        <x:v>Admin API</x:v>
      </x:c>
      <x:c r="D95" s="28" t="str">
        <x:v>FR-14</x:v>
      </x:c>
      <x:c r="E95" s="28" t="str">
        <x:v>High</x:v>
      </x:c>
      <x:c r="F95" s="28" t="str">
        <x:v>API</x:v>
      </x:c>
      <x:c r="G95" s="28" t="str">
        <x:v>Retrieve approved user administration detail</x:v>
      </x:c>
      <x:c r="H95" s="28" t="str">
        <x:v>Authenticated Administrator and target user</x:v>
      </x:c>
      <x:c r="I95" s="28" t="str">
        <x:v>Request user detail.</x:v>
      </x:c>
      <x:c r="J95" s="28" t="str">
        <x:v>Approved user administration fields are returned.</x:v>
      </x:c>
      <x:c r="K95" s="28" t="str">
        <x:v>MD</x:v>
      </x:c>
      <x:c r="L95" s="28" t="str">
        <x:v>Blocked</x:v>
      </x:c>
      <x:c r="M95" s="28" t="str">
        <x:v>WBS 7.6</x:v>
      </x:c>
      <x:c r="N95" s="28" t="str"/>
      <x:c r="O95" s="28" t="str"/>
      <x:c r="P95" s="28" t="str"/>
      <x:c r="Q95" s="28" t="str">
        <x:v>Hybrid</x:v>
      </x:c>
      <x:c r="R95" s="28" t="str"/>
    </x:row>
    <x:row r="96">
      <x:c r="A96" s="28" t="str">
        <x:v>S4-ADMINAPI-06</x:v>
      </x:c>
      <x:c r="B96" s="28" t="str">
        <x:v>7.6,7.9</x:v>
      </x:c>
      <x:c r="C96" s="28" t="str">
        <x:v>Admin API</x:v>
      </x:c>
      <x:c r="D96" s="28" t="str">
        <x:v>FR-14</x:v>
      </x:c>
      <x:c r="E96" s="28" t="str">
        <x:v>High</x:v>
      </x:c>
      <x:c r="F96" s="28" t="str">
        <x:v>API</x:v>
      </x:c>
      <x:c r="G96" s="28" t="str">
        <x:v>Update approved user administration field</x:v>
      </x:c>
      <x:c r="H96" s="28" t="str">
        <x:v>Authenticated Administrator</x:v>
      </x:c>
      <x:c r="I96" s="28" t="str">
        <x:v>Submit an approved user update.</x:v>
      </x:c>
      <x:c r="J96" s="28" t="str">
        <x:v>Update succeeds and persists.</x:v>
      </x:c>
      <x:c r="K96" s="28" t="str">
        <x:v>MD</x:v>
      </x:c>
      <x:c r="L96" s="28" t="str">
        <x:v>Blocked</x:v>
      </x:c>
      <x:c r="M96" s="28" t="str">
        <x:v>WBS 7.6</x:v>
      </x:c>
      <x:c r="N96" s="28" t="str"/>
      <x:c r="O96" s="28" t="str"/>
      <x:c r="P96" s="28" t="str"/>
      <x:c r="Q96" s="28" t="str">
        <x:v>Hybrid</x:v>
      </x:c>
      <x:c r="R96" s="28" t="str"/>
    </x:row>
    <x:row r="97">
      <x:c r="A97" s="28" t="str">
        <x:v>S4-ADMINAPI-07</x:v>
      </x:c>
      <x:c r="B97" s="28" t="str">
        <x:v>7.6,7.9</x:v>
      </x:c>
      <x:c r="C97" s="28" t="str">
        <x:v>Admin API</x:v>
      </x:c>
      <x:c r="D97" s="28" t="str">
        <x:v>FR-14</x:v>
      </x:c>
      <x:c r="E97" s="28" t="str">
        <x:v>High</x:v>
      </x:c>
      <x:c r="F97" s="28" t="str">
        <x:v>API</x:v>
      </x:c>
      <x:c r="G97" s="28" t="str">
        <x:v>Career management CRUD contract</x:v>
      </x:c>
      <x:c r="H97" s="28" t="str">
        <x:v>Authenticated Administrator</x:v>
      </x:c>
      <x:c r="I97" s="28" t="str">
        <x:v>Exercise approved Career create, retrieve, update, and delete operations.</x:v>
      </x:c>
      <x:c r="J97" s="28" t="str">
        <x:v>Career administration follows the approved API contract.</x:v>
      </x:c>
      <x:c r="K97" s="28" t="str">
        <x:v>MD</x:v>
      </x:c>
      <x:c r="L97" s="28" t="str">
        <x:v>Blocked</x:v>
      </x:c>
      <x:c r="M97" s="28" t="str">
        <x:v>WBS 7.6</x:v>
      </x:c>
      <x:c r="N97" s="28" t="str"/>
      <x:c r="O97" s="28" t="str"/>
      <x:c r="P97" s="28" t="str"/>
      <x:c r="Q97" s="28" t="str">
        <x:v>Hybrid</x:v>
      </x:c>
      <x:c r="R97" s="28" t="str"/>
    </x:row>
    <x:row r="98">
      <x:c r="A98" s="28" t="str">
        <x:v>S4-ADMINAPI-08</x:v>
      </x:c>
      <x:c r="B98" s="28" t="str">
        <x:v>7.6,7.9</x:v>
      </x:c>
      <x:c r="C98" s="28" t="str">
        <x:v>Admin API</x:v>
      </x:c>
      <x:c r="D98" s="28" t="str">
        <x:v>FR-14</x:v>
      </x:c>
      <x:c r="E98" s="28" t="str">
        <x:v>High</x:v>
      </x:c>
      <x:c r="F98" s="28" t="str">
        <x:v>API</x:v>
      </x:c>
      <x:c r="G98" s="28" t="str">
        <x:v>Skill management CRUD contract</x:v>
      </x:c>
      <x:c r="H98" s="28" t="str">
        <x:v>Authenticated Administrator</x:v>
      </x:c>
      <x:c r="I98" s="28" t="str">
        <x:v>Exercise approved Skill create, retrieve, update, and delete operations.</x:v>
      </x:c>
      <x:c r="J98" s="28" t="str">
        <x:v>Skill administration follows the approved API contract.</x:v>
      </x:c>
      <x:c r="K98" s="28" t="str">
        <x:v>MD</x:v>
      </x:c>
      <x:c r="L98" s="28" t="str">
        <x:v>Blocked</x:v>
      </x:c>
      <x:c r="M98" s="28" t="str">
        <x:v>WBS 7.6</x:v>
      </x:c>
      <x:c r="N98" s="28" t="str"/>
      <x:c r="O98" s="28" t="str"/>
      <x:c r="P98" s="28" t="str"/>
      <x:c r="Q98" s="28" t="str">
        <x:v>Hybrid</x:v>
      </x:c>
      <x:c r="R98" s="28" t="str"/>
    </x:row>
    <x:row r="99">
      <x:c r="A99" s="28" t="str">
        <x:v>S4-ADMINAPI-09</x:v>
      </x:c>
      <x:c r="B99" s="28" t="str">
        <x:v>7.6,7.9</x:v>
      </x:c>
      <x:c r="C99" s="28" t="str">
        <x:v>Admin API</x:v>
      </x:c>
      <x:c r="D99" s="28" t="str">
        <x:v>FR-14</x:v>
      </x:c>
      <x:c r="E99" s="28" t="str">
        <x:v>High</x:v>
      </x:c>
      <x:c r="F99" s="28" t="str">
        <x:v>API</x:v>
      </x:c>
      <x:c r="G99" s="28" t="str">
        <x:v>Learning Resource management CRUD contract</x:v>
      </x:c>
      <x:c r="H99" s="28" t="str">
        <x:v>Authenticated Administrator</x:v>
      </x:c>
      <x:c r="I99" s="28" t="str">
        <x:v>Exercise approved Learning Resource operations.</x:v>
      </x:c>
      <x:c r="J99" s="28" t="str">
        <x:v>Learning Resource administration follows the approved API contract.</x:v>
      </x:c>
      <x:c r="K99" s="28" t="str">
        <x:v>MD</x:v>
      </x:c>
      <x:c r="L99" s="28" t="str">
        <x:v>Blocked</x:v>
      </x:c>
      <x:c r="M99" s="28" t="str">
        <x:v>WBS 7.6</x:v>
      </x:c>
      <x:c r="N99" s="28" t="str"/>
      <x:c r="O99" s="28" t="str"/>
      <x:c r="P99" s="28" t="str"/>
      <x:c r="Q99" s="28" t="str">
        <x:v>Hybrid</x:v>
      </x:c>
      <x:c r="R99" s="28" t="str"/>
    </x:row>
    <x:row r="100">
      <x:c r="A100" s="28" t="str">
        <x:v>S4-ADMINAPI-10</x:v>
      </x:c>
      <x:c r="B100" s="28" t="str">
        <x:v>7.6,7.9</x:v>
      </x:c>
      <x:c r="C100" s="28" t="str">
        <x:v>Admin API</x:v>
      </x:c>
      <x:c r="D100" s="28" t="str">
        <x:v>FR-14</x:v>
      </x:c>
      <x:c r="E100" s="28" t="str">
        <x:v>High</x:v>
      </x:c>
      <x:c r="F100" s="28" t="str">
        <x:v>API</x:v>
      </x:c>
      <x:c r="G100" s="28" t="str">
        <x:v>Learning Resource to Skill assignment</x:v>
      </x:c>
      <x:c r="H100" s="28" t="str">
        <x:v>Authenticated Administrator with existing Skill and resource</x:v>
      </x:c>
      <x:c r="I100" s="28" t="str">
        <x:v>Assign the approved Skill relation.</x:v>
      </x:c>
      <x:c r="J100" s="28" t="str">
        <x:v>Assignment persists and is returned correctly.</x:v>
      </x:c>
      <x:c r="K100" s="28" t="str">
        <x:v>MD</x:v>
      </x:c>
      <x:c r="L100" s="28" t="str">
        <x:v>Blocked</x:v>
      </x:c>
      <x:c r="M100" s="28" t="str">
        <x:v>WBS 7.6</x:v>
      </x:c>
      <x:c r="N100" s="28" t="str"/>
      <x:c r="O100" s="28" t="str"/>
      <x:c r="P100" s="28" t="str"/>
      <x:c r="Q100" s="28" t="str">
        <x:v>Hybrid</x:v>
      </x:c>
      <x:c r="R100" s="28" t="str"/>
    </x:row>
    <x:row r="101">
      <x:c r="A101" s="28" t="str">
        <x:v>S4-ADMINUI-01</x:v>
      </x:c>
      <x:c r="B101" s="28" t="str">
        <x:v>7.7,7.9</x:v>
      </x:c>
      <x:c r="C101" s="28" t="str">
        <x:v>Admin Dashboard</x:v>
      </x:c>
      <x:c r="D101" s="28" t="str">
        <x:v>FR-14</x:v>
      </x:c>
      <x:c r="E101" s="28" t="str">
        <x:v>High</x:v>
      </x:c>
      <x:c r="F101" s="28" t="str">
        <x:v>Frontend</x:v>
      </x:c>
      <x:c r="G101" s="28" t="str">
        <x:v>Protect admin route</x:v>
      </x:c>
      <x:c r="H101" s="28" t="str">
        <x:v>Signed-out browser session</x:v>
      </x:c>
      <x:c r="I101" s="28" t="str">
        <x:v>Navigate directly to /admin.</x:v>
      </x:c>
      <x:c r="J101" s="28" t="str">
        <x:v>Unauthenticated access is blocked.</x:v>
      </x:c>
      <x:c r="K101" s="28" t="str">
        <x:v>Joyee</x:v>
      </x:c>
      <x:c r="L101" s="28" t="str">
        <x:v>Blocked</x:v>
      </x:c>
      <x:c r="M101" s="28" t="str">
        <x:v>WBS 7.7 and WBS 7.6</x:v>
      </x:c>
      <x:c r="N101" s="28" t="str"/>
      <x:c r="O101" s="28" t="str"/>
      <x:c r="P101" s="28" t="str"/>
      <x:c r="Q101" s="28" t="str">
        <x:v>Manual</x:v>
      </x:c>
      <x:c r="R101" s="28" t="str"/>
    </x:row>
    <x:row r="102">
      <x:c r="A102" s="28" t="str">
        <x:v>S4-ADMINUI-02</x:v>
      </x:c>
      <x:c r="B102" s="28" t="str">
        <x:v>7.7,7.9</x:v>
      </x:c>
      <x:c r="C102" s="28" t="str">
        <x:v>Admin Dashboard</x:v>
      </x:c>
      <x:c r="D102" s="28" t="str">
        <x:v>FR-14</x:v>
      </x:c>
      <x:c r="E102" s="28" t="str">
        <x:v>High</x:v>
      </x:c>
      <x:c r="F102" s="28" t="str">
        <x:v>Frontend</x:v>
      </x:c>
      <x:c r="G102" s="28" t="str">
        <x:v>Reject Student from admin dashboard</x:v>
      </x:c>
      <x:c r="H102" s="28" t="str">
        <x:v>Authenticated Student</x:v>
      </x:c>
      <x:c r="I102" s="28" t="str">
        <x:v>Navigate directly to /admin.</x:v>
      </x:c>
      <x:c r="J102" s="28" t="str">
        <x:v>Student cannot use the admin dashboard.</x:v>
      </x:c>
      <x:c r="K102" s="28" t="str">
        <x:v>Joyee</x:v>
      </x:c>
      <x:c r="L102" s="28" t="str">
        <x:v>Blocked</x:v>
      </x:c>
      <x:c r="M102" s="28" t="str">
        <x:v>WBS 7.7 and WBS 7.6</x:v>
      </x:c>
      <x:c r="N102" s="28" t="str"/>
      <x:c r="O102" s="28" t="str"/>
      <x:c r="P102" s="28" t="str"/>
      <x:c r="Q102" s="28" t="str">
        <x:v>Manual</x:v>
      </x:c>
      <x:c r="R102" s="28" t="str"/>
    </x:row>
    <x:row r="103">
      <x:c r="A103" s="28" t="str">
        <x:v>S4-ADMINUI-03</x:v>
      </x:c>
      <x:c r="B103" s="28" t="str">
        <x:v>7.7,7.9</x:v>
      </x:c>
      <x:c r="C103" s="28" t="str">
        <x:v>Admin Dashboard</x:v>
      </x:c>
      <x:c r="D103" s="28" t="str">
        <x:v>FR-14</x:v>
      </x:c>
      <x:c r="E103" s="28" t="str">
        <x:v>High</x:v>
      </x:c>
      <x:c r="F103" s="28" t="str">
        <x:v>Frontend</x:v>
      </x:c>
      <x:c r="G103" s="28" t="str">
        <x:v>Load Admin Dashboard for Administrator</x:v>
      </x:c>
      <x:c r="H103" s="28" t="str">
        <x:v>Authenticated Administrator</x:v>
      </x:c>
      <x:c r="I103" s="28" t="str">
        <x:v>Open /admin.</x:v>
      </x:c>
      <x:c r="J103" s="28" t="str">
        <x:v>Admin Dashboard loads.</x:v>
      </x:c>
      <x:c r="K103" s="28" t="str">
        <x:v>Joyee</x:v>
      </x:c>
      <x:c r="L103" s="28" t="str">
        <x:v>Blocked</x:v>
      </x:c>
      <x:c r="M103" s="28" t="str">
        <x:v>WBS 7.7 and WBS 7.6</x:v>
      </x:c>
      <x:c r="N103" s="28" t="str"/>
      <x:c r="O103" s="28" t="str"/>
      <x:c r="P103" s="28" t="str"/>
      <x:c r="Q103" s="28" t="str">
        <x:v>Manual</x:v>
      </x:c>
      <x:c r="R103" s="28" t="str"/>
    </x:row>
    <x:row r="104">
      <x:c r="A104" s="28" t="str">
        <x:v>S4-ADMINUI-04</x:v>
      </x:c>
      <x:c r="B104" s="28" t="str">
        <x:v>7.7,7.9</x:v>
      </x:c>
      <x:c r="C104" s="28" t="str">
        <x:v>Admin Dashboard</x:v>
      </x:c>
      <x:c r="D104" s="28" t="str">
        <x:v>FR-14</x:v>
      </x:c>
      <x:c r="E104" s="28" t="str">
        <x:v>High</x:v>
      </x:c>
      <x:c r="F104" s="28" t="str">
        <x:v>Frontend</x:v>
      </x:c>
      <x:c r="G104" s="28" t="str">
        <x:v>Display admin loading state</x:v>
      </x:c>
      <x:c r="H104" s="28" t="str">
        <x:v>Admin API response is delayed</x:v>
      </x:c>
      <x:c r="I104" s="28" t="str">
        <x:v>Open Admin Dashboard.</x:v>
      </x:c>
      <x:c r="J104" s="28" t="str">
        <x:v>Loading state is visible while data is pending.</x:v>
      </x:c>
      <x:c r="K104" s="28" t="str">
        <x:v>Joyee</x:v>
      </x:c>
      <x:c r="L104" s="28" t="str">
        <x:v>Blocked</x:v>
      </x:c>
      <x:c r="M104" s="28" t="str">
        <x:v>WBS 7.7 and WBS 7.6</x:v>
      </x:c>
      <x:c r="N104" s="28" t="str"/>
      <x:c r="O104" s="28" t="str"/>
      <x:c r="P104" s="28" t="str"/>
      <x:c r="Q104" s="28" t="str">
        <x:v>Manual</x:v>
      </x:c>
      <x:c r="R104" s="28" t="str"/>
    </x:row>
    <x:row r="105">
      <x:c r="A105" s="28" t="str">
        <x:v>S4-ADMINUI-05</x:v>
      </x:c>
      <x:c r="B105" s="28" t="str">
        <x:v>7.7,7.9</x:v>
      </x:c>
      <x:c r="C105" s="28" t="str">
        <x:v>Admin Dashboard</x:v>
      </x:c>
      <x:c r="D105" s="28" t="str">
        <x:v>FR-14</x:v>
      </x:c>
      <x:c r="E105" s="28" t="str">
        <x:v>High</x:v>
      </x:c>
      <x:c r="F105" s="28" t="str">
        <x:v>Frontend</x:v>
      </x:c>
      <x:c r="G105" s="28" t="str">
        <x:v>Display admin API error state</x:v>
      </x:c>
      <x:c r="H105" s="28" t="str">
        <x:v>Controlled admin API failure</x:v>
      </x:c>
      <x:c r="I105" s="28" t="str">
        <x:v>Open Admin Dashboard.</x:v>
      </x:c>
      <x:c r="J105" s="28" t="str">
        <x:v>Controlled error state is shown.</x:v>
      </x:c>
      <x:c r="K105" s="28" t="str">
        <x:v>Joyee</x:v>
      </x:c>
      <x:c r="L105" s="28" t="str">
        <x:v>Blocked</x:v>
      </x:c>
      <x:c r="M105" s="28" t="str">
        <x:v>WBS 7.7 and WBS 7.6</x:v>
      </x:c>
      <x:c r="N105" s="28" t="str"/>
      <x:c r="O105" s="28" t="str"/>
      <x:c r="P105" s="28" t="str"/>
      <x:c r="Q105" s="28" t="str">
        <x:v>Manual</x:v>
      </x:c>
      <x:c r="R105" s="28" t="str"/>
    </x:row>
    <x:row r="106">
      <x:c r="A106" s="28" t="str">
        <x:v>S4-ADMINUI-06</x:v>
      </x:c>
      <x:c r="B106" s="28" t="str">
        <x:v>7.7,7.9</x:v>
      </x:c>
      <x:c r="C106" s="28" t="str">
        <x:v>Admin Dashboard</x:v>
      </x:c>
      <x:c r="D106" s="28" t="str">
        <x:v>FR-14</x:v>
      </x:c>
      <x:c r="E106" s="28" t="str">
        <x:v>High</x:v>
      </x:c>
      <x:c r="F106" s="28" t="str">
        <x:v>Frontend</x:v>
      </x:c>
      <x:c r="G106" s="28" t="str">
        <x:v>Display approved summary information</x:v>
      </x:c>
      <x:c r="H106" s="28" t="str">
        <x:v>Authenticated Administrator and API data available</x:v>
      </x:c>
      <x:c r="I106" s="28" t="str">
        <x:v>Open Admin Dashboard.</x:v>
      </x:c>
      <x:c r="J106" s="28" t="str">
        <x:v>Approved summary information is rendered.</x:v>
      </x:c>
      <x:c r="K106" s="28" t="str">
        <x:v>Joyee</x:v>
      </x:c>
      <x:c r="L106" s="28" t="str">
        <x:v>Blocked</x:v>
      </x:c>
      <x:c r="M106" s="28" t="str">
        <x:v>WBS 7.7 and WBS 7.6</x:v>
      </x:c>
      <x:c r="N106" s="28" t="str"/>
      <x:c r="O106" s="28" t="str"/>
      <x:c r="P106" s="28" t="str"/>
      <x:c r="Q106" s="28" t="str">
        <x:v>Manual</x:v>
      </x:c>
      <x:c r="R106" s="28" t="str"/>
    </x:row>
    <x:row r="107">
      <x:c r="A107" s="28" t="str">
        <x:v>S4-ADMINUI-07</x:v>
      </x:c>
      <x:c r="B107" s="28" t="str">
        <x:v>7.7,7.9</x:v>
      </x:c>
      <x:c r="C107" s="28" t="str">
        <x:v>Admin Dashboard</x:v>
      </x:c>
      <x:c r="D107" s="28" t="str">
        <x:v>FR-14</x:v>
      </x:c>
      <x:c r="E107" s="28" t="str">
        <x:v>High</x:v>
      </x:c>
      <x:c r="F107" s="28" t="str">
        <x:v>Frontend</x:v>
      </x:c>
      <x:c r="G107" s="28" t="str">
        <x:v>Use approved management screen</x:v>
      </x:c>
      <x:c r="H107" s="28" t="str">
        <x:v>Authenticated Administrator</x:v>
      </x:c>
      <x:c r="I107" s="28" t="str">
        <x:v>Open an available user, Career, Skill, or Learning Resource management screen.</x:v>
      </x:c>
      <x:c r="J107" s="28" t="str">
        <x:v>Screen loads and connects to the approved admin API.</x:v>
      </x:c>
      <x:c r="K107" s="28" t="str">
        <x:v>Joyee</x:v>
      </x:c>
      <x:c r="L107" s="28" t="str">
        <x:v>Blocked</x:v>
      </x:c>
      <x:c r="M107" s="28" t="str">
        <x:v>WBS 7.7 and WBS 7.6</x:v>
      </x:c>
      <x:c r="N107" s="28" t="str"/>
      <x:c r="O107" s="28" t="str"/>
      <x:c r="P107" s="28" t="str"/>
      <x:c r="Q107" s="28" t="str">
        <x:v>Manual</x:v>
      </x:c>
      <x:c r="R107" s="28" t="str"/>
    </x:row>
    <x:row r="108">
      <x:c r="A108" s="28" t="str">
        <x:v>S4-ADMINUI-08</x:v>
      </x:c>
      <x:c r="B108" s="28" t="str">
        <x:v>7.7,7.9</x:v>
      </x:c>
      <x:c r="C108" s="28" t="str">
        <x:v>Admin Dashboard</x:v>
      </x:c>
      <x:c r="D108" s="28" t="str">
        <x:v>FR-14</x:v>
      </x:c>
      <x:c r="E108" s="28" t="str">
        <x:v>High</x:v>
      </x:c>
      <x:c r="F108" s="28" t="str">
        <x:v>Frontend</x:v>
      </x:c>
      <x:c r="G108" s="28" t="str">
        <x:v>Admin UI does not replace backend permission boundary</x:v>
      </x:c>
      <x:c r="H108" s="28" t="str">
        <x:v>Authenticated Student with manipulated frontend navigation</x:v>
      </x:c>
      <x:c r="I108" s="28" t="str">
        <x:v>Attempt direct admin API action.</x:v>
      </x:c>
      <x:c r="J108" s="28" t="str">
        <x:v>Backend still rejects the operation.</x:v>
      </x:c>
      <x:c r="K108" s="28" t="str">
        <x:v>Joyee</x:v>
      </x:c>
      <x:c r="L108" s="28" t="str">
        <x:v>Blocked</x:v>
      </x:c>
      <x:c r="M108" s="28" t="str">
        <x:v>WBS 7.7 and WBS 7.6</x:v>
      </x:c>
      <x:c r="N108" s="28" t="str"/>
      <x:c r="O108" s="28" t="str"/>
      <x:c r="P108" s="28" t="str"/>
      <x:c r="Q108" s="28" t="str">
        <x:v>Manual</x:v>
      </x:c>
      <x:c r="R108" s="28" t="str"/>
    </x:row>
    <x:row r="109">
      <x:c r="A109" s="28" t="str">
        <x:v>S4-PERM-01</x:v>
      </x:c>
      <x:c r="B109" s="28" t="str">
        <x:v>7.8,7.9</x:v>
      </x:c>
      <x:c r="C109" s="28" t="str">
        <x:v>Role Permissions</x:v>
      </x:c>
      <x:c r="D109" s="28" t="str">
        <x:v>NFR-05</x:v>
      </x:c>
      <x:c r="E109" s="28" t="str">
        <x:v>High</x:v>
      </x:c>
      <x:c r="F109" s="28" t="str">
        <x:v>Permission</x:v>
      </x:c>
      <x:c r="G109" s="28" t="str">
        <x:v>Administrator role accesses approved admin operation</x:v>
      </x:c>
      <x:c r="H109" s="28" t="str">
        <x:v>Authenticated Administrator</x:v>
      </x:c>
      <x:c r="I109" s="28" t="str">
        <x:v>Perform an approved administration request.</x:v>
      </x:c>
      <x:c r="J109" s="28" t="str">
        <x:v>Backend permits the approved role operation.</x:v>
      </x:c>
      <x:c r="K109" s="28" t="str">
        <x:v>MD</x:v>
      </x:c>
      <x:c r="L109" s="28" t="str">
        <x:v>Blocked</x:v>
      </x:c>
      <x:c r="M109" s="28" t="str">
        <x:v>WBS 7.8</x:v>
      </x:c>
      <x:c r="N109" s="28" t="str"/>
      <x:c r="O109" s="28" t="str"/>
      <x:c r="P109" s="28" t="str"/>
      <x:c r="Q109" s="28" t="str">
        <x:v>Automated</x:v>
      </x:c>
      <x:c r="R109" s="28" t="str"/>
    </x:row>
    <x:row r="110">
      <x:c r="A110" s="28" t="str">
        <x:v>S4-PERM-02</x:v>
      </x:c>
      <x:c r="B110" s="28" t="str">
        <x:v>7.8,7.9</x:v>
      </x:c>
      <x:c r="C110" s="28" t="str">
        <x:v>Role Permissions</x:v>
      </x:c>
      <x:c r="D110" s="28" t="str">
        <x:v>NFR-05</x:v>
      </x:c>
      <x:c r="E110" s="28" t="str">
        <x:v>Critical</x:v>
      </x:c>
      <x:c r="F110" s="28" t="str">
        <x:v>Permission</x:v>
      </x:c>
      <x:c r="G110" s="28" t="str">
        <x:v>Student role is denied admin collection access</x:v>
      </x:c>
      <x:c r="H110" s="28" t="str">
        <x:v>Authenticated Student</x:v>
      </x:c>
      <x:c r="I110" s="28" t="str">
        <x:v>Call an administrator collection endpoint directly.</x:v>
      </x:c>
      <x:c r="J110" s="28" t="str">
        <x:v>Backend denies access.</x:v>
      </x:c>
      <x:c r="K110" s="28" t="str">
        <x:v>MD</x:v>
      </x:c>
      <x:c r="L110" s="28" t="str">
        <x:v>Blocked</x:v>
      </x:c>
      <x:c r="M110" s="28" t="str">
        <x:v>WBS 7.8</x:v>
      </x:c>
      <x:c r="N110" s="28" t="str"/>
      <x:c r="O110" s="28" t="str"/>
      <x:c r="P110" s="28" t="str"/>
      <x:c r="Q110" s="28" t="str">
        <x:v>Automated</x:v>
      </x:c>
      <x:c r="R110" s="28" t="str"/>
    </x:row>
    <x:row r="111">
      <x:c r="A111" s="28" t="str">
        <x:v>S4-PERM-03</x:v>
      </x:c>
      <x:c r="B111" s="28" t="str">
        <x:v>7.8,7.9</x:v>
      </x:c>
      <x:c r="C111" s="28" t="str">
        <x:v>Role Permissions</x:v>
      </x:c>
      <x:c r="D111" s="28" t="str">
        <x:v>NFR-05</x:v>
      </x:c>
      <x:c r="E111" s="28" t="str">
        <x:v>Critical</x:v>
      </x:c>
      <x:c r="F111" s="28" t="str">
        <x:v>Permission</x:v>
      </x:c>
      <x:c r="G111" s="28" t="str">
        <x:v>Student role is denied admin mutation</x:v>
      </x:c>
      <x:c r="H111" s="28" t="str">
        <x:v>Authenticated Student</x:v>
      </x:c>
      <x:c r="I111" s="28" t="str">
        <x:v>Attempt an administrator create or update directly.</x:v>
      </x:c>
      <x:c r="J111" s="28" t="str">
        <x:v>Backend denies access and no mutation occurs.</x:v>
      </x:c>
      <x:c r="K111" s="28" t="str">
        <x:v>MD</x:v>
      </x:c>
      <x:c r="L111" s="28" t="str">
        <x:v>Blocked</x:v>
      </x:c>
      <x:c r="M111" s="28" t="str">
        <x:v>WBS 7.8</x:v>
      </x:c>
      <x:c r="N111" s="28" t="str"/>
      <x:c r="O111" s="28" t="str"/>
      <x:c r="P111" s="28" t="str"/>
      <x:c r="Q111" s="28" t="str">
        <x:v>Automated</x:v>
      </x:c>
      <x:c r="R111" s="28" t="str"/>
    </x:row>
    <x:row r="112">
      <x:c r="A112" s="28" t="str">
        <x:v>S4-PERM-04</x:v>
      </x:c>
      <x:c r="B112" s="28" t="str">
        <x:v>7.8,7.9</x:v>
      </x:c>
      <x:c r="C112" s="28" t="str">
        <x:v>Role Permissions</x:v>
      </x:c>
      <x:c r="D112" s="28" t="str">
        <x:v>NFR-05</x:v>
      </x:c>
      <x:c r="E112" s="28" t="str">
        <x:v>High</x:v>
      </x:c>
      <x:c r="F112" s="28" t="str">
        <x:v>Permission</x:v>
      </x:c>
      <x:c r="G112" s="28" t="str">
        <x:v>Unauthenticated user is denied admin access</x:v>
      </x:c>
      <x:c r="H112" s="28" t="str">
        <x:v>No authentication</x:v>
      </x:c>
      <x:c r="I112" s="28" t="str">
        <x:v>Call an admin endpoint.</x:v>
      </x:c>
      <x:c r="J112" s="28" t="str">
        <x:v>Request is rejected as unauthenticated.</x:v>
      </x:c>
      <x:c r="K112" s="28" t="str">
        <x:v>MD</x:v>
      </x:c>
      <x:c r="L112" s="28" t="str">
        <x:v>Blocked</x:v>
      </x:c>
      <x:c r="M112" s="28" t="str">
        <x:v>WBS 7.8</x:v>
      </x:c>
      <x:c r="N112" s="28" t="str"/>
      <x:c r="O112" s="28" t="str"/>
      <x:c r="P112" s="28" t="str"/>
      <x:c r="Q112" s="28" t="str">
        <x:v>Automated</x:v>
      </x:c>
      <x:c r="R112" s="28" t="str"/>
    </x:row>
    <x:row r="113">
      <x:c r="A113" s="28" t="str">
        <x:v>S4-PERM-05</x:v>
      </x:c>
      <x:c r="B113" s="28" t="str">
        <x:v>7.8,7.9</x:v>
      </x:c>
      <x:c r="C113" s="28" t="str">
        <x:v>Role Permissions</x:v>
      </x:c>
      <x:c r="D113" s="28" t="str">
        <x:v>NFR-05</x:v>
      </x:c>
      <x:c r="E113" s="28" t="str">
        <x:v>Critical</x:v>
      </x:c>
      <x:c r="F113" s="28" t="str">
        <x:v>Permission</x:v>
      </x:c>
      <x:c r="G113" s="28" t="str">
        <x:v>Frontend manipulation does not bypass admin permission</x:v>
      </x:c>
      <x:c r="H113" s="28" t="str">
        <x:v>Authenticated Student</x:v>
      </x:c>
      <x:c r="I113" s="28" t="str">
        <x:v>Manually navigate or submit a direct admin request.</x:v>
      </x:c>
      <x:c r="J113" s="28" t="str">
        <x:v>Backend permission enforcement prevents access.</x:v>
      </x:c>
      <x:c r="K113" s="28" t="str">
        <x:v>MD</x:v>
      </x:c>
      <x:c r="L113" s="28" t="str">
        <x:v>Blocked</x:v>
      </x:c>
      <x:c r="M113" s="28" t="str">
        <x:v>WBS 7.8</x:v>
      </x:c>
      <x:c r="N113" s="28" t="str"/>
      <x:c r="O113" s="28" t="str"/>
      <x:c r="P113" s="28" t="str"/>
      <x:c r="Q113" s="28" t="str">
        <x:v>Automated</x:v>
      </x:c>
      <x:c r="R113" s="28" t="str"/>
    </x:row>
    <x:row r="114">
      <x:c r="A114" s="28" t="str">
        <x:v>S4-PERM-06</x:v>
      </x:c>
      <x:c r="B114" s="28" t="str">
        <x:v>7.8,7.9</x:v>
      </x:c>
      <x:c r="C114" s="28" t="str">
        <x:v>Role Permissions</x:v>
      </x:c>
      <x:c r="D114" s="28" t="str">
        <x:v>NFR-05</x:v>
      </x:c>
      <x:c r="E114" s="28" t="str">
        <x:v>Critical</x:v>
      </x:c>
      <x:c r="F114" s="28" t="str">
        <x:v>Permission</x:v>
      </x:c>
      <x:c r="G114" s="28" t="str">
        <x:v>Student-owned resource isolation remains active</x:v>
      </x:c>
      <x:c r="H114" s="28" t="str">
        <x:v>Two Student accounts</x:v>
      </x:c>
      <x:c r="I114" s="28" t="str">
        <x:v>Attempt cross-student access after permission changes are integrated.</x:v>
      </x:c>
      <x:c r="J114" s="28" t="str">
        <x:v>Cross-student access remains denied.</x:v>
      </x:c>
      <x:c r="K114" s="28" t="str">
        <x:v>MD</x:v>
      </x:c>
      <x:c r="L114" s="28" t="str">
        <x:v>Blocked</x:v>
      </x:c>
      <x:c r="M114" s="28" t="str">
        <x:v>WBS 7.8</x:v>
      </x:c>
      <x:c r="N114" s="28" t="str"/>
      <x:c r="O114" s="28" t="str"/>
      <x:c r="P114" s="28" t="str"/>
      <x:c r="Q114" s="28" t="str">
        <x:v>Automated</x:v>
      </x:c>
      <x:c r="R114" s="28" t="str"/>
    </x:row>
    <x:row r="115">
      <x:c r="A115" s="28" t="str">
        <x:v>S4-AUDIT-01</x:v>
      </x:c>
      <x:c r="B115" s="28" t="str">
        <x:v>7.8,7.9</x:v>
      </x:c>
      <x:c r="C115" s="28" t="str">
        <x:v>Audit Records</x:v>
      </x:c>
      <x:c r="D115" s="28" t="str">
        <x:v>FR-18</x:v>
      </x:c>
      <x:c r="E115" s="28" t="str">
        <x:v>High</x:v>
      </x:c>
      <x:c r="F115" s="28" t="str">
        <x:v>Security</x:v>
      </x:c>
      <x:c r="G115" s="28" t="str">
        <x:v>Approved critical admin action creates audit record</x:v>
      </x:c>
      <x:c r="H115" s="28" t="str">
        <x:v>WBS 7.8 integrated and Administrator authenticated</x:v>
      </x:c>
      <x:c r="I115" s="28" t="str">
        <x:v>Perform an approved critical administration action.</x:v>
      </x:c>
      <x:c r="J115" s="28" t="str">
        <x:v>Required audit record is created.</x:v>
      </x:c>
      <x:c r="K115" s="28" t="str">
        <x:v>MD</x:v>
      </x:c>
      <x:c r="L115" s="28" t="str">
        <x:v>Blocked</x:v>
      </x:c>
      <x:c r="M115" s="28" t="str">
        <x:v>WBS 7.8</x:v>
      </x:c>
      <x:c r="N115" s="28" t="str"/>
      <x:c r="O115" s="28" t="str"/>
      <x:c r="P115" s="28" t="str"/>
      <x:c r="Q115" s="28" t="str">
        <x:v>Hybrid</x:v>
      </x:c>
      <x:c r="R115" s="28" t="str"/>
    </x:row>
    <x:row r="116">
      <x:c r="A116" s="28" t="str">
        <x:v>S4-AUDIT-02</x:v>
      </x:c>
      <x:c r="B116" s="28" t="str">
        <x:v>7.8,7.9</x:v>
      </x:c>
      <x:c r="C116" s="28" t="str">
        <x:v>Audit Records</x:v>
      </x:c>
      <x:c r="D116" s="28" t="str">
        <x:v>FR-18</x:v>
      </x:c>
      <x:c r="E116" s="28" t="str">
        <x:v>High</x:v>
      </x:c>
      <x:c r="F116" s="28" t="str">
        <x:v>Security</x:v>
      </x:c>
      <x:c r="G116" s="28" t="str">
        <x:v>Audit record identifies action</x:v>
      </x:c>
      <x:c r="H116" s="28" t="str">
        <x:v>Audit record exists</x:v>
      </x:c>
      <x:c r="I116" s="28" t="str">
        <x:v>Inspect the stored audit record.</x:v>
      </x:c>
      <x:c r="J116" s="28" t="str">
        <x:v>Record identifies the approved action using the required fields.</x:v>
      </x:c>
      <x:c r="K116" s="28" t="str">
        <x:v>MD</x:v>
      </x:c>
      <x:c r="L116" s="28" t="str">
        <x:v>Blocked</x:v>
      </x:c>
      <x:c r="M116" s="28" t="str">
        <x:v>WBS 7.8</x:v>
      </x:c>
      <x:c r="N116" s="28" t="str"/>
      <x:c r="O116" s="28" t="str"/>
      <x:c r="P116" s="28" t="str"/>
      <x:c r="Q116" s="28" t="str">
        <x:v>Hybrid</x:v>
      </x:c>
      <x:c r="R116" s="28" t="str"/>
    </x:row>
    <x:row r="117">
      <x:c r="A117" s="28" t="str">
        <x:v>S4-AUDIT-03</x:v>
      </x:c>
      <x:c r="B117" s="28" t="str">
        <x:v>7.8,7.9</x:v>
      </x:c>
      <x:c r="C117" s="28" t="str">
        <x:v>Audit Records</x:v>
      </x:c>
      <x:c r="D117" s="28" t="str">
        <x:v>FR-18</x:v>
      </x:c>
      <x:c r="E117" s="28" t="str">
        <x:v>Critical</x:v>
      </x:c>
      <x:c r="F117" s="28" t="str">
        <x:v>Security</x:v>
      </x:c>
      <x:c r="G117" s="28" t="str">
        <x:v>Audit record excludes passwords</x:v>
      </x:c>
      <x:c r="H117" s="28" t="str">
        <x:v>Audit record exists after user administration action</x:v>
      </x:c>
      <x:c r="I117" s="28" t="str">
        <x:v>Inspect audit data.</x:v>
      </x:c>
      <x:c r="J117" s="28" t="str">
        <x:v>No password or password hash is stored in audit details.</x:v>
      </x:c>
      <x:c r="K117" s="28" t="str">
        <x:v>MD</x:v>
      </x:c>
      <x:c r="L117" s="28" t="str">
        <x:v>Blocked</x:v>
      </x:c>
      <x:c r="M117" s="28" t="str">
        <x:v>WBS 7.8</x:v>
      </x:c>
      <x:c r="N117" s="28" t="str"/>
      <x:c r="O117" s="28" t="str"/>
      <x:c r="P117" s="28" t="str"/>
      <x:c r="Q117" s="28" t="str">
        <x:v>Hybrid</x:v>
      </x:c>
      <x:c r="R117" s="28" t="str"/>
    </x:row>
    <x:row r="118">
      <x:c r="A118" s="28" t="str">
        <x:v>S4-AUDIT-04</x:v>
      </x:c>
      <x:c r="B118" s="28" t="str">
        <x:v>7.8,7.9</x:v>
      </x:c>
      <x:c r="C118" s="28" t="str">
        <x:v>Audit Records</x:v>
      </x:c>
      <x:c r="D118" s="28" t="str">
        <x:v>FR-18</x:v>
      </x:c>
      <x:c r="E118" s="28" t="str">
        <x:v>Critical</x:v>
      </x:c>
      <x:c r="F118" s="28" t="str">
        <x:v>Security</x:v>
      </x:c>
      <x:c r="G118" s="28" t="str">
        <x:v>Audit record excludes JWT values and secrets</x:v>
      </x:c>
      <x:c r="H118" s="28" t="str">
        <x:v>Audit record exists</x:v>
      </x:c>
      <x:c r="I118" s="28" t="str">
        <x:v>Inspect audit data.</x:v>
      </x:c>
      <x:c r="J118" s="28" t="str">
        <x:v>No JWT, API key, or secret value is stored.</x:v>
      </x:c>
      <x:c r="K118" s="28" t="str">
        <x:v>MD</x:v>
      </x:c>
      <x:c r="L118" s="28" t="str">
        <x:v>Blocked</x:v>
      </x:c>
      <x:c r="M118" s="28" t="str">
        <x:v>WBS 7.8</x:v>
      </x:c>
      <x:c r="N118" s="28" t="str"/>
      <x:c r="O118" s="28" t="str"/>
      <x:c r="P118" s="28" t="str"/>
      <x:c r="Q118" s="28" t="str">
        <x:v>Hybrid</x:v>
      </x:c>
      <x:c r="R118" s="28" t="str"/>
    </x:row>
    <x:row r="119">
      <x:c r="A119" s="28" t="str">
        <x:v>S4-AUDIT-05</x:v>
      </x:c>
      <x:c r="B119" s="28" t="str">
        <x:v>7.8,7.9</x:v>
      </x:c>
      <x:c r="C119" s="28" t="str">
        <x:v>Audit Records</x:v>
      </x:c>
      <x:c r="D119" s="28" t="str">
        <x:v>FR-18</x:v>
      </x:c>
      <x:c r="E119" s="28" t="str">
        <x:v>Critical</x:v>
      </x:c>
      <x:c r="F119" s="28" t="str">
        <x:v>Security</x:v>
      </x:c>
      <x:c r="G119" s="28" t="str">
        <x:v>Audit record avoids unnecessary Student private data</x:v>
      </x:c>
      <x:c r="H119" s="28" t="str">
        <x:v>Audit record exists</x:v>
      </x:c>
      <x:c r="I119" s="28" t="str">
        <x:v>Inspect audit data.</x:v>
      </x:c>
      <x:c r="J119" s="28" t="str">
        <x:v>Only approved audit data is retained.</x:v>
      </x:c>
      <x:c r="K119" s="28" t="str">
        <x:v>MD</x:v>
      </x:c>
      <x:c r="L119" s="28" t="str">
        <x:v>Blocked</x:v>
      </x:c>
      <x:c r="M119" s="28" t="str">
        <x:v>WBS 7.8</x:v>
      </x:c>
      <x:c r="N119" s="28" t="str"/>
      <x:c r="O119" s="28" t="str"/>
      <x:c r="P119" s="28" t="str"/>
      <x:c r="Q119" s="28" t="str">
        <x:v>Hybrid</x:v>
      </x:c>
      <x:c r="R119" s="28" t="str"/>
    </x:row>
    <x:row r="120">
      <x:c r="A120" s="28" t="str">
        <x:v>S4-AUDIT-06</x:v>
      </x:c>
      <x:c r="B120" s="28" t="str">
        <x:v>7.8,7.9</x:v>
      </x:c>
      <x:c r="C120" s="28" t="str">
        <x:v>Audit Records</x:v>
      </x:c>
      <x:c r="D120" s="28" t="str">
        <x:v>FR-18</x:v>
      </x:c>
      <x:c r="E120" s="28" t="str">
        <x:v>Critical</x:v>
      </x:c>
      <x:c r="F120" s="28" t="str">
        <x:v>Security</x:v>
      </x:c>
      <x:c r="G120" s="28" t="str">
        <x:v>Audit access follows permission model</x:v>
      </x:c>
      <x:c r="H120" s="28" t="str">
        <x:v>Student and Administrator accounts available</x:v>
      </x:c>
      <x:c r="I120" s="28" t="str">
        <x:v>Attempt audit access with both roles.</x:v>
      </x:c>
      <x:c r="J120" s="28" t="str">
        <x:v>Only the approved role has audit access.</x:v>
      </x:c>
      <x:c r="K120" s="28" t="str">
        <x:v>MD</x:v>
      </x:c>
      <x:c r="L120" s="28" t="str">
        <x:v>Blocked</x:v>
      </x:c>
      <x:c r="M120" s="28" t="str">
        <x:v>WBS 7.8</x:v>
      </x:c>
      <x:c r="N120" s="28" t="str"/>
      <x:c r="O120" s="28" t="str"/>
      <x:c r="P120" s="28" t="str"/>
      <x:c r="Q120" s="28" t="str">
        <x:v>Hybrid</x:v>
      </x:c>
      <x:c r="R120" s="28" t="str"/>
    </x:row>
    <x:row r="121">
      <x:c r="A121" s="28" t="str">
        <x:v>S4-FE-01</x:v>
      </x:c>
      <x:c r="B121" s="28" t="str">
        <x:v>7.5,7.9</x:v>
      </x:c>
      <x:c r="C121" s="28" t="str">
        <x:v>Frontend Quality</x:v>
      </x:c>
      <x:c r="D121" s="28" t="str">
        <x:v>NFR-02,NFR-10,NFR-11</x:v>
      </x:c>
      <x:c r="E121" s="28" t="str">
        <x:v>Medium</x:v>
      </x:c>
      <x:c r="F121" s="28" t="str">
        <x:v>Frontend</x:v>
      </x:c>
      <x:c r="G121" s="28" t="str">
        <x:v>Job Matching desktop layout</x:v>
      </x:c>
      <x:c r="H121" s="28" t="str">
        <x:v>Job Matching page available</x:v>
      </x:c>
      <x:c r="I121" s="28" t="str">
        <x:v>Check current desktop width.</x:v>
      </x:c>
      <x:c r="J121" s="28" t="str">
        <x:v>Content and actions remain readable and usable.</x:v>
      </x:c>
      <x:c r="K121" s="28" t="str">
        <x:v>Joyee</x:v>
      </x:c>
      <x:c r="L121" s="28" t="str">
        <x:v>Not Run</x:v>
      </x:c>
      <x:c r="M121" s="28" t="str"/>
      <x:c r="N121" s="28" t="str"/>
      <x:c r="O121" s="28" t="str"/>
      <x:c r="P121" s="28" t="str"/>
      <x:c r="Q121" s="28" t="str">
        <x:v>Manual</x:v>
      </x:c>
      <x:c r="R121" s="28" t="str"/>
    </x:row>
    <x:row r="122">
      <x:c r="A122" s="28" t="str">
        <x:v>S4-FE-02</x:v>
      </x:c>
      <x:c r="B122" s="28" t="str">
        <x:v>7.5,7.9</x:v>
      </x:c>
      <x:c r="C122" s="28" t="str">
        <x:v>Frontend Quality</x:v>
      </x:c>
      <x:c r="D122" s="28" t="str">
        <x:v>NFR-02,NFR-10,NFR-11</x:v>
      </x:c>
      <x:c r="E122" s="28" t="str">
        <x:v>Medium</x:v>
      </x:c>
      <x:c r="F122" s="28" t="str">
        <x:v>Frontend</x:v>
      </x:c>
      <x:c r="G122" s="28" t="str">
        <x:v>Job Matching tablet and mobile layout</x:v>
      </x:c>
      <x:c r="H122" s="28" t="str">
        <x:v>Job Matching page available</x:v>
      </x:c>
      <x:c r="I122" s="28" t="str">
        <x:v>Check representative tablet and mobile widths.</x:v>
      </x:c>
      <x:c r="J122" s="28" t="str">
        <x:v>Core controls and results remain usable without unintended overflow.</x:v>
      </x:c>
      <x:c r="K122" s="28" t="str">
        <x:v>Joyee</x:v>
      </x:c>
      <x:c r="L122" s="28" t="str">
        <x:v>Not Run</x:v>
      </x:c>
      <x:c r="M122" s="28" t="str"/>
      <x:c r="N122" s="28" t="str"/>
      <x:c r="O122" s="28" t="str"/>
      <x:c r="P122" s="28" t="str"/>
      <x:c r="Q122" s="28" t="str">
        <x:v>Manual</x:v>
      </x:c>
      <x:c r="R122" s="28" t="str"/>
    </x:row>
    <x:row r="123">
      <x:c r="A123" s="28" t="str">
        <x:v>S4-FE-03</x:v>
      </x:c>
      <x:c r="B123" s="28" t="str">
        <x:v>7.7,7.9</x:v>
      </x:c>
      <x:c r="C123" s="28" t="str">
        <x:v>Frontend Quality</x:v>
      </x:c>
      <x:c r="D123" s="28" t="str">
        <x:v>NFR-02,NFR-10,NFR-11</x:v>
      </x:c>
      <x:c r="E123" s="28" t="str">
        <x:v>Medium</x:v>
      </x:c>
      <x:c r="F123" s="28" t="str">
        <x:v>Frontend</x:v>
      </x:c>
      <x:c r="G123" s="28" t="str">
        <x:v>Admin Dashboard responsive layout</x:v>
      </x:c>
      <x:c r="H123" s="28" t="str">
        <x:v>WBS 7.7 integrated</x:v>
      </x:c>
      <x:c r="I123" s="28" t="str">
        <x:v>Check desktop, tablet, and mobile widths.</x:v>
      </x:c>
      <x:c r="J123" s="28" t="str">
        <x:v>Approved admin dashboard remains usable across planned widths.</x:v>
      </x:c>
      <x:c r="K123" s="28" t="str">
        <x:v>Joyee</x:v>
      </x:c>
      <x:c r="L123" s="28" t="str">
        <x:v>Blocked</x:v>
      </x:c>
      <x:c r="M123" s="28" t="str">
        <x:v>WBS 7.7</x:v>
      </x:c>
      <x:c r="N123" s="28" t="str"/>
      <x:c r="O123" s="28" t="str"/>
      <x:c r="P123" s="28" t="str"/>
      <x:c r="Q123" s="28" t="str">
        <x:v>Manual</x:v>
      </x:c>
      <x:c r="R123" s="28" t="str"/>
    </x:row>
    <x:row r="124">
      <x:c r="A124" s="28" t="str">
        <x:v>S4-FE-04</x:v>
      </x:c>
      <x:c r="B124" s="28" t="str">
        <x:v>7.9</x:v>
      </x:c>
      <x:c r="C124" s="28" t="str">
        <x:v>Frontend Quality</x:v>
      </x:c>
      <x:c r="D124" s="28" t="str">
        <x:v>NFR-02,NFR-10,NFR-11</x:v>
      </x:c>
      <x:c r="E124" s="28" t="str">
        <x:v>Medium</x:v>
      </x:c>
      <x:c r="F124" s="28" t="str">
        <x:v>Frontend</x:v>
      </x:c>
      <x:c r="G124" s="28" t="str">
        <x:v>Keyboard access for Sprint 4 forms</x:v>
      </x:c>
      <x:c r="H124" s="28" t="str">
        <x:v>Relevant Sprint 4 forms available</x:v>
      </x:c>
      <x:c r="I124" s="28" t="str">
        <x:v>Navigate controls using keyboard only.</x:v>
      </x:c>
      <x:c r="J124" s="28" t="str">
        <x:v>Interactive controls are reachable in a logical order.</x:v>
      </x:c>
      <x:c r="K124" s="28" t="str">
        <x:v>Joyee</x:v>
      </x:c>
      <x:c r="L124" s="28" t="str">
        <x:v>Not Run</x:v>
      </x:c>
      <x:c r="M124" s="28" t="str"/>
      <x:c r="N124" s="28" t="str"/>
      <x:c r="O124" s="28" t="str"/>
      <x:c r="P124" s="28" t="str"/>
      <x:c r="Q124" s="28" t="str">
        <x:v>Manual</x:v>
      </x:c>
      <x:c r="R124" s="28" t="str"/>
    </x:row>
    <x:row r="125">
      <x:c r="A125" s="28" t="str">
        <x:v>S4-FE-05</x:v>
      </x:c>
      <x:c r="B125" s="28" t="str">
        <x:v>7.9</x:v>
      </x:c>
      <x:c r="C125" s="28" t="str">
        <x:v>Frontend Quality</x:v>
      </x:c>
      <x:c r="D125" s="28" t="str">
        <x:v>NFR-02,NFR-10,NFR-11</x:v>
      </x:c>
      <x:c r="E125" s="28" t="str">
        <x:v>Medium</x:v>
      </x:c>
      <x:c r="F125" s="28" t="str">
        <x:v>Frontend</x:v>
      </x:c>
      <x:c r="G125" s="28" t="str">
        <x:v>Form labels and validation feedback</x:v>
      </x:c>
      <x:c r="H125" s="28" t="str">
        <x:v>Sprint 4 form available</x:v>
      </x:c>
      <x:c r="I125" s="28" t="str">
        <x:v>Inspect labels and trigger validation.</x:v>
      </x:c>
      <x:c r="J125" s="28" t="str">
        <x:v>Inputs have meaningful labels and useful validation feedback.</x:v>
      </x:c>
      <x:c r="K125" s="28" t="str">
        <x:v>Joyee</x:v>
      </x:c>
      <x:c r="L125" s="28" t="str">
        <x:v>Not Run</x:v>
      </x:c>
      <x:c r="M125" s="28" t="str"/>
      <x:c r="N125" s="28" t="str"/>
      <x:c r="O125" s="28" t="str"/>
      <x:c r="P125" s="28" t="str"/>
      <x:c r="Q125" s="28" t="str">
        <x:v>Manual</x:v>
      </x:c>
      <x:c r="R125" s="28" t="str"/>
    </x:row>
    <x:row r="126">
      <x:c r="A126" s="28" t="str">
        <x:v>S4-FE-06</x:v>
      </x:c>
      <x:c r="B126" s="28" t="str">
        <x:v>7.9</x:v>
      </x:c>
      <x:c r="C126" s="28" t="str">
        <x:v>Frontend Quality</x:v>
      </x:c>
      <x:c r="D126" s="28" t="str">
        <x:v>NFR-02,NFR-10,NFR-11</x:v>
      </x:c>
      <x:c r="E126" s="28" t="str">
        <x:v>Medium</x:v>
      </x:c>
      <x:c r="F126" s="28" t="str">
        <x:v>Frontend</x:v>
      </x:c>
      <x:c r="G126" s="28" t="str">
        <x:v>Current Chrome compatibility</x:v>
      </x:c>
      <x:c r="H126" s="28" t="str">
        <x:v>Integrated Sprint 4 baseline ready</x:v>
      </x:c>
      <x:c r="I126" s="28" t="str">
        <x:v>Execute core Sprint 4 smoke flow in Chrome.</x:v>
      </x:c>
      <x:c r="J126" s="28" t="str">
        <x:v>Core flow works in current Chrome.</x:v>
      </x:c>
      <x:c r="K126" s="28" t="str">
        <x:v>Joyee</x:v>
      </x:c>
      <x:c r="L126" s="28" t="str">
        <x:v>Blocked</x:v>
      </x:c>
      <x:c r="M126" s="28" t="str">
        <x:v>WBS 7.4, 7.6, 7.7, 7.8 integration gate</x:v>
      </x:c>
      <x:c r="N126" s="28" t="str"/>
      <x:c r="O126" s="28" t="str"/>
      <x:c r="P126" s="28" t="str"/>
      <x:c r="Q126" s="28" t="str">
        <x:v>Manual</x:v>
      </x:c>
      <x:c r="R126" s="28" t="str"/>
    </x:row>
    <x:row r="127">
      <x:c r="A127" s="28" t="str">
        <x:v>S4-FE-07</x:v>
      </x:c>
      <x:c r="B127" s="28" t="str">
        <x:v>7.9</x:v>
      </x:c>
      <x:c r="C127" s="28" t="str">
        <x:v>Frontend Quality</x:v>
      </x:c>
      <x:c r="D127" s="28" t="str">
        <x:v>NFR-02,NFR-10,NFR-11</x:v>
      </x:c>
      <x:c r="E127" s="28" t="str">
        <x:v>Medium</x:v>
      </x:c>
      <x:c r="F127" s="28" t="str">
        <x:v>Frontend</x:v>
      </x:c>
      <x:c r="G127" s="28" t="str">
        <x:v>Current Edge compatibility</x:v>
      </x:c>
      <x:c r="H127" s="28" t="str">
        <x:v>Integrated Sprint 4 baseline ready</x:v>
      </x:c>
      <x:c r="I127" s="28" t="str">
        <x:v>Execute core Sprint 4 smoke flow in Edge.</x:v>
      </x:c>
      <x:c r="J127" s="28" t="str">
        <x:v>Core flow works in current Edge.</x:v>
      </x:c>
      <x:c r="K127" s="28" t="str">
        <x:v>Joyee</x:v>
      </x:c>
      <x:c r="L127" s="28" t="str">
        <x:v>Blocked</x:v>
      </x:c>
      <x:c r="M127" s="28" t="str">
        <x:v>WBS 7.4, 7.6, 7.7, 7.8 integration gate</x:v>
      </x:c>
      <x:c r="N127" s="28" t="str"/>
      <x:c r="O127" s="28" t="str"/>
      <x:c r="P127" s="28" t="str"/>
      <x:c r="Q127" s="28" t="str">
        <x:v>Manual</x:v>
      </x:c>
      <x:c r="R127" s="28" t="str"/>
    </x:row>
    <x:row r="128">
      <x:c r="A128" s="28" t="str">
        <x:v>S4-FE-08</x:v>
      </x:c>
      <x:c r="B128" s="28" t="str">
        <x:v>7.9</x:v>
      </x:c>
      <x:c r="C128" s="28" t="str">
        <x:v>Frontend Quality</x:v>
      </x:c>
      <x:c r="D128" s="28" t="str">
        <x:v>NFR-02,NFR-10,NFR-11</x:v>
      </x:c>
      <x:c r="E128" s="28" t="str">
        <x:v>Medium</x:v>
      </x:c>
      <x:c r="F128" s="28" t="str">
        <x:v>Frontend</x:v>
      </x:c>
      <x:c r="G128" s="28" t="str">
        <x:v>Current Firefox compatibility</x:v>
      </x:c>
      <x:c r="H128" s="28" t="str">
        <x:v>Integrated Sprint 4 baseline ready</x:v>
      </x:c>
      <x:c r="I128" s="28" t="str">
        <x:v>Execute core Sprint 4 smoke flow in Firefox.</x:v>
      </x:c>
      <x:c r="J128" s="28" t="str">
        <x:v>Core flow works in current Firefox.</x:v>
      </x:c>
      <x:c r="K128" s="28" t="str">
        <x:v>Joyee</x:v>
      </x:c>
      <x:c r="L128" s="28" t="str">
        <x:v>Blocked</x:v>
      </x:c>
      <x:c r="M128" s="28" t="str">
        <x:v>WBS 7.4, 7.6, 7.7, 7.8 integration gate</x:v>
      </x:c>
      <x:c r="N128" s="28" t="str"/>
      <x:c r="O128" s="28" t="str"/>
      <x:c r="P128" s="28" t="str"/>
      <x:c r="Q128" s="28" t="str">
        <x:v>Manual</x:v>
      </x:c>
      <x:c r="R128" s="28" t="str"/>
    </x:row>
    <x:row r="129">
      <x:c r="A129" s="28" t="str">
        <x:v>S4-REG-01</x:v>
      </x:c>
      <x:c r="B129" s="28" t="str">
        <x:v>7.9</x:v>
      </x:c>
      <x:c r="C129" s="28" t="str">
        <x:v>Cross-Sprint Regression</x:v>
      </x:c>
      <x:c r="D129" s="28" t="str">
        <x:v>NFR-12</x:v>
      </x:c>
      <x:c r="E129" s="28" t="str">
        <x:v>High</x:v>
      </x:c>
      <x:c r="F129" s="28" t="str">
        <x:v>Regression</x:v>
      </x:c>
      <x:c r="G129" s="28" t="str">
        <x:v>Sprint 1 authentication regression</x:v>
      </x:c>
      <x:c r="H129" s="28" t="str">
        <x:v>Integrated Sprint 4 baseline ready</x:v>
      </x:c>
      <x:c r="I129" s="28" t="str">
        <x:v>Execute approved Sprint 1 authentication smoke set.</x:v>
      </x:c>
      <x:c r="J129" s="28" t="str">
        <x:v>Core authentication remains working.</x:v>
      </x:c>
      <x:c r="K129" s="28" t="str">
        <x:v>Jerald</x:v>
      </x:c>
      <x:c r="L129" s="28" t="str">
        <x:v>Blocked</x:v>
      </x:c>
      <x:c r="M129" s="28" t="str">
        <x:v>WBS 7.4, 7.6, 7.7, 7.8 integration gate</x:v>
      </x:c>
      <x:c r="N129" s="28" t="str"/>
      <x:c r="O129" s="28" t="str"/>
      <x:c r="P129" s="28" t="str"/>
      <x:c r="Q129" s="28" t="str">
        <x:v>Hybrid</x:v>
      </x:c>
      <x:c r="R129" s="28" t="str"/>
    </x:row>
    <x:row r="130">
      <x:c r="A130" s="28" t="str">
        <x:v>S4-REG-02</x:v>
      </x:c>
      <x:c r="B130" s="28" t="str">
        <x:v>7.9</x:v>
      </x:c>
      <x:c r="C130" s="28" t="str">
        <x:v>Cross-Sprint Regression</x:v>
      </x:c>
      <x:c r="D130" s="28" t="str">
        <x:v>NFR-12</x:v>
      </x:c>
      <x:c r="E130" s="28" t="str">
        <x:v>High</x:v>
      </x:c>
      <x:c r="F130" s="28" t="str">
        <x:v>Regression</x:v>
      </x:c>
      <x:c r="G130" s="28" t="str">
        <x:v>Sprint 1 Student Profile regression</x:v>
      </x:c>
      <x:c r="H130" s="28" t="str">
        <x:v>Integrated Sprint 4 baseline ready</x:v>
      </x:c>
      <x:c r="I130" s="28" t="str">
        <x:v>Execute approved Student Profile smoke set.</x:v>
      </x:c>
      <x:c r="J130" s="28" t="str">
        <x:v>Core Student Profile remains working.</x:v>
      </x:c>
      <x:c r="K130" s="28" t="str">
        <x:v>MD</x:v>
      </x:c>
      <x:c r="L130" s="28" t="str">
        <x:v>Blocked</x:v>
      </x:c>
      <x:c r="M130" s="28" t="str">
        <x:v>WBS 7.4, 7.6, 7.7, 7.8 integration gate</x:v>
      </x:c>
      <x:c r="N130" s="28" t="str"/>
      <x:c r="O130" s="28" t="str"/>
      <x:c r="P130" s="28" t="str"/>
      <x:c r="Q130" s="28" t="str">
        <x:v>Hybrid</x:v>
      </x:c>
      <x:c r="R130" s="28" t="str"/>
    </x:row>
    <x:row r="131">
      <x:c r="A131" s="28" t="str">
        <x:v>S4-REG-03</x:v>
      </x:c>
      <x:c r="B131" s="28" t="str">
        <x:v>7.9</x:v>
      </x:c>
      <x:c r="C131" s="28" t="str">
        <x:v>Cross-Sprint Regression</x:v>
      </x:c>
      <x:c r="D131" s="28" t="str">
        <x:v>NFR-12</x:v>
      </x:c>
      <x:c r="E131" s="28" t="str">
        <x:v>High</x:v>
      </x:c>
      <x:c r="F131" s="28" t="str">
        <x:v>Regression</x:v>
      </x:c>
      <x:c r="G131" s="28" t="str">
        <x:v>Sprint 2 career-analysis regression</x:v>
      </x:c>
      <x:c r="H131" s="28" t="str">
        <x:v>Integrated Sprint 4 baseline ready</x:v>
      </x:c>
      <x:c r="I131" s="28" t="str">
        <x:v>Execute approved Career Recommendation, Skill Gap, Readiness, Learning, and Roadmap smoke set.</x:v>
      </x:c>
      <x:c r="J131" s="28" t="str">
        <x:v>Core Sprint 2 career-analysis functions remain working.</x:v>
      </x:c>
      <x:c r="K131" s="28" t="str">
        <x:v>Jerald</x:v>
      </x:c>
      <x:c r="L131" s="28" t="str">
        <x:v>Blocked</x:v>
      </x:c>
      <x:c r="M131" s="28" t="str">
        <x:v>WBS 7.4, 7.6, 7.7, 7.8 integration gate</x:v>
      </x:c>
      <x:c r="N131" s="28" t="str"/>
      <x:c r="O131" s="28" t="str"/>
      <x:c r="P131" s="28" t="str"/>
      <x:c r="Q131" s="28" t="str">
        <x:v>Hybrid</x:v>
      </x:c>
      <x:c r="R131" s="28" t="str"/>
    </x:row>
    <x:row r="132">
      <x:c r="A132" s="28" t="str">
        <x:v>S4-REG-04</x:v>
      </x:c>
      <x:c r="B132" s="28" t="str">
        <x:v>7.9</x:v>
      </x:c>
      <x:c r="C132" s="28" t="str">
        <x:v>Cross-Sprint Regression</x:v>
      </x:c>
      <x:c r="D132" s="28" t="str">
        <x:v>NFR-12</x:v>
      </x:c>
      <x:c r="E132" s="28" t="str">
        <x:v>High</x:v>
      </x:c>
      <x:c r="F132" s="28" t="str">
        <x:v>Regression</x:v>
      </x:c>
      <x:c r="G132" s="28" t="str">
        <x:v>Sprint 3 document regression</x:v>
      </x:c>
      <x:c r="H132" s="28" t="str">
        <x:v>Integrated Sprint 4 baseline ready</x:v>
      </x:c>
      <x:c r="I132" s="28" t="str">
        <x:v>Execute approved Resume and Cover Letter smoke set.</x:v>
      </x:c>
      <x:c r="J132" s="28" t="str">
        <x:v>Core document flows remain working.</x:v>
      </x:c>
      <x:c r="K132" s="28" t="str">
        <x:v>MD</x:v>
      </x:c>
      <x:c r="L132" s="28" t="str">
        <x:v>Blocked</x:v>
      </x:c>
      <x:c r="M132" s="28" t="str">
        <x:v>WBS 7.4, 7.6, 7.7, 7.8 integration gate</x:v>
      </x:c>
      <x:c r="N132" s="28" t="str"/>
      <x:c r="O132" s="28" t="str"/>
      <x:c r="P132" s="28" t="str"/>
      <x:c r="Q132" s="28" t="str">
        <x:v>Hybrid</x:v>
      </x:c>
      <x:c r="R132" s="28" t="str"/>
    </x:row>
    <x:row r="133">
      <x:c r="A133" s="28" t="str">
        <x:v>S4-REG-05</x:v>
      </x:c>
      <x:c r="B133" s="28" t="str">
        <x:v>7.9</x:v>
      </x:c>
      <x:c r="C133" s="28" t="str">
        <x:v>Cross-Sprint Regression</x:v>
      </x:c>
      <x:c r="D133" s="28" t="str">
        <x:v>NFR-12</x:v>
      </x:c>
      <x:c r="E133" s="28" t="str">
        <x:v>High</x:v>
      </x:c>
      <x:c r="F133" s="28" t="str">
        <x:v>Regression</x:v>
      </x:c>
      <x:c r="G133" s="28" t="str">
        <x:v>Sprint 3 Interview regression</x:v>
      </x:c>
      <x:c r="H133" s="28" t="str">
        <x:v>Integrated Sprint 4 baseline ready</x:v>
      </x:c>
      <x:c r="I133" s="28" t="str">
        <x:v>Execute approved Interview Question and Feedback smoke set.</x:v>
      </x:c>
      <x:c r="J133" s="28" t="str">
        <x:v>Core Interview flow remains working.</x:v>
      </x:c>
      <x:c r="K133" s="28" t="str">
        <x:v>Jerald</x:v>
      </x:c>
      <x:c r="L133" s="28" t="str">
        <x:v>Blocked</x:v>
      </x:c>
      <x:c r="M133" s="28" t="str">
        <x:v>WBS 7.4, 7.6, 7.7, 7.8 integration gate</x:v>
      </x:c>
      <x:c r="N133" s="28" t="str"/>
      <x:c r="O133" s="28" t="str"/>
      <x:c r="P133" s="28" t="str"/>
      <x:c r="Q133" s="28" t="str">
        <x:v>Hybrid</x:v>
      </x:c>
      <x:c r="R133" s="28" t="str"/>
    </x:row>
    <x:row r="134">
      <x:c r="A134" s="28" t="str">
        <x:v>S4-REG-06</x:v>
      </x:c>
      <x:c r="B134" s="28" t="str">
        <x:v>7.9</x:v>
      </x:c>
      <x:c r="C134" s="28" t="str">
        <x:v>Cross-Sprint Regression</x:v>
      </x:c>
      <x:c r="D134" s="28" t="str">
        <x:v>NFR-12</x:v>
      </x:c>
      <x:c r="E134" s="28" t="str">
        <x:v>High</x:v>
      </x:c>
      <x:c r="F134" s="28" t="str">
        <x:v>Regression</x:v>
      </x:c>
      <x:c r="G134" s="28" t="str">
        <x:v>Feature-complete Sprint 4 end-to-end smoke</x:v>
      </x:c>
      <x:c r="H134" s="28" t="str">
        <x:v>All WBS 7.9 predecessors merged and no Critical blocker</x:v>
      </x:c>
      <x:c r="I134" s="28" t="str">
        <x:v>Run Student and Administrator core Sprint 4 flows from authentication through final result.</x:v>
      </x:c>
      <x:c r="J134" s="28" t="str">
        <x:v>Core Sprint 4 integrated increment works without unresolved Critical or High blocking defect.</x:v>
      </x:c>
      <x:c r="K134" s="28" t="str">
        <x:v>Jerald</x:v>
      </x:c>
      <x:c r="L134" s="28" t="str">
        <x:v>Blocked</x:v>
      </x:c>
      <x:c r="M134" s="28" t="str">
        <x:v>WBS 7.4, 7.6, 7.7, 7.8 integration gate</x:v>
      </x:c>
      <x:c r="N134" s="28" t="str"/>
      <x:c r="O134" s="28" t="str"/>
      <x:c r="P134" s="28" t="str"/>
      <x:c r="Q134" s="28" t="str">
        <x:v>Hybrid</x:v>
      </x:c>
      <x:c r="R134" s="28" t="str"/>
    </x:row>
  </x:sheetData>
  <x:mergeCells>
    <x:mergeCell ref="A1:R1"/>
    <x:mergeCell ref="A2:R2"/>
  </x:mergeCells>
  <x:conditionalFormatting sqref="L6:L134">
    <x:cfRule type="expression" dxfId="0" priority="1">
      <x:formula>L6="Pass"</x:formula>
    </x:cfRule>
    <x:cfRule type="expression" dxfId="1" priority="2">
      <x:formula>L6="Fail"</x:formula>
    </x:cfRule>
    <x:cfRule type="expression" dxfId="2" priority="3">
      <x:formula>L6="Blocked"</x:formula>
    </x:cfRule>
    <x:cfRule type="expression" dxfId="3" priority="4">
      <x:formula>L6="Not Run"</x:formula>
    </x:cfRule>
    <x:cfRule type="expression" dxfId="4" priority="5">
      <x:formula>L6="Retest"</x:formula>
    </x:cfRule>
  </x:conditionalFormatting>
  <x:dataValidations count="5">
    <x:dataValidation type="list" sqref="E6:E134">
      <x:formula1>"Critical,High,Medium,Low"</x:formula1>
    </x:dataValidation>
    <x:dataValidation type="list" sqref="F6:F134">
      <x:formula1>"Unit,Schema,API,Integration,Permission,Security,Frontend,Regression"</x:formula1>
    </x:dataValidation>
    <x:dataValidation type="list" sqref="K6:K134">
      <x:formula1>"Jerald,MD,Joyee"</x:formula1>
    </x:dataValidation>
    <x:dataValidation type="list" sqref="L6:L134">
      <x:formula1>"Pass,Fail,Blocked,Not Run,Retest"</x:formula1>
    </x:dataValidation>
    <x:dataValidation type="list" sqref="Q6:Q134">
      <x:formula1>"Automated,Manual,Hybrid"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6476165ba04ed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12" hidden="0" customWidth="1"/>
    <x:col min="4" max="4" width="24" hidden="0" customWidth="1"/>
    <x:col min="5" max="5" width="42" hidden="0" customWidth="1"/>
    <x:col min="6" max="6" width="38" hidden="0" customWidth="1"/>
    <x:col min="7" max="7" width="16" hidden="0" customWidth="1"/>
    <x:col min="8" max="8" width="12" hidden="0" customWidth="1"/>
    <x:col min="9" max="9" width="16" hidden="0" customWidth="1"/>
    <x:col min="10" max="10" width="28" hidden="0" customWidth="1"/>
  </x:cols>
  <x:sheetData>
    <x:row r="1">
      <x:c r="A1" s="5" t="str">
        <x:v>GradNavi Sprint 4 Evidence Index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>
      <x:c r="A2" s="13" t="str">
        <x:v>Planned evidence locations for WBS 7.9. Evidence is captured only after a related test is executed.</x:v>
      </x:c>
      <x:c r="B2" s="13"/>
      <x:c r="C2" s="13"/>
      <x:c r="D2" s="13"/>
      <x:c r="E2" s="13"/>
      <x:c r="F2" s="13"/>
      <x:c r="G2" s="13"/>
      <x:c r="H2" s="13"/>
      <x:c r="I2" s="13"/>
      <x:c r="J2" s="13"/>
    </x:row>
    <x:row r="5">
      <x:c r="A5" s="22" t="str">
        <x:v>Evidence ID</x:v>
      </x:c>
      <x:c r="B5" s="22" t="str">
        <x:v>Related Test IDs</x:v>
      </x:c>
      <x:c r="C5" s="22" t="str">
        <x:v>WBS</x:v>
      </x:c>
      <x:c r="D5" s="22" t="str">
        <x:v>Evidence Type</x:v>
      </x:c>
      <x:c r="E5" s="22" t="str">
        <x:v>Description</x:v>
      </x:c>
      <x:c r="F5" s="22" t="str">
        <x:v>Repository Path / Planned File</x:v>
      </x:c>
      <x:c r="G5" s="22" t="str">
        <x:v>Owner</x:v>
      </x:c>
      <x:c r="H5" s="22" t="str">
        <x:v>Status</x:v>
      </x:c>
      <x:c r="I5" s="22" t="str">
        <x:v>Captured Date</x:v>
      </x:c>
      <x:c r="J5" s="22" t="str">
        <x:v>Notes</x:v>
      </x:c>
    </x:row>
    <x:row r="6">
      <x:c r="A6" s="28" t="str">
        <x:v>S4-EV-ENV-001</x:v>
      </x:c>
      <x:c r="B6" s="28" t="str">
        <x:v>S4-ENV-01 to S4-ENV-07</x:v>
      </x:c>
      <x:c r="C6" s="28" t="str">
        <x:v>7.9</x:v>
      </x:c>
      <x:c r="D6" s="28" t="str">
        <x:v>Terminal / automated output</x:v>
      </x:c>
      <x:c r="E6" s="28" t="str">
        <x:v>Environment, Django, migration, backend, lint, build and baseline verification evidence</x:v>
      </x:c>
      <x:c r="F6" s="28" t="str">
        <x:v>docs/testing/evidence/sprint-4/</x:v>
      </x:c>
      <x:c r="G6" s="28" t="str">
        <x:v>All Members</x:v>
      </x:c>
      <x:c r="H6" s="28" t="str">
        <x:v>Planned</x:v>
      </x:c>
      <x:c r="I6" s="28" t="str"/>
      <x:c r="J6" s="28" t="str"/>
    </x:row>
    <x:row r="7">
      <x:c r="A7" s="28" t="str">
        <x:v>S4-EV-JOB-001</x:v>
      </x:c>
      <x:c r="B7" s="28" t="str">
        <x:v>S4-JOB-01 to S4-JOB-15</x:v>
      </x:c>
      <x:c r="C7" s="28" t="str">
        <x:v>7.9</x:v>
      </x:c>
      <x:c r="D7" s="28" t="str">
        <x:v>Screenshots + API evidence</x:v>
      </x:c>
      <x:c r="E7" s="28" t="str">
        <x:v>Job Matching integration and handoff evidence</x:v>
      </x:c>
      <x:c r="F7" s="28" t="str">
        <x:v>docs/testing/evidence/sprint-4/</x:v>
      </x:c>
      <x:c r="G7" s="28" t="str">
        <x:v>All Members</x:v>
      </x:c>
      <x:c r="H7" s="28" t="str">
        <x:v>Planned</x:v>
      </x:c>
      <x:c r="I7" s="28" t="str"/>
      <x:c r="J7" s="28" t="str"/>
    </x:row>
    <x:row r="8">
      <x:c r="A8" s="28" t="str">
        <x:v>S4-EV-AI-001</x:v>
      </x:c>
      <x:c r="B8" s="28" t="str">
        <x:v>S4-AI-01 to S4-AI-12</x:v>
      </x:c>
      <x:c r="C8" s="28" t="str">
        <x:v>7.4,7.9</x:v>
      </x:c>
      <x:c r="D8" s="28" t="str">
        <x:v>Automated output</x:v>
      </x:c>
      <x:c r="E8" s="28" t="str">
        <x:v>AI response validation and controlled provider failure evidence</x:v>
      </x:c>
      <x:c r="F8" s="28" t="str">
        <x:v>docs/testing/evidence/sprint-4/</x:v>
      </x:c>
      <x:c r="G8" s="28" t="str">
        <x:v>All Members</x:v>
      </x:c>
      <x:c r="H8" s="28" t="str">
        <x:v>Blocked</x:v>
      </x:c>
      <x:c r="I8" s="28" t="str"/>
      <x:c r="J8" s="28" t="str">
        <x:v>WBS 7.4</x:v>
      </x:c>
    </x:row>
    <x:row r="9">
      <x:c r="A9" s="28" t="str">
        <x:v>S4-EV-DOC-001</x:v>
      </x:c>
      <x:c r="B9" s="28" t="str">
        <x:v>S4-RESUME-01 to S4-COVER-07</x:v>
      </x:c>
      <x:c r="C9" s="28" t="str">
        <x:v>7.9</x:v>
      </x:c>
      <x:c r="D9" s="28" t="str">
        <x:v>Screenshots + automated output</x:v>
      </x:c>
      <x:c r="E9" s="28" t="str">
        <x:v>Resume and Cover Letter integration evidence</x:v>
      </x:c>
      <x:c r="F9" s="28" t="str">
        <x:v>docs/testing/evidence/sprint-4/</x:v>
      </x:c>
      <x:c r="G9" s="28" t="str">
        <x:v>All Members</x:v>
      </x:c>
      <x:c r="H9" s="28" t="str">
        <x:v>Planned</x:v>
      </x:c>
      <x:c r="I9" s="28" t="str"/>
      <x:c r="J9" s="28" t="str"/>
    </x:row>
    <x:row r="10">
      <x:c r="A10" s="28" t="str">
        <x:v>S4-EV-INT-001</x:v>
      </x:c>
      <x:c r="B10" s="28" t="str">
        <x:v>S4-INT-01 to S4-INT-09</x:v>
      </x:c>
      <x:c r="C10" s="28" t="str">
        <x:v>7.9</x:v>
      </x:c>
      <x:c r="D10" s="28" t="str">
        <x:v>Screenshots + automated output</x:v>
      </x:c>
      <x:c r="E10" s="28" t="str">
        <x:v>Interview Questions and Feedback integration evidence</x:v>
      </x:c>
      <x:c r="F10" s="28" t="str">
        <x:v>docs/testing/evidence/sprint-4/</x:v>
      </x:c>
      <x:c r="G10" s="28" t="str">
        <x:v>All Members</x:v>
      </x:c>
      <x:c r="H10" s="28" t="str">
        <x:v>Planned</x:v>
      </x:c>
      <x:c r="I10" s="28" t="str"/>
      <x:c r="J10" s="28" t="str"/>
    </x:row>
    <x:row r="11">
      <x:c r="A11" s="28" t="str">
        <x:v>S4-EV-ADMIN-001</x:v>
      </x:c>
      <x:c r="B11" s="28" t="str">
        <x:v>S4-ADMINAPI-01 to S4-ADMINAPI-10</x:v>
      </x:c>
      <x:c r="C11" s="28" t="str">
        <x:v>7.6,7.9</x:v>
      </x:c>
      <x:c r="D11" s="28" t="str">
        <x:v>API / automated output</x:v>
      </x:c>
      <x:c r="E11" s="28" t="str">
        <x:v>Administration API integration evidence</x:v>
      </x:c>
      <x:c r="F11" s="28" t="str">
        <x:v>docs/testing/evidence/sprint-4/</x:v>
      </x:c>
      <x:c r="G11" s="28" t="str">
        <x:v>All Members</x:v>
      </x:c>
      <x:c r="H11" s="28" t="str">
        <x:v>Blocked</x:v>
      </x:c>
      <x:c r="I11" s="28" t="str"/>
      <x:c r="J11" s="28" t="str">
        <x:v>WBS 7.6</x:v>
      </x:c>
    </x:row>
    <x:row r="12">
      <x:c r="A12" s="28" t="str">
        <x:v>S4-EV-ADMINUI-001</x:v>
      </x:c>
      <x:c r="B12" s="28" t="str">
        <x:v>S4-ADMINUI-01 to S4-ADMINUI-08</x:v>
      </x:c>
      <x:c r="C12" s="28" t="str">
        <x:v>7.7,7.9</x:v>
      </x:c>
      <x:c r="D12" s="28" t="str">
        <x:v>Screenshots</x:v>
      </x:c>
      <x:c r="E12" s="28" t="str">
        <x:v>Admin Dashboard integration evidence</x:v>
      </x:c>
      <x:c r="F12" s="28" t="str">
        <x:v>docs/testing/evidence/sprint-4/</x:v>
      </x:c>
      <x:c r="G12" s="28" t="str">
        <x:v>All Members</x:v>
      </x:c>
      <x:c r="H12" s="28" t="str">
        <x:v>Blocked</x:v>
      </x:c>
      <x:c r="I12" s="28" t="str"/>
      <x:c r="J12" s="28" t="str">
        <x:v>WBS 7.7</x:v>
      </x:c>
    </x:row>
    <x:row r="13">
      <x:c r="A13" s="28" t="str">
        <x:v>S4-EV-PERM-001</x:v>
      </x:c>
      <x:c r="B13" s="28" t="str">
        <x:v>S4-PERM-01 to S4-PERM-06</x:v>
      </x:c>
      <x:c r="C13" s="28" t="str">
        <x:v>7.8,7.9</x:v>
      </x:c>
      <x:c r="D13" s="28" t="str">
        <x:v>API / automated output</x:v>
      </x:c>
      <x:c r="E13" s="28" t="str">
        <x:v>Role permission enforcement evidence</x:v>
      </x:c>
      <x:c r="F13" s="28" t="str">
        <x:v>docs/testing/evidence/sprint-4/</x:v>
      </x:c>
      <x:c r="G13" s="28" t="str">
        <x:v>All Members</x:v>
      </x:c>
      <x:c r="H13" s="28" t="str">
        <x:v>Blocked</x:v>
      </x:c>
      <x:c r="I13" s="28" t="str"/>
      <x:c r="J13" s="28" t="str">
        <x:v>WBS 7.8</x:v>
      </x:c>
    </x:row>
    <x:row r="14">
      <x:c r="A14" s="28" t="str">
        <x:v>S4-EV-AUDIT-001</x:v>
      </x:c>
      <x:c r="B14" s="28" t="str">
        <x:v>S4-AUDIT-01 to S4-AUDIT-06</x:v>
      </x:c>
      <x:c r="C14" s="28" t="str">
        <x:v>7.8,7.9</x:v>
      </x:c>
      <x:c r="D14" s="28" t="str">
        <x:v>Database / API evidence</x:v>
      </x:c>
      <x:c r="E14" s="28" t="str">
        <x:v>Audit record creation, content and permission evidence</x:v>
      </x:c>
      <x:c r="F14" s="28" t="str">
        <x:v>docs/testing/evidence/sprint-4/</x:v>
      </x:c>
      <x:c r="G14" s="28" t="str">
        <x:v>All Members</x:v>
      </x:c>
      <x:c r="H14" s="28" t="str">
        <x:v>Blocked</x:v>
      </x:c>
      <x:c r="I14" s="28" t="str"/>
      <x:c r="J14" s="28" t="str">
        <x:v>WBS 7.8</x:v>
      </x:c>
    </x:row>
    <x:row r="15">
      <x:c r="A15" s="28" t="str">
        <x:v>S4-EV-FE-001</x:v>
      </x:c>
      <x:c r="B15" s="28" t="str">
        <x:v>S4-FE-01 to S4-FE-08</x:v>
      </x:c>
      <x:c r="C15" s="28" t="str">
        <x:v>7.9</x:v>
      </x:c>
      <x:c r="D15" s="28" t="str">
        <x:v>Screenshots / browser checklist</x:v>
      </x:c>
      <x:c r="E15" s="28" t="str">
        <x:v>Responsive, keyboard and browser compatibility evidence</x:v>
      </x:c>
      <x:c r="F15" s="28" t="str">
        <x:v>docs/testing/evidence/sprint-4/</x:v>
      </x:c>
      <x:c r="G15" s="28" t="str">
        <x:v>All Members</x:v>
      </x:c>
      <x:c r="H15" s="28" t="str">
        <x:v>Planned</x:v>
      </x:c>
      <x:c r="I15" s="28" t="str"/>
      <x:c r="J15" s="28" t="str"/>
    </x:row>
    <x:row r="16">
      <x:c r="A16" s="28" t="str">
        <x:v>S4-EV-REG-001</x:v>
      </x:c>
      <x:c r="B16" s="28" t="str">
        <x:v>S4-REG-01 to S4-REG-06</x:v>
      </x:c>
      <x:c r="C16" s="28" t="str">
        <x:v>7.9</x:v>
      </x:c>
      <x:c r="D16" s="28" t="str">
        <x:v>Automated + smoke evidence</x:v>
      </x:c>
      <x:c r="E16" s="28" t="str">
        <x:v>Sprint 1 to Sprint 3 regression and final Sprint 4 smoke evidence</x:v>
      </x:c>
      <x:c r="F16" s="28" t="str">
        <x:v>docs/testing/evidence/sprint-4/</x:v>
      </x:c>
      <x:c r="G16" s="28" t="str">
        <x:v>All Members</x:v>
      </x:c>
      <x:c r="H16" s="28" t="str">
        <x:v>Blocked</x:v>
      </x:c>
      <x:c r="I16" s="28" t="str"/>
      <x:c r="J16" s="28" t="str">
        <x:v>Final integration gate</x:v>
      </x:c>
    </x:row>
  </x:sheetData>
  <x:mergeCells>
    <x:mergeCell ref="A1:J1"/>
    <x:mergeCell ref="A2:J2"/>
  </x:mergeCells>
  <x:dataValidations count="1">
    <x:dataValidation type="list" sqref="H6:H16">
      <x:formula1>"Planned,Blocked,Captured"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b8b3ea5bf074d0e"/>
  </x:tableParts>
</x:worksheet>
</file>