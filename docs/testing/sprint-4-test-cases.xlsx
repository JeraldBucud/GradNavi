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b21133ee87647ec" /></Relationships>
</file>

<file path=xl/workbook.xml><?xml version="1.0" encoding="utf-8"?>
<x:workbook xmlns:x="http://schemas.openxmlformats.org/spreadsheetml/2006/main">
  <x:sheets>
    <x:sheet xmlns:r="http://schemas.openxmlformats.org/officeDocument/2006/relationships" name="Dashboard" sheetId="1" r:id="Rc84b0008d5234542"/>
    <x:sheet xmlns:r="http://schemas.openxmlformats.org/officeDocument/2006/relationships" name="Test Cases" sheetId="2" r:id="R3029775b09ca4b2d"/>
    <x:sheet xmlns:r="http://schemas.openxmlformats.org/officeDocument/2006/relationships" name="Evidence Index" sheetId="3" r:id="Rdfbdfce8f3d44a3b"/>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sz val="10"/>
      <x:color rgb="FF17324D"/>
      <x:name val="Carlito"/>
    </x:font>
    <x:font>
      <x:b/>
      <x:sz val="11"/>
      <x:color rgb="FFFFFFFF"/>
      <x:name val="Carlito"/>
    </x:font>
  </x:fonts>
  <x:fills count="5">
    <x:fill>
      <x:patternFill patternType="none"/>
    </x:fill>
    <x:fill>
      <x:patternFill patternType="gray125"/>
    </x:fill>
    <x:fill>
      <x:patternFill patternType="solid">
        <x:fgColor rgb="FF17324D"/>
      </x:patternFill>
    </x:fill>
    <x:fill>
      <x:patternFill patternType="solid">
        <x:fgColor rgb="FFE7EEF5"/>
      </x:patternFill>
    </x:fill>
    <x:fill>
      <x:patternFill patternType="solid">
        <x:fgColor rgb="FF2F5D7E"/>
      </x:patternFill>
    </x:fill>
  </x:fills>
  <x:borders count="2">
    <x:border/>
    <x:border/>
  </x:borders>
  <x:cellStyleXfs count="1">
    <x:xf numFmtId="0" fontId="0" fillId="0" borderId="0"/>
  </x:cellStyleXfs>
  <x:cellXfs count="3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x:cellXfs>
  <x:cellStyles count="1">
    <x:cellStyle name="Normal" xfId="0"/>
  </x:cellStyles>
  <x:dxfs count="5">
    <x:dxf>
      <x:fill>
        <x:patternFill>
          <x:bgColor rgb="FFD9EAD3"/>
        </x:patternFill>
      </x:fill>
    </x:dxf>
    <x:dxf>
      <x:fill>
        <x:patternFill>
          <x:bgColor rgb="FFF4CCCC"/>
        </x:patternFill>
      </x:fill>
    </x:dxf>
    <x:dxf>
      <x:fill>
        <x:patternFill>
          <x:bgColor rgb="FFFCE5CD"/>
        </x:patternFill>
      </x:fill>
    </x:dxf>
    <x:dxf>
      <x:fill>
        <x:patternFill>
          <x:bgColor rgb="FFEDEDED"/>
        </x:patternFill>
      </x:fill>
    </x:dxf>
    <x:dxf>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902c4a903448c8" /><Relationship Type="http://schemas.openxmlformats.org/officeDocument/2006/relationships/theme" Target="/xl/theme/theme1.xml" Id="R3d6c18c1b3464d68" /><Relationship Type="http://schemas.openxmlformats.org/officeDocument/2006/relationships/sharedStrings" Target="/xl/sharedStrings.xml" Id="R572f7872dde7490a" /><Relationship Type="http://schemas.openxmlformats.org/officeDocument/2006/relationships/worksheet" Target="/xl/worksheets/sheet1.xml" Id="Rc84b0008d5234542" /><Relationship Type="http://schemas.openxmlformats.org/officeDocument/2006/relationships/worksheet" Target="/xl/worksheets/sheet2.xml" Id="R3029775b09ca4b2d" /><Relationship Type="http://schemas.openxmlformats.org/officeDocument/2006/relationships/worksheet" Target="/xl/worksheets/sheet3.xml" Id="Rdfbdfce8f3d44a3b" /></Relationships>
</file>

<file path=xl/drawings/_rels/drawing1.xml.rels>&#65279;<?xml version="1.0" encoding="utf-8"?><Relationships xmlns="http://schemas.openxmlformats.org/package/2006/relationships"><Relationship Type="http://schemas.openxmlformats.org/officeDocument/2006/relationships/chart" Target="/xl/drawings/charts/chart1.xml" Id="R93e99f05a9df463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Sprint 4 Test Status</a:t>
            </a:r>
          </a:p>
        </c:rich>
      </c:tx>
    </c:title>
    <c:plotArea>
      <c:barChart>
        <c:barDir val="col"/>
        <c:grouping val="clustered"/>
        <c:varyColors val="0"/>
        <c:ser>
          <c:idx val="0"/>
          <c:order val="0"/>
          <c:tx>
            <c:v>Series 1</c:v>
          </c:tx>
          <c:cat>
            <c:strRef>
              <c:f>'Dashboard'!$A$5:$A$10</c:f>
              <c:strCache>
                <c:ptCount val="0"/>
              </c:strCache>
            </c:strRef>
          </c:cat>
          <c:val>
            <c:numRef>
              <c:f>'Dashboard'!$B$5:$B$10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16</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e99f05a9df4634"/>
        </a:graphicData>
      </a:graphic>
    </xdr:graphicFrame>
    <xdr:clientData/>
  </xdr:twoCellAnchor>
</xdr:wsDr>
</file>

<file path=xl/tables/table1.xml><?xml version="1.0" encoding="utf-8"?>
<x:table xmlns:x="http://schemas.openxmlformats.org/spreadsheetml/2006/main" id="1" name="Sprint4TestCasesTable" displayName="Sprint4TestCasesTable" ref="A5:R134" headerRowCount="1" totalsRowCount="0" totalsRowShown="0">
  <x:tableColumns count="18">
    <x:tableColumn id="1" name="Test ID"/>
    <x:tableColumn id="2" name="WBS"/>
    <x:tableColumn id="3" name="Area"/>
    <x:tableColumn id="4" name="Requirement"/>
    <x:tableColumn id="5" name="Priority"/>
    <x:tableColumn id="6" name="Test Level"/>
    <x:tableColumn id="7" name="Test Case"/>
    <x:tableColumn id="8" name="Preconditions"/>
    <x:tableColumn id="9" name="Steps"/>
    <x:tableColumn id="10" name="Expected Result"/>
    <x:tableColumn id="11" name="Owner"/>
    <x:tableColumn id="12" name="Status"/>
    <x:tableColumn id="13" name="Blocked By"/>
    <x:tableColumn id="14" name="Actual Result"/>
    <x:tableColumn id="15" name="Evidence ID"/>
    <x:tableColumn id="16" name="Defect Ref"/>
    <x:tableColumn id="17" name="Automation"/>
    <x:tableColumn id="18" name="Notes"/>
  </x:tableColumns>
  <x:tableStyleInfo name="TableStyleMedium2" showFirstColumn="0" showLastColumn="0" showRowStripes="1" showColumnStripes="0"/>
</x:table>
</file>

<file path=xl/tables/table2.xml><?xml version="1.0" encoding="utf-8"?>
<x:table xmlns:x="http://schemas.openxmlformats.org/spreadsheetml/2006/main" id="2" name="Sprint4EvidenceTable" displayName="Sprint4EvidenceTable" ref="A5:J16" headerRowCount="1" totalsRowCount="0" totalsRowShown="0">
  <x:tableColumns count="10">
    <x:tableColumn id="1" name="Evidence ID"/>
    <x:tableColumn id="2" name="Related Test IDs"/>
    <x:tableColumn id="3" name="WBS"/>
    <x:tableColumn id="4" name="Evidence Type"/>
    <x:tableColumn id="5" name="Description"/>
    <x:tableColumn id="6" name="Repository Path / Planned File"/>
    <x:tableColumn id="7" name="Owner"/>
    <x:tableColumn id="8" name="Status"/>
    <x:tableColumn id="9" name="Captured Date"/>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f05037759fc4425" /></Relationships>
</file>

<file path=xl/worksheets/_rels/sheet2.xml.rels>&#65279;<?xml version="1.0" encoding="utf-8"?><Relationships xmlns="http://schemas.openxmlformats.org/package/2006/relationships"><Relationship Type="http://schemas.openxmlformats.org/officeDocument/2006/relationships/table" Target="/xl/tables/table1.xml" Id="R97499131a937459d" /></Relationships>
</file>

<file path=xl/worksheets/_rels/sheet3.xml.rels>&#65279;<?xml version="1.0" encoding="utf-8"?><Relationships xmlns="http://schemas.openxmlformats.org/package/2006/relationships"><Relationship Type="http://schemas.openxmlformats.org/officeDocument/2006/relationships/table" Target="/xl/tables/table2.xml" Id="R9b60b38862b84acb" /></Relationships>
</file>

<file path=xl/worksheets/sheet1.xml><?xml version="1.0" encoding="utf-8"?>
<x:worksheet xmlns:x="http://schemas.openxmlformats.org/spreadsheetml/2006/main">
  <x:sheetFormatPr defaultRowHeight="15"/>
  <x:cols>
    <x:col min="1" max="1" width="24" hidden="0" customWidth="1"/>
    <x:col min="2" max="2" width="12" hidden="0" customWidth="1"/>
    <x:col min="3" max="3" width="3" hidden="0" customWidth="1"/>
    <x:col min="4" max="4" width="28" hidden="0" customWidth="1"/>
    <x:col min="5" max="5" width="10" hidden="0" customWidth="1"/>
    <x:col min="6" max="6" width="10" hidden="0" customWidth="1"/>
    <x:col min="7" max="7" width="10" hidden="0" customWidth="1"/>
    <x:col min="8" max="8" width="10" hidden="0" customWidth="1"/>
  </x:cols>
  <x:sheetData>
    <x:row r="1">
      <x:c r="A1" s="5" t="str">
        <x:v>GradNavi Sprint 4 Testing Dashboard</x:v>
      </x:c>
      <x:c r="B1" s="5"/>
      <x:c r="C1" s="5"/>
      <x:c r="D1" s="5"/>
      <x:c r="E1" s="5"/>
      <x:c r="F1" s="5"/>
      <x:c r="G1" s="5"/>
      <x:c r="H1" s="5"/>
    </x:row>
    <x:row r="2">
      <x:c r="A2" s="13" t="str">
        <x:v>WBS 7.9 Sprint 4 Integration and Testing. Active execution dashboard. WBS 7.4, 7.5, 7.6, and 7.8 are integrated. Only WBS 7.7-dependent cases remain blocked.</x:v>
      </x:c>
      <x:c r="B2" s="13"/>
      <x:c r="C2" s="13"/>
      <x:c r="D2" s="13"/>
      <x:c r="E2" s="13"/>
      <x:c r="F2" s="13"/>
      <x:c r="G2" s="13"/>
      <x:c r="H2" s="13"/>
    </x:row>
    <x:row r="4">
      <x:c r="A4" s="22" t="str">
        <x:v>Metric</x:v>
      </x:c>
      <x:c r="B4" s="22" t="str">
        <x:v>Count</x:v>
      </x:c>
      <x:c r="C4" s="28"/>
      <x:c r="D4" s="22" t="str">
        <x:v>Area</x:v>
      </x:c>
      <x:c r="E4" s="22" t="str">
        <x:v>Total</x:v>
      </x:c>
      <x:c r="F4" s="22" t="str">
        <x:v>Blocked</x:v>
      </x:c>
      <x:c r="G4" s="22" t="str">
        <x:v>Not Run</x:v>
      </x:c>
      <x:c r="H4" s="22" t="str">
        <x:v>Executed</x:v>
      </x:c>
    </x:row>
    <x:row r="5">
      <x:c r="A5" s="28" t="str">
        <x:v>Total Test Cases</x:v>
      </x:c>
      <x:c r="B5" s="28" t="n">
        <x:f>COUNTA('Test Cases'!A6:A134)</x:f>
        <x:v>129</x:v>
      </x:c>
      <x:c r="C5" s="28"/>
      <x:c r="D5" s="28" t="str">
        <x:v>Environment</x:v>
      </x:c>
      <x:c r="E5" s="28" t="n">
        <x:f>COUNTIF('Test Cases'!$C$6:$C$134,D5)</x:f>
        <x:v>7</x:v>
      </x:c>
      <x:c r="F5" s="28" t="n">
        <x:f>COUNTIFS('Test Cases'!$C$6:$C$134,D5,'Test Cases'!$L$6:$L$134,"Blocked")</x:f>
        <x:v>2</x:v>
      </x:c>
      <x:c r="G5" s="28" t="n">
        <x:f>COUNTIFS('Test Cases'!$C$6:$C$134,D5,'Test Cases'!$L$6:$L$134,"Not Run")</x:f>
        <x:v>5</x:v>
      </x:c>
      <x:c r="H5" s="28" t="n">
        <x:f>E5-F5-G5</x:f>
        <x:v>0</x:v>
      </x:c>
    </x:row>
    <x:row r="6">
      <x:c r="A6" s="28" t="str">
        <x:v>Pass</x:v>
      </x:c>
      <x:c r="B6" s="28" t="n">
        <x:f>COUNTIF('Test Cases'!L6:L134,"Pass")</x:f>
        <x:v>41</x:v>
      </x:c>
      <x:c r="C6" s="28"/>
      <x:c r="D6" s="28" t="str">
        <x:v>Authentication</x:v>
      </x:c>
      <x:c r="E6" s="28" t="n">
        <x:f>COUNTIF('Test Cases'!$C$6:$C$134,D6)</x:f>
        <x:v>5</x:v>
      </x:c>
      <x:c r="F6" s="28" t="n">
        <x:f>COUNTIFS('Test Cases'!$C$6:$C$134,D6,'Test Cases'!$L$6:$L$134,"Blocked")</x:f>
        <x:v>0</x:v>
      </x:c>
      <x:c r="G6" s="28" t="n">
        <x:f>COUNTIFS('Test Cases'!$C$6:$C$134,D6,'Test Cases'!$L$6:$L$134,"Not Run")</x:f>
        <x:v>3</x:v>
      </x:c>
      <x:c r="H6" s="28" t="n">
        <x:f>E6-F6-G6</x:f>
        <x:v>2</x:v>
      </x:c>
    </x:row>
    <x:row r="7">
      <x:c r="A7" s="28" t="str">
        <x:v>Fail</x:v>
      </x:c>
      <x:c r="B7" s="28" t="n">
        <x:f>COUNTIF('Test Cases'!L6:L134,"Fail")</x:f>
        <x:v>0</x:v>
      </x:c>
      <x:c r="C7" s="28"/>
      <x:c r="D7" s="28" t="str">
        <x:v>Student Profile</x:v>
      </x:c>
      <x:c r="E7" s="28" t="n">
        <x:f>COUNTIF('Test Cases'!$C$6:$C$134,D7)</x:f>
        <x:v>4</x:v>
      </x:c>
      <x:c r="F7" s="28" t="n">
        <x:f>COUNTIFS('Test Cases'!$C$6:$C$134,D7,'Test Cases'!$L$6:$L$134,"Blocked")</x:f>
        <x:v>0</x:v>
      </x:c>
      <x:c r="G7" s="28" t="n">
        <x:f>COUNTIFS('Test Cases'!$C$6:$C$134,D7,'Test Cases'!$L$6:$L$134,"Not Run")</x:f>
        <x:v>3</x:v>
      </x:c>
      <x:c r="H7" s="28" t="n">
        <x:f>E7-F7-G7</x:f>
        <x:v>1</x:v>
      </x:c>
    </x:row>
    <x:row r="8">
      <x:c r="A8" s="28" t="str">
        <x:v>Blocked</x:v>
      </x:c>
      <x:c r="B8" s="28" t="n">
        <x:f>COUNTIF('Test Cases'!L6:L134,"Blocked")</x:f>
        <x:v>20</x:v>
      </x:c>
      <x:c r="C8" s="28"/>
      <x:c r="D8" s="28" t="str">
        <x:v>Career Recommendations</x:v>
      </x:c>
      <x:c r="E8" s="28" t="n">
        <x:f>COUNTIF('Test Cases'!$C$6:$C$134,D8)</x:f>
        <x:v>6</x:v>
      </x:c>
      <x:c r="F8" s="28" t="n">
        <x:f>COUNTIFS('Test Cases'!$C$6:$C$134,D8,'Test Cases'!$L$6:$L$134,"Blocked")</x:f>
        <x:v>0</x:v>
      </x:c>
      <x:c r="G8" s="28" t="n">
        <x:f>COUNTIFS('Test Cases'!$C$6:$C$134,D8,'Test Cases'!$L$6:$L$134,"Not Run")</x:f>
        <x:v>2</x:v>
      </x:c>
      <x:c r="H8" s="28" t="n">
        <x:f>E8-F8-G8</x:f>
        <x:v>4</x:v>
      </x:c>
    </x:row>
    <x:row r="9">
      <x:c r="A9" s="28" t="str">
        <x:v>Not Run</x:v>
      </x:c>
      <x:c r="B9" s="28" t="n">
        <x:f>COUNTIF('Test Cases'!L6:L134,"Not Run")</x:f>
        <x:v>68</x:v>
      </x:c>
      <x:c r="C9" s="28"/>
      <x:c r="D9" s="28" t="str">
        <x:v>Skill Gap and Readiness</x:v>
      </x:c>
      <x:c r="E9" s="28" t="n">
        <x:f>COUNTIF('Test Cases'!$C$6:$C$134,D9)</x:f>
        <x:v>5</x:v>
      </x:c>
      <x:c r="F9" s="28" t="n">
        <x:f>COUNTIFS('Test Cases'!$C$6:$C$134,D9,'Test Cases'!$L$6:$L$134,"Blocked")</x:f>
        <x:v>0</x:v>
      </x:c>
      <x:c r="G9" s="28" t="n">
        <x:f>COUNTIFS('Test Cases'!$C$6:$C$134,D9,'Test Cases'!$L$6:$L$134,"Not Run")</x:f>
        <x:v>2</x:v>
      </x:c>
      <x:c r="H9" s="28" t="n">
        <x:f>E9-F9-G9</x:f>
        <x:v>3</x:v>
      </x:c>
    </x:row>
    <x:row r="10">
      <x:c r="A10" s="28" t="str">
        <x:v>Retest</x:v>
      </x:c>
      <x:c r="B10" s="28" t="n">
        <x:f>COUNTIF('Test Cases'!L6:L134,"Retest")</x:f>
        <x:v>0</x:v>
      </x:c>
      <x:c r="C10" s="28"/>
      <x:c r="D10" s="28" t="str">
        <x:v>Learning Suggestions</x:v>
      </x:c>
      <x:c r="E10" s="28" t="n">
        <x:f>COUNTIF('Test Cases'!$C$6:$C$134,D10)</x:f>
        <x:v>4</x:v>
      </x:c>
      <x:c r="F10" s="28" t="n">
        <x:f>COUNTIFS('Test Cases'!$C$6:$C$134,D10,'Test Cases'!$L$6:$L$134,"Blocked")</x:f>
        <x:v>0</x:v>
      </x:c>
      <x:c r="G10" s="28" t="n">
        <x:f>COUNTIFS('Test Cases'!$C$6:$C$134,D10,'Test Cases'!$L$6:$L$134,"Not Run")</x:f>
        <x:v>4</x:v>
      </x:c>
      <x:c r="H10" s="28" t="n">
        <x:f>E10-F10-G10</x:f>
        <x:v>0</x:v>
      </x:c>
    </x:row>
    <x:row r="11">
      <x:c r="A11" s="28"/>
      <x:c r="B11" s="28"/>
      <x:c r="C11" s="28"/>
      <x:c r="D11" s="28" t="str">
        <x:v>Career Roadmap</x:v>
      </x:c>
      <x:c r="E11" s="28" t="n">
        <x:f>COUNTIF('Test Cases'!$C$6:$C$134,D11)</x:f>
        <x:v>4</x:v>
      </x:c>
      <x:c r="F11" s="28" t="n">
        <x:f>COUNTIFS('Test Cases'!$C$6:$C$134,D11,'Test Cases'!$L$6:$L$134,"Blocked")</x:f>
        <x:v>0</x:v>
      </x:c>
      <x:c r="G11" s="28" t="n">
        <x:f>COUNTIFS('Test Cases'!$C$6:$C$134,D11,'Test Cases'!$L$6:$L$134,"Not Run")</x:f>
        <x:v>4</x:v>
      </x:c>
      <x:c r="H11" s="28" t="n">
        <x:f>E11-F11-G11</x:f>
        <x:v>0</x:v>
      </x:c>
    </x:row>
    <x:row r="12">
      <x:c r="A12" s="28"/>
      <x:c r="B12" s="28"/>
      <x:c r="C12" s="28"/>
      <x:c r="D12" s="28" t="str">
        <x:v>Job Matching</x:v>
      </x:c>
      <x:c r="E12" s="28" t="n">
        <x:f>COUNTIF('Test Cases'!$C$6:$C$134,D12)</x:f>
        <x:v>15</x:v>
      </x:c>
      <x:c r="F12" s="28" t="n">
        <x:f>COUNTIFS('Test Cases'!$C$6:$C$134,D12,'Test Cases'!$L$6:$L$134,"Blocked")</x:f>
        <x:v>0</x:v>
      </x:c>
      <x:c r="G12" s="28" t="n">
        <x:f>COUNTIFS('Test Cases'!$C$6:$C$134,D12,'Test Cases'!$L$6:$L$134,"Not Run")</x:f>
        <x:v>5</x:v>
      </x:c>
      <x:c r="H12" s="28" t="n">
        <x:f>E12-F12-G12</x:f>
        <x:v>10</x:v>
      </x:c>
    </x:row>
    <x:row r="13">
      <x:c r="A13" s="28"/>
      <x:c r="B13" s="28"/>
      <x:c r="C13" s="28"/>
      <x:c r="D13" s="28" t="str">
        <x:v>Resume Builder</x:v>
      </x:c>
      <x:c r="E13" s="28" t="n">
        <x:f>COUNTIF('Test Cases'!$C$6:$C$134,D13)</x:f>
        <x:v>7</x:v>
      </x:c>
      <x:c r="F13" s="28" t="n">
        <x:f>COUNTIFS('Test Cases'!$C$6:$C$134,D13,'Test Cases'!$L$6:$L$134,"Blocked")</x:f>
        <x:v>0</x:v>
      </x:c>
      <x:c r="G13" s="28" t="n">
        <x:f>COUNTIFS('Test Cases'!$C$6:$C$134,D13,'Test Cases'!$L$6:$L$134,"Not Run")</x:f>
        <x:v>5</x:v>
      </x:c>
      <x:c r="H13" s="28" t="n">
        <x:f>E13-F13-G13</x:f>
        <x:v>2</x:v>
      </x:c>
    </x:row>
    <x:row r="14">
      <x:c r="A14" s="28"/>
      <x:c r="B14" s="28"/>
      <x:c r="C14" s="28"/>
      <x:c r="D14" s="28" t="str">
        <x:v>Cover Letter Builder</x:v>
      </x:c>
      <x:c r="E14" s="28" t="n">
        <x:f>COUNTIF('Test Cases'!$C$6:$C$134,D14)</x:f>
        <x:v>7</x:v>
      </x:c>
      <x:c r="F14" s="28" t="n">
        <x:f>COUNTIFS('Test Cases'!$C$6:$C$134,D14,'Test Cases'!$L$6:$L$134,"Blocked")</x:f>
        <x:v>0</x:v>
      </x:c>
      <x:c r="G14" s="28" t="n">
        <x:f>COUNTIFS('Test Cases'!$C$6:$C$134,D14,'Test Cases'!$L$6:$L$134,"Not Run")</x:f>
        <x:v>6</x:v>
      </x:c>
      <x:c r="H14" s="28" t="n">
        <x:f>E14-F14-G14</x:f>
        <x:v>1</x:v>
      </x:c>
    </x:row>
    <x:row r="15">
      <x:c r="A15" s="28"/>
      <x:c r="B15" s="28"/>
      <x:c r="C15" s="28"/>
      <x:c r="D15" s="28" t="str">
        <x:v>Interview Preparation</x:v>
      </x:c>
      <x:c r="E15" s="28" t="n">
        <x:f>COUNTIF('Test Cases'!$C$6:$C$134,D15)</x:f>
        <x:v>9</x:v>
      </x:c>
      <x:c r="F15" s="28" t="n">
        <x:f>COUNTIFS('Test Cases'!$C$6:$C$134,D15,'Test Cases'!$L$6:$L$134,"Blocked")</x:f>
        <x:v>0</x:v>
      </x:c>
      <x:c r="G15" s="28" t="n">
        <x:f>COUNTIFS('Test Cases'!$C$6:$C$134,D15,'Test Cases'!$L$6:$L$134,"Not Run")</x:f>
        <x:v>3</x:v>
      </x:c>
      <x:c r="H15" s="28" t="n">
        <x:f>E15-F15-G15</x:f>
        <x:v>6</x:v>
      </x:c>
    </x:row>
    <x:row r="16">
      <x:c r="A16" s="28"/>
      <x:c r="B16" s="28"/>
      <x:c r="C16" s="28"/>
      <x:c r="D16" s="28" t="str">
        <x:v>AI Response Validation</x:v>
      </x:c>
      <x:c r="E16" s="28" t="n">
        <x:f>COUNTIF('Test Cases'!$C$6:$C$134,D16)</x:f>
        <x:v>12</x:v>
      </x:c>
      <x:c r="F16" s="28" t="n">
        <x:f>COUNTIFS('Test Cases'!$C$6:$C$134,D16,'Test Cases'!$L$6:$L$134,"Blocked")</x:f>
        <x:v>0</x:v>
      </x:c>
      <x:c r="G16" s="28" t="n">
        <x:f>COUNTIFS('Test Cases'!$C$6:$C$134,D16,'Test Cases'!$L$6:$L$134,"Not Run")</x:f>
        <x:v>0</x:v>
      </x:c>
      <x:c r="H16" s="28" t="n">
        <x:f>E16-F16-G16</x:f>
        <x:v>12</x:v>
      </x:c>
    </x:row>
    <x:row r="17">
      <x:c r="A17" s="28"/>
      <x:c r="B17" s="28"/>
      <x:c r="C17" s="28"/>
      <x:c r="D17" s="28" t="str">
        <x:v>Admin API</x:v>
      </x:c>
      <x:c r="E17" s="28" t="n">
        <x:f>COUNTIF('Test Cases'!$C$6:$C$134,D17)</x:f>
        <x:v>10</x:v>
      </x:c>
      <x:c r="F17" s="28" t="n">
        <x:f>COUNTIFS('Test Cases'!$C$6:$C$134,D17,'Test Cases'!$L$6:$L$134,"Blocked")</x:f>
        <x:v>0</x:v>
      </x:c>
      <x:c r="G17" s="28" t="n">
        <x:f>COUNTIFS('Test Cases'!$C$6:$C$134,D17,'Test Cases'!$L$6:$L$134,"Not Run")</x:f>
        <x:v>10</x:v>
      </x:c>
      <x:c r="H17" s="28" t="n">
        <x:f>E17-F17-G17</x:f>
        <x:v>0</x:v>
      </x:c>
    </x:row>
    <x:row r="18">
      <x:c r="A18" s="28"/>
      <x:c r="B18" s="28"/>
      <x:c r="C18" s="28"/>
      <x:c r="D18" s="28" t="str">
        <x:v>Admin Dashboard</x:v>
      </x:c>
      <x:c r="E18" s="28" t="n">
        <x:f>COUNTIF('Test Cases'!$C$6:$C$134,D18)</x:f>
        <x:v>8</x:v>
      </x:c>
      <x:c r="F18" s="28" t="n">
        <x:f>COUNTIFS('Test Cases'!$C$6:$C$134,D18,'Test Cases'!$L$6:$L$134,"Blocked")</x:f>
        <x:v>8</x:v>
      </x:c>
      <x:c r="G18" s="28" t="n">
        <x:f>COUNTIFS('Test Cases'!$C$6:$C$134,D18,'Test Cases'!$L$6:$L$134,"Not Run")</x:f>
        <x:v>0</x:v>
      </x:c>
      <x:c r="H18" s="28" t="n">
        <x:f>E18-F18-G18</x:f>
        <x:v>0</x:v>
      </x:c>
    </x:row>
    <x:row r="19">
      <x:c r="A19" s="28"/>
      <x:c r="B19" s="28"/>
      <x:c r="C19" s="28"/>
      <x:c r="D19" s="28" t="str">
        <x:v>Role Permissions</x:v>
      </x:c>
      <x:c r="E19" s="28" t="n">
        <x:f>COUNTIF('Test Cases'!$C$6:$C$134,D19)</x:f>
        <x:v>6</x:v>
      </x:c>
      <x:c r="F19" s="28" t="n">
        <x:f>COUNTIFS('Test Cases'!$C$6:$C$134,D19,'Test Cases'!$L$6:$L$134,"Blocked")</x:f>
        <x:v>0</x:v>
      </x:c>
      <x:c r="G19" s="28" t="n">
        <x:f>COUNTIFS('Test Cases'!$C$6:$C$134,D19,'Test Cases'!$L$6:$L$134,"Not Run")</x:f>
        <x:v>6</x:v>
      </x:c>
      <x:c r="H19" s="28" t="n">
        <x:f>E19-F19-G19</x:f>
        <x:v>0</x:v>
      </x:c>
    </x:row>
    <x:row r="20">
      <x:c r="A20" s="28"/>
      <x:c r="B20" s="28"/>
      <x:c r="C20" s="28"/>
      <x:c r="D20" s="28" t="str">
        <x:v>Audit Records</x:v>
      </x:c>
      <x:c r="E20" s="28" t="n">
        <x:f>COUNTIF('Test Cases'!$C$6:$C$134,D20)</x:f>
        <x:v>6</x:v>
      </x:c>
      <x:c r="F20" s="28" t="n">
        <x:f>COUNTIFS('Test Cases'!$C$6:$C$134,D20,'Test Cases'!$L$6:$L$134,"Blocked")</x:f>
        <x:v>0</x:v>
      </x:c>
      <x:c r="G20" s="28" t="n">
        <x:f>COUNTIFS('Test Cases'!$C$6:$C$134,D20,'Test Cases'!$L$6:$L$134,"Not Run")</x:f>
        <x:v>6</x:v>
      </x:c>
      <x:c r="H20" s="28" t="n">
        <x:f>E20-F20-G20</x:f>
        <x:v>0</x:v>
      </x:c>
    </x:row>
    <x:row r="21">
      <x:c r="A21" s="28"/>
      <x:c r="B21" s="28"/>
      <x:c r="C21" s="28"/>
      <x:c r="D21" s="28" t="str">
        <x:v>Frontend Quality</x:v>
      </x:c>
      <x:c r="E21" s="28" t="n">
        <x:f>COUNTIF('Test Cases'!$C$6:$C$134,D21)</x:f>
        <x:v>8</x:v>
      </x:c>
      <x:c r="F21" s="28" t="n">
        <x:f>COUNTIFS('Test Cases'!$C$6:$C$134,D21,'Test Cases'!$L$6:$L$134,"Blocked")</x:f>
        <x:v>4</x:v>
      </x:c>
      <x:c r="G21" s="28" t="n">
        <x:f>COUNTIFS('Test Cases'!$C$6:$C$134,D21,'Test Cases'!$L$6:$L$134,"Not Run")</x:f>
        <x:v>4</x:v>
      </x:c>
      <x:c r="H21" s="28" t="n">
        <x:f>E21-F21-G21</x:f>
        <x:v>0</x:v>
      </x:c>
    </x:row>
    <x:row r="22">
      <x:c r="A22" s="28"/>
      <x:c r="B22" s="28"/>
      <x:c r="C22" s="28"/>
      <x:c r="D22" s="28" t="str">
        <x:v>Cross-Sprint Regression</x:v>
      </x:c>
      <x:c r="E22" s="28" t="n">
        <x:f>COUNTIF('Test Cases'!$C$6:$C$134,D22)</x:f>
        <x:v>6</x:v>
      </x:c>
      <x:c r="F22" s="28" t="n">
        <x:f>COUNTIFS('Test Cases'!$C$6:$C$134,D22,'Test Cases'!$L$6:$L$134,"Blocked")</x:f>
        <x:v>6</x:v>
      </x:c>
      <x:c r="G22" s="28" t="n">
        <x:f>COUNTIFS('Test Cases'!$C$6:$C$134,D22,'Test Cases'!$L$6:$L$134,"Not Run")</x:f>
        <x:v>0</x:v>
      </x:c>
      <x:c r="H22" s="28" t="n">
        <x:f>E22-F22-G22</x:f>
        <x:v>0</x:v>
      </x:c>
    </x:row>
    <x:row r="25">
      <x:c r="A25" t="str">
        <x:v>Test Owner</x:v>
      </x:c>
      <x:c r="B25" t="str">
        <x:v>Assigned Tests</x:v>
      </x:c>
    </x:row>
    <x:row r="26">
      <x:c r="A26" t="str">
        <x:v>Jerald</x:v>
      </x:c>
      <x:c r="B26" t="n">
        <x:f>COUNTIF('Test Cases'!K6:K134,A26)</x:f>
        <x:v>46</x:v>
      </x:c>
    </x:row>
    <x:row r="27">
      <x:c r="A27" t="str">
        <x:v>MD</x:v>
      </x:c>
      <x:c r="B27" t="n">
        <x:f>COUNTIF('Test Cases'!K6:K134,A27)</x:f>
        <x:v>38</x:v>
      </x:c>
    </x:row>
    <x:row r="28">
      <x:c r="A28" t="str">
        <x:v>Joyee</x:v>
      </x:c>
      <x:c r="B28" t="n">
        <x:f>COUNTIF('Test Cases'!K6:K134,A28)</x:f>
        <x:v>45</x:v>
      </x:c>
    </x:row>
    <x:row r="29">
      <x:c r="A29" t="str">
        <x:v>Total</x:v>
      </x:c>
      <x:c r="B29" t="n">
        <x:f>SUM(B26:B28)</x:f>
        <x:v>129</x:v>
      </x:c>
    </x:row>
  </x:sheetData>
  <x:mergeCells>
    <x:mergeCell ref="A1:H1"/>
    <x:mergeCell ref="A2:H2"/>
  </x:mergeCells>
  <x:pageMargins left="0.7" right="0.7" top="0.75" bottom="0.75" header="0.3" footer="0.3"/>
  <x:drawing xmlns:r="http://schemas.openxmlformats.org/officeDocument/2006/relationships" r:id="Rbf05037759fc4425"/>
</x:worksheet>
</file>

<file path=xl/worksheets/sheet2.xml><?xml version="1.0" encoding="utf-8"?>
<x:worksheet xmlns:x="http://schemas.openxmlformats.org/spreadsheetml/2006/main">
  <x:sheetFormatPr defaultRowHeight="15"/>
  <x:cols>
    <x:col min="1" max="1" width="14" hidden="0" customWidth="1"/>
    <x:col min="2" max="2" width="10" hidden="0" customWidth="1"/>
    <x:col min="3" max="3" width="24" hidden="0" customWidth="1"/>
    <x:col min="4" max="4" width="20" hidden="0" customWidth="1"/>
    <x:col min="5" max="5" width="12" hidden="0" customWidth="1"/>
    <x:col min="6" max="6" width="14" hidden="0" customWidth="1"/>
    <x:col min="7" max="7" width="34" hidden="0" customWidth="1"/>
    <x:col min="8" max="8" width="34" hidden="0" customWidth="1"/>
    <x:col min="9" max="9" width="42" hidden="0" customWidth="1"/>
    <x:col min="10" max="10" width="42" hidden="0" customWidth="1"/>
    <x:col min="11" max="11" width="16" hidden="0" customWidth="1"/>
    <x:col min="12" max="12" width="12" hidden="0" customWidth="1"/>
    <x:col min="13" max="13" width="28" hidden="0" customWidth="1"/>
    <x:col min="14" max="14" width="34" hidden="0" customWidth="1"/>
    <x:col min="15" max="15" width="16" hidden="0" customWidth="1"/>
    <x:col min="16" max="16" width="16" hidden="0" customWidth="1"/>
    <x:col min="17" max="17" width="14" hidden="0" customWidth="1"/>
    <x:col min="18" max="18" width="30" hidden="0" customWidth="1"/>
  </x:cols>
  <x:sheetData>
    <x:row r="1">
      <x:c r="A1" s="5" t="str">
        <x:v>GradNavi Sprint 4 Test Case Tracker</x:v>
      </x:c>
      <x:c r="B1" s="5"/>
      <x:c r="C1" s="5"/>
      <x:c r="D1" s="5"/>
      <x:c r="E1" s="5"/>
      <x:c r="F1" s="5"/>
      <x:c r="G1" s="5"/>
      <x:c r="H1" s="5"/>
      <x:c r="I1" s="5"/>
      <x:c r="J1" s="5"/>
      <x:c r="K1" s="5"/>
      <x:c r="L1" s="5"/>
      <x:c r="M1" s="5"/>
      <x:c r="N1" s="5"/>
      <x:c r="O1" s="5"/>
      <x:c r="P1" s="5"/>
      <x:c r="Q1" s="5"/>
      <x:c r="R1" s="5"/>
    </x:row>
    <x:row r="2">
      <x:c r="A2" s="13" t="str">
        <x:v>Active WBS 7.9 execution tracker. Mark Pass or Fail only after verified execution. Use Blocked only when a required dependency or environment prevents execution.</x:v>
      </x:c>
      <x:c r="B2" s="13"/>
      <x:c r="C2" s="13"/>
      <x:c r="D2" s="13"/>
      <x:c r="E2" s="13"/>
      <x:c r="F2" s="13"/>
      <x:c r="G2" s="13"/>
      <x:c r="H2" s="13"/>
      <x:c r="I2" s="13"/>
      <x:c r="J2" s="13"/>
      <x:c r="K2" s="13"/>
      <x:c r="L2" s="13"/>
      <x:c r="M2" s="13"/>
      <x:c r="N2" s="13"/>
      <x:c r="O2" s="13"/>
      <x:c r="P2" s="13"/>
      <x:c r="Q2" s="13"/>
      <x:c r="R2" s="13"/>
    </x:row>
    <x:row r="5">
      <x:c r="A5" s="22" t="str">
        <x:v>Test ID</x:v>
      </x:c>
      <x:c r="B5" s="22" t="str">
        <x:v>WBS</x:v>
      </x:c>
      <x:c r="C5" s="22" t="str">
        <x:v>Area</x:v>
      </x:c>
      <x:c r="D5" s="22" t="str">
        <x:v>Requirement</x:v>
      </x:c>
      <x:c r="E5" s="22" t="str">
        <x:v>Priority</x:v>
      </x:c>
      <x:c r="F5" s="22" t="str">
        <x:v>Test Level</x:v>
      </x:c>
      <x:c r="G5" s="22" t="str">
        <x:v>Test Case</x:v>
      </x:c>
      <x:c r="H5" s="22" t="str">
        <x:v>Preconditions</x:v>
      </x:c>
      <x:c r="I5" s="22" t="str">
        <x:v>Steps</x:v>
      </x:c>
      <x:c r="J5" s="22" t="str">
        <x:v>Expected Result</x:v>
      </x:c>
      <x:c r="K5" s="22" t="str">
        <x:v>Owner</x:v>
      </x:c>
      <x:c r="L5" s="22" t="str">
        <x:v>Status</x:v>
      </x:c>
      <x:c r="M5" s="22" t="str">
        <x:v>Blocked By</x:v>
      </x:c>
      <x:c r="N5" s="22" t="str">
        <x:v>Actual Result</x:v>
      </x:c>
      <x:c r="O5" s="22" t="str">
        <x:v>Evidence ID</x:v>
      </x:c>
      <x:c r="P5" s="22" t="str">
        <x:v>Defect Ref</x:v>
      </x:c>
      <x:c r="Q5" s="22" t="str">
        <x:v>Automation</x:v>
      </x:c>
      <x:c r="R5" s="22" t="str">
        <x:v>Notes</x:v>
      </x:c>
    </x:row>
    <x:row r="6">
      <x:c r="A6" s="28" t="str">
        <x:v>S4-ENV-01</x:v>
      </x:c>
      <x:c r="B6" s="28" t="str">
        <x:v>7.9</x:v>
      </x:c>
      <x:c r="C6" s="28" t="str">
        <x:v>Environment</x:v>
      </x:c>
      <x:c r="D6" s="28" t="str">
        <x:v>NFR-12</x:v>
      </x:c>
      <x:c r="E6" s="28" t="str">
        <x:v>High</x:v>
      </x:c>
      <x:c r="F6" s="28" t="str">
        <x:v>Integration</x:v>
      </x:c>
      <x:c r="G6" s="28" t="str">
        <x:v>PostgreSQL connectivity</x:v>
      </x:c>
      <x:c r="H6" s="28" t="str">
        <x:v>Local Sprint 4 environment prepared</x:v>
      </x:c>
      <x:c r="I6" s="28" t="str">
        <x:v>Start PostgreSQL and run the approved database connectivity check.</x:v>
      </x:c>
      <x:c r="J6" s="28" t="str">
        <x:v>Backend reaches the configured PostgreSQL database without connection error.</x:v>
      </x:c>
      <x:c r="K6" s="28" t="str">
        <x:v>MD</x:v>
      </x:c>
      <x:c r="L6" s="28" t="str">
        <x:v>Not Run</x:v>
      </x:c>
      <x:c r="M6" s="28" t="str"/>
      <x:c r="N6" s="28" t="str"/>
      <x:c r="O6" s="28" t="str"/>
      <x:c r="P6" s="28" t="str"/>
      <x:c r="Q6" s="28" t="str">
        <x:v>Hybrid</x:v>
      </x:c>
      <x:c r="R6" s="28" t="str"/>
    </x:row>
    <x:row r="7">
      <x:c r="A7" s="28" t="str">
        <x:v>S4-ENV-02</x:v>
      </x:c>
      <x:c r="B7" s="28" t="str">
        <x:v>7.9</x:v>
      </x:c>
      <x:c r="C7" s="28" t="str">
        <x:v>Environment</x:v>
      </x:c>
      <x:c r="D7" s="28" t="str">
        <x:v>NFR-12</x:v>
      </x:c>
      <x:c r="E7" s="28" t="str">
        <x:v>High</x:v>
      </x:c>
      <x:c r="F7" s="28" t="str">
        <x:v>Integration</x:v>
      </x:c>
      <x:c r="G7" s="28" t="str">
        <x:v>Django system check</x:v>
      </x:c>
      <x:c r="H7" s="28" t="str">
        <x:v>Backend environment active</x:v>
      </x:c>
      <x:c r="I7" s="28" t="str">
        <x:v>Run Django system check.</x:v>
      </x:c>
      <x:c r="J7" s="28" t="str">
        <x:v>Django reports no system-check issues.</x:v>
      </x:c>
      <x:c r="K7" s="28" t="str">
        <x:v>MD</x:v>
      </x:c>
      <x:c r="L7" s="28" t="str">
        <x:v>Not Run</x:v>
      </x:c>
      <x:c r="M7" s="28" t="str"/>
      <x:c r="N7" s="28" t="str"/>
      <x:c r="O7" s="28" t="str"/>
      <x:c r="P7" s="28" t="str"/>
      <x:c r="Q7" s="28" t="str">
        <x:v>Automated</x:v>
      </x:c>
      <x:c r="R7" s="28" t="str"/>
    </x:row>
    <x:row r="8">
      <x:c r="A8" s="28" t="str">
        <x:v>S4-ENV-03</x:v>
      </x:c>
      <x:c r="B8" s="28" t="str">
        <x:v>7.9</x:v>
      </x:c>
      <x:c r="C8" s="28" t="str">
        <x:v>Environment</x:v>
      </x:c>
      <x:c r="D8" s="28" t="str">
        <x:v>NFR-12</x:v>
      </x:c>
      <x:c r="E8" s="28" t="str">
        <x:v>High</x:v>
      </x:c>
      <x:c r="F8" s="28" t="str">
        <x:v>Integration</x:v>
      </x:c>
      <x:c r="G8" s="28" t="str">
        <x:v>Migration drift check</x:v>
      </x:c>
      <x:c r="H8" s="28" t="str">
        <x:v>Backend environment active</x:v>
      </x:c>
      <x:c r="I8" s="28" t="str">
        <x:v>Run migration drift check.</x:v>
      </x:c>
      <x:c r="J8" s="28" t="str">
        <x:v>No uncommitted model changes require a new migration.</x:v>
      </x:c>
      <x:c r="K8" s="28" t="str">
        <x:v>MD</x:v>
      </x:c>
      <x:c r="L8" s="28" t="str">
        <x:v>Not Run</x:v>
      </x:c>
      <x:c r="M8" s="28" t="str"/>
      <x:c r="N8" s="28" t="str"/>
      <x:c r="O8" s="28" t="str"/>
      <x:c r="P8" s="28" t="str"/>
      <x:c r="Q8" s="28" t="str">
        <x:v>Automated</x:v>
      </x:c>
      <x:c r="R8" s="28" t="str"/>
    </x:row>
    <x:row r="9">
      <x:c r="A9" s="28" t="str">
        <x:v>S4-ENV-04</x:v>
      </x:c>
      <x:c r="B9" s="28" t="str">
        <x:v>7.9</x:v>
      </x:c>
      <x:c r="C9" s="28" t="str">
        <x:v>Environment</x:v>
      </x:c>
      <x:c r="D9" s="28" t="str">
        <x:v>NFR-12</x:v>
      </x:c>
      <x:c r="E9" s="28" t="str">
        <x:v>High</x:v>
      </x:c>
      <x:c r="F9" s="28" t="str">
        <x:v>Regression</x:v>
      </x:c>
      <x:c r="G9" s="28" t="str">
        <x:v>Full backend automated suite</x:v>
      </x:c>
      <x:c r="H9" s="28" t="str">
        <x:v>All required Sprint 4 predecessors merged</x:v>
      </x:c>
      <x:c r="I9" s="28" t="str">
        <x:v>Run the complete backend test suite.</x:v>
      </x:c>
      <x:c r="J9" s="28" t="str">
        <x:v>Full backend suite passes with no failures or errors.</x:v>
      </x:c>
      <x:c r="K9" s="28" t="str">
        <x:v>MD</x:v>
      </x:c>
      <x:c r="L9" s="28" t="str">
        <x:v>Blocked</x:v>
      </x:c>
      <x:c r="M9" s="28" t="str">
        <x:v>WBS 7.7 integration gate</x:v>
      </x:c>
      <x:c r="N9" s="28" t="str"/>
      <x:c r="O9" s="28" t="str"/>
      <x:c r="P9" s="28" t="str"/>
      <x:c r="Q9" s="28" t="str">
        <x:v>Automated</x:v>
      </x:c>
      <x:c r="R9" s="28" t="str"/>
    </x:row>
    <x:row r="10">
      <x:c r="A10" s="28" t="str">
        <x:v>S4-ENV-05</x:v>
      </x:c>
      <x:c r="B10" s="28" t="str">
        <x:v>7.9</x:v>
      </x:c>
      <x:c r="C10" s="28" t="str">
        <x:v>Environment</x:v>
      </x:c>
      <x:c r="D10" s="28" t="str">
        <x:v>NFR-12</x:v>
      </x:c>
      <x:c r="E10" s="28" t="str">
        <x:v>High</x:v>
      </x:c>
      <x:c r="F10" s="28" t="str">
        <x:v>Frontend</x:v>
      </x:c>
      <x:c r="G10" s="28" t="str">
        <x:v>Frontend lint</x:v>
      </x:c>
      <x:c r="H10" s="28" t="str">
        <x:v>Frontend dependencies installed</x:v>
      </x:c>
      <x:c r="I10" s="28" t="str">
        <x:v>Run npm lint command.</x:v>
      </x:c>
      <x:c r="J10" s="28" t="str">
        <x:v>Lint completes with no errors.</x:v>
      </x:c>
      <x:c r="K10" s="28" t="str">
        <x:v>Joyee</x:v>
      </x:c>
      <x:c r="L10" s="28" t="str">
        <x:v>Not Run</x:v>
      </x:c>
      <x:c r="M10" s="28" t="str"/>
      <x:c r="N10" s="28" t="str"/>
      <x:c r="O10" s="28" t="str"/>
      <x:c r="P10" s="28" t="str"/>
      <x:c r="Q10" s="28" t="str">
        <x:v>Automated</x:v>
      </x:c>
      <x:c r="R10" s="28" t="str"/>
    </x:row>
    <x:row r="11">
      <x:c r="A11" s="28" t="str">
        <x:v>S4-ENV-06</x:v>
      </x:c>
      <x:c r="B11" s="28" t="str">
        <x:v>7.9</x:v>
      </x:c>
      <x:c r="C11" s="28" t="str">
        <x:v>Environment</x:v>
      </x:c>
      <x:c r="D11" s="28" t="str">
        <x:v>NFR-12</x:v>
      </x:c>
      <x:c r="E11" s="28" t="str">
        <x:v>High</x:v>
      </x:c>
      <x:c r="F11" s="28" t="str">
        <x:v>Frontend</x:v>
      </x:c>
      <x:c r="G11" s="28" t="str">
        <x:v>Frontend production build</x:v>
      </x:c>
      <x:c r="H11" s="28" t="str">
        <x:v>Frontend dependencies installed</x:v>
      </x:c>
      <x:c r="I11" s="28" t="str">
        <x:v>Run production build.</x:v>
      </x:c>
      <x:c r="J11" s="28" t="str">
        <x:v>Production build completes successfully.</x:v>
      </x:c>
      <x:c r="K11" s="28" t="str">
        <x:v>Joyee</x:v>
      </x:c>
      <x:c r="L11" s="28" t="str">
        <x:v>Not Run</x:v>
      </x:c>
      <x:c r="M11" s="28" t="str"/>
      <x:c r="N11" s="28" t="str"/>
      <x:c r="O11" s="28" t="str"/>
      <x:c r="P11" s="28" t="str"/>
      <x:c r="Q11" s="28" t="str">
        <x:v>Automated</x:v>
      </x:c>
      <x:c r="R11" s="28" t="str"/>
    </x:row>
    <x:row r="12">
      <x:c r="A12" s="28" t="str">
        <x:v>S4-ENV-07</x:v>
      </x:c>
      <x:c r="B12" s="28" t="str">
        <x:v>7.9</x:v>
      </x:c>
      <x:c r="C12" s="28" t="str">
        <x:v>Environment</x:v>
      </x:c>
      <x:c r="D12" s="28" t="str">
        <x:v>NFR-07</x:v>
      </x:c>
      <x:c r="E12" s="28" t="str">
        <x:v>Medium</x:v>
      </x:c>
      <x:c r="F12" s="28" t="str">
        <x:v>Integration</x:v>
      </x:c>
      <x:c r="G12" s="28" t="str">
        <x:v>Shared branch baseline verification</x:v>
      </x:c>
      <x:c r="H12" s="28" t="str">
        <x:v>All predecessor PRs ready for final integration</x:v>
      </x:c>
      <x:c r="I12" s="28" t="str">
        <x:v>Fetch feature/sprint-4 and compare local and remote heads.</x:v>
      </x:c>
      <x:c r="J12" s="28" t="str">
        <x:v>Local integration baseline matches origin/feature/sprint-4.</x:v>
      </x:c>
      <x:c r="K12" s="28" t="str">
        <x:v>Jerald</x:v>
      </x:c>
      <x:c r="L12" s="28" t="str">
        <x:v>Blocked</x:v>
      </x:c>
      <x:c r="M12" s="28" t="str">
        <x:v>WBS 7.7 integration gate</x:v>
      </x:c>
      <x:c r="N12" s="28" t="str"/>
      <x:c r="O12" s="28" t="str"/>
      <x:c r="P12" s="28" t="str"/>
      <x:c r="Q12" s="28" t="str">
        <x:v>Automated</x:v>
      </x:c>
      <x:c r="R12" s="28" t="str"/>
    </x:row>
    <x:row r="13">
      <x:c r="A13" s="28" t="str">
        <x:v>S4-AUTH-01</x:v>
      </x:c>
      <x:c r="B13" s="28" t="str">
        <x:v>7.9</x:v>
      </x:c>
      <x:c r="C13" s="28" t="str">
        <x:v>Authentication</x:v>
      </x:c>
      <x:c r="D13" s="28" t="str">
        <x:v>FR-01</x:v>
      </x:c>
      <x:c r="E13" s="28" t="str">
        <x:v>High</x:v>
      </x:c>
      <x:c r="F13" s="28" t="str">
        <x:v>Regression</x:v>
      </x:c>
      <x:c r="G13" s="28" t="str">
        <x:v>Login with valid Student credentials</x:v>
      </x:c>
      <x:c r="H13" s="28" t="str">
        <x:v>Valid Student account</x:v>
      </x:c>
      <x:c r="I13" s="28" t="str">
        <x:v>Sign in through the Student login flow.</x:v>
      </x:c>
      <x:c r="J13" s="28" t="str">
        <x:v>Student is authenticated and routed to the protected Student application.</x:v>
      </x:c>
      <x:c r="K13" s="28" t="str">
        <x:v>Joyee</x:v>
      </x:c>
      <x:c r="L13" s="28" t="str">
        <x:v>Not Run</x:v>
      </x:c>
      <x:c r="M13" s="28" t="str"/>
      <x:c r="N13" s="28" t="str"/>
      <x:c r="O13" s="28" t="str"/>
      <x:c r="P13" s="28" t="str"/>
      <x:c r="Q13" s="28" t="str">
        <x:v>Hybrid</x:v>
      </x:c>
      <x:c r="R13" s="28" t="str"/>
    </x:row>
    <x:row r="14">
      <x:c r="A14" s="28" t="str">
        <x:v>S4-AUTH-02</x:v>
      </x:c>
      <x:c r="B14" s="28" t="str">
        <x:v>7.9</x:v>
      </x:c>
      <x:c r="C14" s="28" t="str">
        <x:v>Authentication</x:v>
      </x:c>
      <x:c r="D14" s="28" t="str">
        <x:v>FR-01</x:v>
      </x:c>
      <x:c r="E14" s="28" t="str">
        <x:v>High</x:v>
      </x:c>
      <x:c r="F14" s="28" t="str">
        <x:v>Regression</x:v>
      </x:c>
      <x:c r="G14" s="28" t="str">
        <x:v>Reject invalid Student credentials</x:v>
      </x:c>
      <x:c r="H14" s="28" t="str">
        <x:v>Student account exists</x:v>
      </x:c>
      <x:c r="I14" s="28" t="str">
        <x:v>Submit an invalid password.</x:v>
      </x:c>
      <x:c r="J14" s="28" t="str">
        <x:v>Login is rejected with a controlled validation or authentication message.</x:v>
      </x:c>
      <x:c r="K14" s="28" t="str">
        <x:v>Joyee</x:v>
      </x:c>
      <x:c r="L14" s="28" t="str">
        <x:v>Not Run</x:v>
      </x:c>
      <x:c r="M14" s="28" t="str"/>
      <x:c r="N14" s="28" t="str"/>
      <x:c r="O14" s="28" t="str"/>
      <x:c r="P14" s="28" t="str"/>
      <x:c r="Q14" s="28" t="str">
        <x:v>Hybrid</x:v>
      </x:c>
      <x:c r="R14" s="28" t="str"/>
    </x:row>
    <x:row r="15">
      <x:c r="A15" s="28" t="str">
        <x:v>S4-AUTH-03</x:v>
      </x:c>
      <x:c r="B15" s="28" t="str">
        <x:v>7.9</x:v>
      </x:c>
      <x:c r="C15" s="28" t="str">
        <x:v>Authentication</x:v>
      </x:c>
      <x:c r="D15" s="28" t="str">
        <x:v>FR-01</x:v>
      </x:c>
      <x:c r="E15" s="28" t="str">
        <x:v>High</x:v>
      </x:c>
      <x:c r="F15" s="28" t="str">
        <x:v>Regression</x:v>
      </x:c>
      <x:c r="G15" s="28" t="str">
        <x:v>Protected Student route without authentication</x:v>
      </x:c>
      <x:c r="H15" s="28" t="str">
        <x:v>Signed out browser session</x:v>
      </x:c>
      <x:c r="I15" s="28" t="str">
        <x:v>Navigate directly to a protected Student route.</x:v>
      </x:c>
      <x:c r="J15" s="28" t="str">
        <x:v>Access is blocked and the user is directed to authentication.</x:v>
      </x:c>
      <x:c r="K15" s="28" t="str">
        <x:v>Joyee</x:v>
      </x:c>
      <x:c r="L15" s="28" t="str">
        <x:v>Not Run</x:v>
      </x:c>
      <x:c r="M15" s="28" t="str"/>
      <x:c r="N15" s="28" t="str"/>
      <x:c r="O15" s="28" t="str"/>
      <x:c r="P15" s="28" t="str"/>
      <x:c r="Q15" s="28" t="str">
        <x:v>Hybrid</x:v>
      </x:c>
      <x:c r="R15" s="28" t="str"/>
    </x:row>
    <x:row r="16">
      <x:c r="A16" s="28" t="str">
        <x:v>S4-AUTH-04</x:v>
      </x:c>
      <x:c r="B16" s="28" t="str">
        <x:v>7.9</x:v>
      </x:c>
      <x:c r="C16" s="28" t="str">
        <x:v>Authentication</x:v>
      </x:c>
      <x:c r="D16" s="28" t="str">
        <x:v>NFR-05</x:v>
      </x:c>
      <x:c r="E16" s="28" t="str">
        <x:v>High</x:v>
      </x:c>
      <x:c r="F16" s="28" t="str">
        <x:v>Regression</x:v>
      </x:c>
      <x:c r="G16" s="28" t="str">
        <x:v>JWT-protected API without token</x:v>
      </x:c>
      <x:c r="H16" s="28" t="str">
        <x:v>No access token</x:v>
      </x:c>
      <x:c r="I16" s="28" t="str">
        <x:v>Call a protected Student API.</x:v>
      </x:c>
      <x:c r="J16" s="28" t="str">
        <x:v>API rejects the request with the approved unauthenticated response.</x:v>
      </x:c>
      <x:c r="K16" s="28" t="str">
        <x:v>Jerald</x:v>
      </x:c>
      <x:c r="L16" s="28" t="str">
        <x:v>Pass</x:v>
      </x:c>
      <x:c r="M16" s="28"/>
      <x:c r="N16" s="28" t="str">
        <x:v>GET /api/v1/profile/ without an access token returned HTTP 401 Unauthorized with code "not_authenticated" and message "Authentication credentials were not provided." The protected Student API rejected unauthenticated access as expected.</x:v>
      </x:c>
      <x:c r="O16" s="28" t="str">
        <x:v>S4-EV-AUTH-001</x:v>
      </x:c>
      <x:c r="P16" s="28"/>
      <x:c r="Q16" s="28" t="str">
        <x:v>Hybrid</x:v>
      </x:c>
      <x:c r="R16" s="28" t="str">
        <x:v>Verified manually in Postman. Evidence: S4-AUTH-04_JWT_Protected_API_Without_Token_PASS.png</x:v>
      </x:c>
    </x:row>
    <x:row r="17">
      <x:c r="A17" s="28" t="str">
        <x:v>S4-AUTH-05</x:v>
      </x:c>
      <x:c r="B17" s="28" t="str">
        <x:v>7.9</x:v>
      </x:c>
      <x:c r="C17" s="28" t="str">
        <x:v>Authentication</x:v>
      </x:c>
      <x:c r="D17" s="28" t="str">
        <x:v>FR-01</x:v>
      </x:c>
      <x:c r="E17" s="28" t="str">
        <x:v>High</x:v>
      </x:c>
      <x:c r="F17" s="28" t="str">
        <x:v>Regression</x:v>
      </x:c>
      <x:c r="G17" s="28" t="str">
        <x:v>Current-user retrieval after login</x:v>
      </x:c>
      <x:c r="H17" s="28" t="str">
        <x:v>Authenticated Student</x:v>
      </x:c>
      <x:c r="I17" s="28" t="str">
        <x:v>Load the current-user/session endpoint or dependent UI state.</x:v>
      </x:c>
      <x:c r="J17" s="28" t="str">
        <x:v>Authenticated Student identity is returned without exposing sensitive fields.</x:v>
      </x:c>
      <x:c r="K17" s="28" t="str">
        <x:v>Jerald</x:v>
      </x:c>
      <x:c r="L17" s="28" t="str">
        <x:v>Pass</x:v>
      </x:c>
      <x:c r="M17" s="28"/>
      <x:c r="N17" s="28" t="str">
        <x:v>GET /api/v1/auth/me/ returned HTTP 200 OK for the authenticated Student. The response returned id, email, first_name, last_name, and role without exposing sensitive fields.</x:v>
      </x:c>
      <x:c r="O17" s="28" t="str">
        <x:v>S4-EV-AUTH-001</x:v>
      </x:c>
      <x:c r="P17" s="28"/>
      <x:c r="Q17" s="28" t="str">
        <x:v>Hybrid</x:v>
      </x:c>
      <x:c r="R17" s="28" t="str">
        <x:v>Verified manually in Postman with masked Bearer token. Evidence: S4-AUTH-05_Current_User_Retrieval_After_Login_PASS.png</x:v>
      </x:c>
    </x:row>
    <x:row r="18">
      <x:c r="A18" s="28" t="str">
        <x:v>S4-PROFILE-01</x:v>
      </x:c>
      <x:c r="B18" s="28" t="str">
        <x:v>7.9</x:v>
      </x:c>
      <x:c r="C18" s="28" t="str">
        <x:v>Student Profile</x:v>
      </x:c>
      <x:c r="D18" s="28" t="str">
        <x:v>FR-02</x:v>
      </x:c>
      <x:c r="E18" s="28" t="str">
        <x:v>High</x:v>
      </x:c>
      <x:c r="F18" s="28" t="str">
        <x:v>Regression</x:v>
      </x:c>
      <x:c r="G18" s="28" t="str">
        <x:v>Load authenticated Student Profile</x:v>
      </x:c>
      <x:c r="H18" s="28" t="str">
        <x:v>Authenticated Student with profile</x:v>
      </x:c>
      <x:c r="I18" s="28" t="str">
        <x:v>Open Student Profile.</x:v>
      </x:c>
      <x:c r="J18" s="28" t="str">
        <x:v>Only the authenticated Student profile loads.</x:v>
      </x:c>
      <x:c r="K18" s="28" t="str">
        <x:v>Joyee</x:v>
      </x:c>
      <x:c r="L18" s="28" t="str">
        <x:v>Not Run</x:v>
      </x:c>
      <x:c r="M18" s="28" t="str"/>
      <x:c r="N18" s="28" t="str"/>
      <x:c r="O18" s="28" t="str"/>
      <x:c r="P18" s="28" t="str"/>
      <x:c r="Q18" s="28" t="str">
        <x:v>Hybrid</x:v>
      </x:c>
      <x:c r="R18" s="28" t="str"/>
    </x:row>
    <x:row r="19">
      <x:c r="A19" s="28" t="str">
        <x:v>S4-PROFILE-02</x:v>
      </x:c>
      <x:c r="B19" s="28" t="str">
        <x:v>7.9</x:v>
      </x:c>
      <x:c r="C19" s="28" t="str">
        <x:v>Student Profile</x:v>
      </x:c>
      <x:c r="D19" s="28" t="str">
        <x:v>FR-02</x:v>
      </x:c>
      <x:c r="E19" s="28" t="str">
        <x:v>High</x:v>
      </x:c>
      <x:c r="F19" s="28" t="str">
        <x:v>Regression</x:v>
      </x:c>
      <x:c r="G19" s="28" t="str">
        <x:v>Update approved Student Profile field</x:v>
      </x:c>
      <x:c r="H19" s="28" t="str">
        <x:v>Authenticated Student</x:v>
      </x:c>
      <x:c r="I19" s="28" t="str">
        <x:v>Change an approved editable profile field and save.</x:v>
      </x:c>
      <x:c r="J19" s="28" t="str">
        <x:v>Update persists and reloads correctly.</x:v>
      </x:c>
      <x:c r="K19" s="28" t="str">
        <x:v>Joyee</x:v>
      </x:c>
      <x:c r="L19" s="28" t="str">
        <x:v>Not Run</x:v>
      </x:c>
      <x:c r="M19" s="28" t="str"/>
      <x:c r="N19" s="28" t="str"/>
      <x:c r="O19" s="28" t="str"/>
      <x:c r="P19" s="28" t="str"/>
      <x:c r="Q19" s="28" t="str">
        <x:v>Hybrid</x:v>
      </x:c>
      <x:c r="R19" s="28" t="str"/>
    </x:row>
    <x:row r="20">
      <x:c r="A20" s="28" t="str">
        <x:v>S4-PROFILE-03</x:v>
      </x:c>
      <x:c r="B20" s="28" t="str">
        <x:v>7.9</x:v>
      </x:c>
      <x:c r="C20" s="28" t="str">
        <x:v>Student Profile</x:v>
      </x:c>
      <x:c r="D20" s="28" t="str">
        <x:v>NFR-06</x:v>
      </x:c>
      <x:c r="E20" s="28" t="str">
        <x:v>High</x:v>
      </x:c>
      <x:c r="F20" s="28" t="str">
        <x:v>Regression</x:v>
      </x:c>
      <x:c r="G20" s="28" t="str">
        <x:v>Reject cross-student profile access</x:v>
      </x:c>
      <x:c r="H20" s="28" t="str">
        <x:v>Two Student accounts</x:v>
      </x:c>
      <x:c r="I20" s="28" t="str">
        <x:v>Attempt to access another Student record through direct API manipulation.</x:v>
      </x:c>
      <x:c r="J20" s="28" t="str">
        <x:v>Backend prevents cross-student access.</x:v>
      </x:c>
      <x:c r="K20" s="28" t="str">
        <x:v>MD</x:v>
      </x:c>
      <x:c r="L20" s="28" t="str">
        <x:v>Not Run</x:v>
      </x:c>
      <x:c r="M20" s="28" t="str"/>
      <x:c r="N20" s="28" t="str"/>
      <x:c r="O20" s="28" t="str"/>
      <x:c r="P20" s="28" t="str"/>
      <x:c r="Q20" s="28" t="str">
        <x:v>Hybrid</x:v>
      </x:c>
      <x:c r="R20" s="28" t="str"/>
    </x:row>
    <x:row r="21">
      <x:c r="A21" s="28" t="str">
        <x:v>S4-PROFILE-04</x:v>
      </x:c>
      <x:c r="B21" s="28" t="str">
        <x:v>7.9</x:v>
      </x:c>
      <x:c r="C21" s="28" t="str">
        <x:v>Student Profile</x:v>
      </x:c>
      <x:c r="D21" s="28" t="str">
        <x:v>FR-02</x:v>
      </x:c>
      <x:c r="E21" s="28" t="str">
        <x:v>High</x:v>
      </x:c>
      <x:c r="F21" s="28" t="str">
        <x:v>Regression</x:v>
      </x:c>
      <x:c r="G21" s="28" t="str">
        <x:v>Profile changes feed downstream career context</x:v>
      </x:c>
      <x:c r="H21" s="28" t="str">
        <x:v>Authenticated Student with editable Skills</x:v>
      </x:c>
      <x:c r="I21" s="28" t="str">
        <x:v>Change an approved Skill then reload a dependent career feature.</x:v>
      </x:c>
      <x:c r="J21" s="28" t="str">
        <x:v>Dependent feature uses the updated authenticated Student context.</x:v>
      </x:c>
      <x:c r="K21" s="28" t="str">
        <x:v>Jerald</x:v>
      </x:c>
      <x:c r="L21" s="28" t="str">
        <x:v>Pass</x:v>
      </x:c>
      <x:c r="M21" s="28"/>
      <x:c r="N21" s="28" t="str">
        <x:v>React was initially recognised as an existing Student Profile skill in Job Matching. After React was removed and the same job description was analysed again, the result changed from 1 of 1 matched to 0 of 1, and React moved to Not listed in your profile. React was then restored at Proficient.</x:v>
      </x:c>
      <x:c r="O21" s="28" t="str">
        <x:v>S4-EV-PROFILE-001</x:v>
      </x:c>
      <x:c r="P21" s="28"/>
      <x:c r="Q21" s="28" t="str">
        <x:v>Hybrid</x:v>
      </x:c>
      <x:c r="R21" s="28" t="str">
        <x:v>Verified through Student Profile and Job Matching integration. Evidence: S4-PROFILE-04_Profile_Baseline_Before_Skill_Change.png; S4-PROFILE-04_Job_Matching_Baseline_React_In_Profile.png; S4-PROFILE-04_Job_Matching_After_React_Removal_PASS.png; S4-PROFILE-04_Profile_Restored_React_Proficient_Verified.png</x:v>
      </x:c>
    </x:row>
    <x:row r="22">
      <x:c r="A22" s="28" t="str">
        <x:v>S4-REC-01</x:v>
      </x:c>
      <x:c r="B22" s="28" t="str">
        <x:v>7.9</x:v>
      </x:c>
      <x:c r="C22" s="28" t="str">
        <x:v>Career Recommendations</x:v>
      </x:c>
      <x:c r="D22" s="28" t="str">
        <x:v>FR-03</x:v>
      </x:c>
      <x:c r="E22" s="28" t="str">
        <x:v>High</x:v>
      </x:c>
      <x:c r="F22" s="28" t="str">
        <x:v>Regression</x:v>
      </x:c>
      <x:c r="G22" s="28" t="str">
        <x:v>Generate ranked Career Recommendations</x:v>
      </x:c>
      <x:c r="H22" s="28" t="str">
        <x:v>Student Profile contains required evidence</x:v>
      </x:c>
      <x:c r="I22" s="28" t="str">
        <x:v>Open Career Recommendations or request recommendations.</x:v>
      </x:c>
      <x:c r="J22" s="28" t="str">
        <x:v>Ranked deterministic recommendations are returned.</x:v>
      </x:c>
      <x:c r="K22" s="28" t="str">
        <x:v>Jerald</x:v>
      </x:c>
      <x:c r="L22" s="28" t="str">
        <x:v>Pass</x:v>
      </x:c>
      <x:c r="M22" s="28"/>
      <x:c r="N22" s="28" t="str">
        <x:v>Career Recommendations loaded successfully for the authenticated Student and returned an ordered ranked list. Software Engineer was rank #1 with an 85% Career Match, followed by ranked career matches through rank #7.</x:v>
      </x:c>
      <x:c r="O22" s="28" t="str">
        <x:v>S4-EV-REC-001</x:v>
      </x:c>
      <x:c r="P22" s="28"/>
      <x:c r="Q22" s="28" t="str">
        <x:v>Hybrid</x:v>
      </x:c>
      <x:c r="R22" s="28" t="str">
        <x:v>Verified through Career Recommendations UI after restoring the Student Profile baseline. Evidence: S4-REC-01_Ranked_Career_Recommendations_PASS.png</x:v>
      </x:c>
    </x:row>
    <x:row r="23">
      <x:c r="A23" s="28" t="str">
        <x:v>S4-REC-02</x:v>
      </x:c>
      <x:c r="B23" s="28" t="str">
        <x:v>7.9</x:v>
      </x:c>
      <x:c r="C23" s="28" t="str">
        <x:v>Career Recommendations</x:v>
      </x:c>
      <x:c r="D23" s="28" t="str">
        <x:v>FR-04</x:v>
      </x:c>
      <x:c r="E23" s="28" t="str">
        <x:v>High</x:v>
      </x:c>
      <x:c r="F23" s="28" t="str">
        <x:v>Regression</x:v>
      </x:c>
      <x:c r="G23" s="28" t="str">
        <x:v>Recommendation score is visible</x:v>
      </x:c>
      <x:c r="H23" s="28" t="str">
        <x:v>Recommendation result exists</x:v>
      </x:c>
      <x:c r="I23" s="28" t="str">
        <x:v>Inspect recommendation result.</x:v>
      </x:c>
      <x:c r="J23" s="28" t="str">
        <x:v>Recommendation score is displayed with the result.</x:v>
      </x:c>
      <x:c r="K23" s="28" t="str">
        <x:v>Joyee</x:v>
      </x:c>
      <x:c r="L23" s="28" t="str">
        <x:v>Not Run</x:v>
      </x:c>
      <x:c r="M23" s="28" t="str"/>
      <x:c r="N23" s="28" t="str"/>
      <x:c r="O23" s="28" t="str"/>
      <x:c r="P23" s="28" t="str"/>
      <x:c r="Q23" s="28" t="str">
        <x:v>Hybrid</x:v>
      </x:c>
      <x:c r="R23" s="28" t="str"/>
    </x:row>
    <x:row r="24">
      <x:c r="A24" s="28" t="str">
        <x:v>S4-REC-03</x:v>
      </x:c>
      <x:c r="B24" s="28" t="str">
        <x:v>7.4,7.9</x:v>
      </x:c>
      <x:c r="C24" s="28" t="str">
        <x:v>Career Recommendations</x:v>
      </x:c>
      <x:c r="D24" s="28" t="str">
        <x:v>FR-04</x:v>
      </x:c>
      <x:c r="E24" s="28" t="str">
        <x:v>High</x:v>
      </x:c>
      <x:c r="F24" s="28" t="str">
        <x:v>Regression</x:v>
      </x:c>
      <x:c r="G24" s="28" t="str">
        <x:v>Recommendation explanation is available</x:v>
      </x:c>
      <x:c r="H24" s="28" t="str">
        <x:v>Top recommendation exists and AI provider is available</x:v>
      </x:c>
      <x:c r="I24" s="28" t="str">
        <x:v>Request the approved recommendation explanation.</x:v>
      </x:c>
      <x:c r="J24" s="28" t="str">
        <x:v>Explanation is returned without changing deterministic score or rank.</x:v>
      </x:c>
      <x:c r="K24" s="28" t="str">
        <x:v>Jerald</x:v>
      </x:c>
      <x:c r="L24" s="28" t="str">
        <x:v>Pass</x:v>
      </x:c>
      <x:c r="M24" s="28"/>
      <x:c r="N24" s="28" t="str">
        <x:v>The approved AI recommendation explanation returned successfully for the current top recommendation. After the explanation request, Career Recommendations was reloaded and Software Engineer remained rank #1 with an 85% Career Match.</x:v>
      </x:c>
      <x:c r="O24" s="28" t="str">
        <x:v>S4-EV-REC-003</x:v>
      </x:c>
      <x:c r="P24" s="28"/>
      <x:c r="Q24" s="28" t="str">
        <x:v>Hybrid</x:v>
      </x:c>
      <x:c r="R24" s="28" t="str">
        <x:v>AI explanation returned through the approved endpoint and deterministic recommendation result remained unchanged. Evidence: S4-REC-03_AI_Recommendation_Explanation_200_OK.png; S4-REC-03_Recommendation_Rank_and_Score_Unchanged_PASS.png</x:v>
      </x:c>
    </x:row>
    <x:row r="25">
      <x:c r="A25" s="28" t="str">
        <x:v>S4-REC-04</x:v>
      </x:c>
      <x:c r="B25" s="28" t="str">
        <x:v>7.9</x:v>
      </x:c>
      <x:c r="C25" s="28" t="str">
        <x:v>Career Recommendations</x:v>
      </x:c>
      <x:c r="D25" s="28" t="str">
        <x:v>NFR-08</x:v>
      </x:c>
      <x:c r="E25" s="28" t="str">
        <x:v>High</x:v>
      </x:c>
      <x:c r="F25" s="28" t="str">
        <x:v>Regression</x:v>
      </x:c>
      <x:c r="G25" s="28" t="str">
        <x:v>Recommendation result repeats for same structured profile</x:v>
      </x:c>
      <x:c r="H25" s="28" t="str">
        <x:v>Profile is unchanged</x:v>
      </x:c>
      <x:c r="I25" s="28" t="str">
        <x:v>Request recommendations twice under the same controlled data.</x:v>
      </x:c>
      <x:c r="J25" s="28" t="str">
        <x:v>Deterministic recommendation order and scores repeat.</x:v>
      </x:c>
      <x:c r="K25" s="28" t="str">
        <x:v>Jerald</x:v>
      </x:c>
      <x:c r="L25" s="28" t="str">
        <x:v>Pass</x:v>
      </x:c>
      <x:c r="M25" s="28"/>
      <x:c r="N25" s="28" t="str">
        <x:v>The same authenticated Student profile was used for two consecutive recommendation requests. Postman compared the full recommendation arrays and confirmed the recommendation count, order, career IDs, career names, and recommendation scores repeated exactly.</x:v>
      </x:c>
      <x:c r="O25" s="28" t="str">
        <x:v>S4-EV-REC-004</x:v>
      </x:c>
      <x:c r="P25" s="28"/>
      <x:c r="Q25" s="28" t="str">
        <x:v>Hybrid</x:v>
      </x:c>
      <x:c r="R25" s="28" t="str">
        <x:v>Postman post-response assertions passed 3/3 for full recommendation repeatability. Evidence: S4-REC-04_Recommendation_Repeatability_Run_1.png; S4-REC-04_Recommendation_Repeatability_Run_2.png; S4-REC-04_Postman_Baseline_Stored.png; S4-REC-04_Recommendation_Repeatability_PASS.png</x:v>
      </x:c>
    </x:row>
    <x:row r="26">
      <x:c r="A26" s="28" t="str">
        <x:v>S4-REC-05</x:v>
      </x:c>
      <x:c r="B26" s="28" t="str">
        <x:v>7.9</x:v>
      </x:c>
      <x:c r="C26" s="28" t="str">
        <x:v>Career Recommendations</x:v>
      </x:c>
      <x:c r="D26" s="28" t="str">
        <x:v>NFR-06</x:v>
      </x:c>
      <x:c r="E26" s="28" t="str">
        <x:v>High</x:v>
      </x:c>
      <x:c r="F26" s="28" t="str">
        <x:v>Regression</x:v>
      </x:c>
      <x:c r="G26" s="28" t="str">
        <x:v>Recommendation data is isolated by Student</x:v>
      </x:c>
      <x:c r="H26" s="28" t="str">
        <x:v>Two Students have different profiles</x:v>
      </x:c>
      <x:c r="I26" s="28" t="str">
        <x:v>Request recommendations for both authenticated accounts.</x:v>
      </x:c>
      <x:c r="J26" s="28" t="str">
        <x:v>Each Student receives results from their own profile context.</x:v>
      </x:c>
      <x:c r="K26" s="28" t="str">
        <x:v>MD</x:v>
      </x:c>
      <x:c r="L26" s="28" t="str">
        <x:v>Not Run</x:v>
      </x:c>
      <x:c r="M26" s="28" t="str"/>
      <x:c r="N26" s="28" t="str"/>
      <x:c r="O26" s="28" t="str"/>
      <x:c r="P26" s="28" t="str"/>
      <x:c r="Q26" s="28" t="str">
        <x:v>Hybrid</x:v>
      </x:c>
      <x:c r="R26" s="28" t="str"/>
    </x:row>
    <x:row r="27">
      <x:c r="A27" s="28" t="str">
        <x:v>S4-REC-06</x:v>
      </x:c>
      <x:c r="B27" s="28" t="str">
        <x:v>7.4,7.9</x:v>
      </x:c>
      <x:c r="C27" s="28" t="str">
        <x:v>Career Recommendations</x:v>
      </x:c>
      <x:c r="D27" s="28" t="str">
        <x:v>FR-18</x:v>
      </x:c>
      <x:c r="E27" s="28" t="str">
        <x:v>High</x:v>
      </x:c>
      <x:c r="F27" s="28" t="str">
        <x:v>Regression</x:v>
      </x:c>
      <x:c r="G27" s="28" t="str">
        <x:v>AI explanation failure preserves deterministic recommendation</x:v>
      </x:c>
      <x:c r="H27" s="28" t="str">
        <x:v>Recommendation result exists</x:v>
      </x:c>
      <x:c r="I27" s="28" t="str">
        <x:v>Simulate or trigger controlled text-provider failure for explanation.</x:v>
      </x:c>
      <x:c r="J27" s="28" t="str">
        <x:v>Deterministic recommendation score and rank remain unchanged.</x:v>
      </x:c>
      <x:c r="K27" s="28" t="str">
        <x:v>Jerald</x:v>
      </x:c>
      <x:c r="L27" s="28" t="str">
        <x:v>Pass</x:v>
      </x:c>
      <x:c r="M27" s="28"/>
      <x:c r="N27" s="28" t="str">
        <x:v>A controlled AI explanation validation failure was simulated using the existing Sprint 4 backend test. The test confirmed the deterministic recommendation score, rank, evidence fields, and snapshot payload remained unchanged.</x:v>
      </x:c>
      <x:c r="O27" s="28" t="str">
        <x:v>S4-EV-REC-006</x:v>
      </x:c>
      <x:c r="P27" s="28"/>
      <x:c r="Q27" s="28" t="str">
        <x:v>Hybrid</x:v>
      </x:c>
      <x:c r="R27" s="28" t="str">
        <x:v>Automated backend regression test passed. Evidence: S4-REC-06_AI_Explanation_Failure_Test_Setup.png; S4-REC-06_AI_Explanation_Failure_Preserves_Recommendation_PASS.png</x:v>
      </x:c>
    </x:row>
    <x:row r="28">
      <x:c r="A28" s="28" t="str">
        <x:v>S4-GAP-01</x:v>
      </x:c>
      <x:c r="B28" s="28" t="str">
        <x:v>7.9</x:v>
      </x:c>
      <x:c r="C28" s="28" t="str">
        <x:v>Skill Gap and Readiness</x:v>
      </x:c>
      <x:c r="D28" s="28" t="str">
        <x:v>FR-05</x:v>
      </x:c>
      <x:c r="E28" s="28" t="str">
        <x:v>High</x:v>
      </x:c>
      <x:c r="F28" s="28" t="str">
        <x:v>Regression</x:v>
      </x:c>
      <x:c r="G28" s="28" t="str">
        <x:v>Load Skill Gap for selected Career</x:v>
      </x:c>
      <x:c r="H28" s="28" t="str">
        <x:v>Authenticated Student and valid Career</x:v>
      </x:c>
      <x:c r="I28" s="28" t="str">
        <x:v>Open Skill Gap for the selected Career.</x:v>
      </x:c>
      <x:c r="J28" s="28" t="str">
        <x:v>Matched and missing requirements are shown for the selected Career.</x:v>
      </x:c>
      <x:c r="K28" s="28" t="str">
        <x:v>Joyee</x:v>
      </x:c>
      <x:c r="L28" s="28" t="str">
        <x:v>Not Run</x:v>
      </x:c>
      <x:c r="M28" s="28" t="str"/>
      <x:c r="N28" s="28" t="str"/>
      <x:c r="O28" s="28" t="str"/>
      <x:c r="P28" s="28" t="str"/>
      <x:c r="Q28" s="28" t="str">
        <x:v>Hybrid</x:v>
      </x:c>
      <x:c r="R28" s="28" t="str"/>
    </x:row>
    <x:row r="29">
      <x:c r="A29" s="28" t="str">
        <x:v>S4-GAP-02</x:v>
      </x:c>
      <x:c r="B29" s="28" t="str">
        <x:v>7.9</x:v>
      </x:c>
      <x:c r="C29" s="28" t="str">
        <x:v>Skill Gap and Readiness</x:v>
      </x:c>
      <x:c r="D29" s="28" t="str">
        <x:v>FR-06</x:v>
      </x:c>
      <x:c r="E29" s="28" t="str">
        <x:v>High</x:v>
      </x:c>
      <x:c r="F29" s="28" t="str">
        <x:v>Regression</x:v>
      </x:c>
      <x:c r="G29" s="28" t="str">
        <x:v>Load Career Readiness score</x:v>
      </x:c>
      <x:c r="H29" s="28" t="str">
        <x:v>Authenticated Student and valid Career</x:v>
      </x:c>
      <x:c r="I29" s="28" t="str">
        <x:v>Open readiness for the selected Career.</x:v>
      </x:c>
      <x:c r="J29" s="28" t="str">
        <x:v>Deterministic readiness score and factor details are returned.</x:v>
      </x:c>
      <x:c r="K29" s="28" t="str">
        <x:v>Joyee</x:v>
      </x:c>
      <x:c r="L29" s="28" t="str">
        <x:v>Not Run</x:v>
      </x:c>
      <x:c r="M29" s="28" t="str"/>
      <x:c r="N29" s="28" t="str"/>
      <x:c r="O29" s="28" t="str"/>
      <x:c r="P29" s="28" t="str"/>
      <x:c r="Q29" s="28" t="str">
        <x:v>Hybrid</x:v>
      </x:c>
      <x:c r="R29" s="28" t="str"/>
    </x:row>
    <x:row r="30">
      <x:c r="A30" s="28" t="str">
        <x:v>S4-GAP-03</x:v>
      </x:c>
      <x:c r="B30" s="28" t="str">
        <x:v>7.9</x:v>
      </x:c>
      <x:c r="C30" s="28" t="str">
        <x:v>Skill Gap and Readiness</x:v>
      </x:c>
      <x:c r="D30" s="28" t="str">
        <x:v>NFR-08</x:v>
      </x:c>
      <x:c r="E30" s="28" t="str">
        <x:v>High</x:v>
      </x:c>
      <x:c r="F30" s="28" t="str">
        <x:v>Regression</x:v>
      </x:c>
      <x:c r="G30" s="28" t="str">
        <x:v>Repeat Skill Gap and readiness with unchanged profile</x:v>
      </x:c>
      <x:c r="H30" s="28" t="str">
        <x:v>Profile and Career unchanged</x:v>
      </x:c>
      <x:c r="I30" s="28" t="str">
        <x:v>Run the same Skill Gap and readiness request twice.</x:v>
      </x:c>
      <x:c r="J30" s="28" t="str">
        <x:v>Deterministic results repeat.</x:v>
      </x:c>
      <x:c r="K30" s="28" t="str">
        <x:v>Jerald</x:v>
      </x:c>
      <x:c r="L30" s="28" t="str">
        <x:v>Pass</x:v>
      </x:c>
      <x:c r="M30" s="28"/>
      <x:c r="N30" s="28" t="str">
        <x:v>Two consecutive Career Readiness requests were executed for Software Engineer, career_id 3, without changing the Student Profile or selected Career. Postman assertions confirmed the readiness score, requirement counts, and complete deterministic Skill Gap and readiness response repeated exactly.</x:v>
      </x:c>
      <x:c r="O30" s="28" t="str">
        <x:v>S4-EV-GAP-003</x:v>
      </x:c>
      <x:c r="P30" s="28"/>
      <x:c r="Q30" s="28" t="str">
        <x:v>Hybrid</x:v>
      </x:c>
      <x:c r="R30" s="28" t="str">
        <x:v>Postman post-response assertions passed 4/4. Baseline readiness score was 5.54 with 0 meets, 1 below requirement, 17 missing, 18 total. Evidence: S4-GAP-03_Readiness_Baseline_Response.png; S4-GAP-03_Repeatability_Baseline_Stored.png; S4-GAP-03_Skill_Gap_Readiness_Repeatability_PASS.png</x:v>
      </x:c>
    </x:row>
    <x:row r="31">
      <x:c r="A31" s="28" t="str">
        <x:v>S4-GAP-04</x:v>
      </x:c>
      <x:c r="B31" s="28" t="str">
        <x:v>7.4,7.9</x:v>
      </x:c>
      <x:c r="C31" s="28" t="str">
        <x:v>Skill Gap and Readiness</x:v>
      </x:c>
      <x:c r="D31" s="28" t="str">
        <x:v>FR-18</x:v>
      </x:c>
      <x:c r="E31" s="28" t="str">
        <x:v>High</x:v>
      </x:c>
      <x:c r="F31" s="28" t="str">
        <x:v>Regression</x:v>
      </x:c>
      <x:c r="G31" s="28" t="str">
        <x:v>Skill Gap AI summary failure preserves deterministic gap</x:v>
      </x:c>
      <x:c r="H31" s="28" t="str">
        <x:v>Skill Gap deterministic result exists</x:v>
      </x:c>
      <x:c r="I31" s="28" t="str">
        <x:v>Simulate controlled text-provider failure for summary.</x:v>
      </x:c>
      <x:c r="J31" s="28" t="str">
        <x:v>Deterministic matched and missing requirements remain unchanged.</x:v>
      </x:c>
      <x:c r="K31" s="28" t="str">
        <x:v>Jerald</x:v>
      </x:c>
      <x:c r="L31" s="28" t="str">
        <x:v>Pass</x:v>
      </x:c>
      <x:c r="M31" s="28"/>
      <x:c r="N31" s="28" t="str">
        <x:v>A controlled AI summary failure was simulated through the existing Sprint 4 backend test. The test confirmed deterministic Skill Gap and Career Readiness results were preserved during the AI failure.</x:v>
      </x:c>
      <x:c r="O31" s="28" t="str">
        <x:v>S4-EV-GAP-004</x:v>
      </x:c>
      <x:c r="P31" s="28"/>
      <x:c r="Q31" s="28" t="str">
        <x:v>Hybrid</x:v>
      </x:c>
      <x:c r="R31" s="28" t="str">
        <x:v>Automated backend regression test passed. Evidence: S4-GAP-04_AI_Summary_Failure_Preserves_Skill_Gap_Readiness_PASS.png</x:v>
      </x:c>
    </x:row>
    <x:row r="32">
      <x:c r="A32" s="28" t="str">
        <x:v>S4-GAP-05</x:v>
      </x:c>
      <x:c r="B32" s="28" t="str">
        <x:v>7.4,7.9</x:v>
      </x:c>
      <x:c r="C32" s="28" t="str">
        <x:v>Skill Gap and Readiness</x:v>
      </x:c>
      <x:c r="D32" s="28" t="str">
        <x:v>FR-18</x:v>
      </x:c>
      <x:c r="E32" s="28" t="str">
        <x:v>High</x:v>
      </x:c>
      <x:c r="F32" s="28" t="str">
        <x:v>Regression</x:v>
      </x:c>
      <x:c r="G32" s="28" t="str">
        <x:v>Readiness does not depend on text AI provider</x:v>
      </x:c>
      <x:c r="H32" s="28" t="str">
        <x:v>Valid Student and Career</x:v>
      </x:c>
      <x:c r="I32" s="28" t="str">
        <x:v>Disable or simulate unavailable text provider then request readiness.</x:v>
      </x:c>
      <x:c r="J32" s="28" t="str">
        <x:v>Readiness deterministic response remains available.</x:v>
      </x:c>
      <x:c r="K32" s="28" t="str">
        <x:v>Jerald</x:v>
      </x:c>
      <x:c r="L32" s="28" t="str">
        <x:v>Pass</x:v>
      </x:c>
      <x:c r="M32" s="28"/>
      <x:c r="N32" s="28" t="str">
        <x:v>The existing Sprint 4 automated test simulated an unavailable text AI provider and confirmed the deterministic Career Readiness response stayed available and unchanged.</x:v>
      </x:c>
      <x:c r="O32" s="28" t="str">
        <x:v>S4-EV-GAP-005</x:v>
      </x:c>
      <x:c r="P32" s="28"/>
      <x:c r="Q32" s="28" t="str">
        <x:v>Hybrid</x:v>
      </x:c>
      <x:c r="R32" s="28" t="str">
        <x:v>Automated regression test passed. Evidence: S4-GAP-05_Readiness_Independent_of_Text_AI_Provider_PASS.png</x:v>
      </x:c>
    </x:row>
    <x:row r="33">
      <x:c r="A33" s="28" t="str">
        <x:v>S4-LEARN-01</x:v>
      </x:c>
      <x:c r="B33" s="28" t="str">
        <x:v>7.9</x:v>
      </x:c>
      <x:c r="C33" s="28" t="str">
        <x:v>Learning Suggestions</x:v>
      </x:c>
      <x:c r="D33" s="28" t="str">
        <x:v>FR-11</x:v>
      </x:c>
      <x:c r="E33" s="28" t="str">
        <x:v>Medium</x:v>
      </x:c>
      <x:c r="F33" s="28" t="str">
        <x:v>Regression</x:v>
      </x:c>
      <x:c r="G33" s="28" t="str">
        <x:v>Load ranked Learning Resources</x:v>
      </x:c>
      <x:c r="H33" s="28" t="str">
        <x:v>Authenticated Student and selected Career</x:v>
      </x:c>
      <x:c r="I33" s="28" t="str">
        <x:v>Open Learning Resources.</x:v>
      </x:c>
      <x:c r="J33" s="28" t="str">
        <x:v>Ranked resources load for unresolved skill gaps.</x:v>
      </x:c>
      <x:c r="K33" s="28" t="str">
        <x:v>Joyee</x:v>
      </x:c>
      <x:c r="L33" s="28" t="str">
        <x:v>Not Run</x:v>
      </x:c>
      <x:c r="M33" s="28" t="str"/>
      <x:c r="N33" s="28" t="str"/>
      <x:c r="O33" s="28" t="str"/>
      <x:c r="P33" s="28" t="str"/>
      <x:c r="Q33" s="28" t="str">
        <x:v>Hybrid</x:v>
      </x:c>
      <x:c r="R33" s="28" t="str"/>
    </x:row>
    <x:row r="34">
      <x:c r="A34" s="28" t="str">
        <x:v>S4-LEARN-02</x:v>
      </x:c>
      <x:c r="B34" s="28" t="str">
        <x:v>7.9</x:v>
      </x:c>
      <x:c r="C34" s="28" t="str">
        <x:v>Learning Suggestions</x:v>
      </x:c>
      <x:c r="D34" s="28" t="str">
        <x:v>FR-11</x:v>
      </x:c>
      <x:c r="E34" s="28" t="str">
        <x:v>Medium</x:v>
      </x:c>
      <x:c r="F34" s="28" t="str">
        <x:v>Regression</x:v>
      </x:c>
      <x:c r="G34" s="28" t="str">
        <x:v>Learning Resources match selected Career context</x:v>
      </x:c>
      <x:c r="H34" s="28" t="str">
        <x:v>Multiple Careers available</x:v>
      </x:c>
      <x:c r="I34" s="28" t="str">
        <x:v>Change selected Career and reload resources.</x:v>
      </x:c>
      <x:c r="J34" s="28" t="str">
        <x:v>Resources reflect the active selected Career context.</x:v>
      </x:c>
      <x:c r="K34" s="28" t="str">
        <x:v>Joyee</x:v>
      </x:c>
      <x:c r="L34" s="28" t="str">
        <x:v>Not Run</x:v>
      </x:c>
      <x:c r="M34" s="28" t="str"/>
      <x:c r="N34" s="28" t="str"/>
      <x:c r="O34" s="28" t="str"/>
      <x:c r="P34" s="28" t="str"/>
      <x:c r="Q34" s="28" t="str">
        <x:v>Hybrid</x:v>
      </x:c>
      <x:c r="R34" s="28" t="str"/>
    </x:row>
    <x:row r="35">
      <x:c r="A35" s="28" t="str">
        <x:v>S4-LEARN-03</x:v>
      </x:c>
      <x:c r="B35" s="28" t="str">
        <x:v>7.9</x:v>
      </x:c>
      <x:c r="C35" s="28" t="str">
        <x:v>Learning Suggestions</x:v>
      </x:c>
      <x:c r="D35" s="28" t="str">
        <x:v>FR-11</x:v>
      </x:c>
      <x:c r="E35" s="28" t="str">
        <x:v>Medium</x:v>
      </x:c>
      <x:c r="F35" s="28" t="str">
        <x:v>Regression</x:v>
      </x:c>
      <x:c r="G35" s="28" t="str">
        <x:v>Learning Resource feedback action</x:v>
      </x:c>
      <x:c r="H35" s="28" t="str">
        <x:v>Feedback action is available</x:v>
      </x:c>
      <x:c r="I35" s="28" t="str">
        <x:v>Submit an approved Helpful or Not Useful action.</x:v>
      </x:c>
      <x:c r="J35" s="28" t="str">
        <x:v>Feedback request is handled without breaking the resource list.</x:v>
      </x:c>
      <x:c r="K35" s="28" t="str">
        <x:v>MD</x:v>
      </x:c>
      <x:c r="L35" s="28" t="str">
        <x:v>Not Run</x:v>
      </x:c>
      <x:c r="M35" s="28" t="str"/>
      <x:c r="N35" s="28" t="str"/>
      <x:c r="O35" s="28" t="str"/>
      <x:c r="P35" s="28" t="str"/>
      <x:c r="Q35" s="28" t="str">
        <x:v>Hybrid</x:v>
      </x:c>
      <x:c r="R35" s="28" t="str"/>
    </x:row>
    <x:row r="36">
      <x:c r="A36" s="28" t="str">
        <x:v>S4-LEARN-04</x:v>
      </x:c>
      <x:c r="B36" s="28" t="str">
        <x:v>7.9</x:v>
      </x:c>
      <x:c r="C36" s="28" t="str">
        <x:v>Learning Suggestions</x:v>
      </x:c>
      <x:c r="D36" s="28" t="str">
        <x:v>FR-11</x:v>
      </x:c>
      <x:c r="E36" s="28" t="str">
        <x:v>Medium</x:v>
      </x:c>
      <x:c r="F36" s="28" t="str">
        <x:v>Regression</x:v>
      </x:c>
      <x:c r="G36" s="28" t="str">
        <x:v>Learning Resource issue report action</x:v>
      </x:c>
      <x:c r="H36" s="28" t="str">
        <x:v>Issue-report action is available</x:v>
      </x:c>
      <x:c r="I36" s="28" t="str">
        <x:v>Submit an approved report action.</x:v>
      </x:c>
      <x:c r="J36" s="28" t="str">
        <x:v>Report is handled through the approved backend flow.</x:v>
      </x:c>
      <x:c r="K36" s="28" t="str">
        <x:v>MD</x:v>
      </x:c>
      <x:c r="L36" s="28" t="str">
        <x:v>Not Run</x:v>
      </x:c>
      <x:c r="M36" s="28" t="str"/>
      <x:c r="N36" s="28" t="str"/>
      <x:c r="O36" s="28" t="str"/>
      <x:c r="P36" s="28" t="str"/>
      <x:c r="Q36" s="28" t="str">
        <x:v>Hybrid</x:v>
      </x:c>
      <x:c r="R36" s="28" t="str"/>
    </x:row>
    <x:row r="37">
      <x:c r="A37" s="28" t="str">
        <x:v>S4-ROAD-01</x:v>
      </x:c>
      <x:c r="B37" s="28" t="str">
        <x:v>7.9</x:v>
      </x:c>
      <x:c r="C37" s="28" t="str">
        <x:v>Career Roadmap</x:v>
      </x:c>
      <x:c r="D37" s="28" t="str">
        <x:v>FR-12</x:v>
      </x:c>
      <x:c r="E37" s="28" t="str">
        <x:v>Medium</x:v>
      </x:c>
      <x:c r="F37" s="28" t="str">
        <x:v>Regression</x:v>
      </x:c>
      <x:c r="G37" s="28" t="str">
        <x:v>Load Career Roadmap</x:v>
      </x:c>
      <x:c r="H37" s="28" t="str">
        <x:v>Authenticated Student and selected Career</x:v>
      </x:c>
      <x:c r="I37" s="28" t="str">
        <x:v>Open Career Roadmap.</x:v>
      </x:c>
      <x:c r="J37" s="28" t="str">
        <x:v>Ordered roadmap steps load for the selected Career.</x:v>
      </x:c>
      <x:c r="K37" s="28" t="str">
        <x:v>Joyee</x:v>
      </x:c>
      <x:c r="L37" s="28" t="str">
        <x:v>Not Run</x:v>
      </x:c>
      <x:c r="M37" s="28" t="str"/>
      <x:c r="N37" s="28" t="str"/>
      <x:c r="O37" s="28" t="str"/>
      <x:c r="P37" s="28" t="str"/>
      <x:c r="Q37" s="28" t="str">
        <x:v>Hybrid</x:v>
      </x:c>
      <x:c r="R37" s="28" t="str"/>
    </x:row>
    <x:row r="38">
      <x:c r="A38" s="28" t="str">
        <x:v>S4-ROAD-02</x:v>
      </x:c>
      <x:c r="B38" s="28" t="str">
        <x:v>7.9</x:v>
      </x:c>
      <x:c r="C38" s="28" t="str">
        <x:v>Career Roadmap</x:v>
      </x:c>
      <x:c r="D38" s="28" t="str">
        <x:v>FR-12</x:v>
      </x:c>
      <x:c r="E38" s="28" t="str">
        <x:v>Medium</x:v>
      </x:c>
      <x:c r="F38" s="28" t="str">
        <x:v>Regression</x:v>
      </x:c>
      <x:c r="G38" s="28" t="str">
        <x:v>Start roadmap step</x:v>
      </x:c>
      <x:c r="H38" s="28" t="str">
        <x:v>Roadmap step is available</x:v>
      </x:c>
      <x:c r="I38" s="28" t="str">
        <x:v>Start an eligible roadmap step.</x:v>
      </x:c>
      <x:c r="J38" s="28" t="str">
        <x:v>Progress state updates for the authenticated Student.</x:v>
      </x:c>
      <x:c r="K38" s="28" t="str">
        <x:v>MD</x:v>
      </x:c>
      <x:c r="L38" s="28" t="str">
        <x:v>Not Run</x:v>
      </x:c>
      <x:c r="M38" s="28" t="str"/>
      <x:c r="N38" s="28" t="str"/>
      <x:c r="O38" s="28" t="str"/>
      <x:c r="P38" s="28" t="str"/>
      <x:c r="Q38" s="28" t="str">
        <x:v>Hybrid</x:v>
      </x:c>
      <x:c r="R38" s="28" t="str"/>
    </x:row>
    <x:row r="39">
      <x:c r="A39" s="28" t="str">
        <x:v>S4-ROAD-03</x:v>
      </x:c>
      <x:c r="B39" s="28" t="str">
        <x:v>7.9</x:v>
      </x:c>
      <x:c r="C39" s="28" t="str">
        <x:v>Career Roadmap</x:v>
      </x:c>
      <x:c r="D39" s="28" t="str">
        <x:v>FR-12</x:v>
      </x:c>
      <x:c r="E39" s="28" t="str">
        <x:v>Medium</x:v>
      </x:c>
      <x:c r="F39" s="28" t="str">
        <x:v>Regression</x:v>
      </x:c>
      <x:c r="G39" s="28" t="str">
        <x:v>Mark roadmap step complete</x:v>
      </x:c>
      <x:c r="H39" s="28" t="str">
        <x:v>Started roadmap step exists</x:v>
      </x:c>
      <x:c r="I39" s="28" t="str">
        <x:v>Mark the step complete.</x:v>
      </x:c>
      <x:c r="J39" s="28" t="str">
        <x:v>Completion persists and progress updates.</x:v>
      </x:c>
      <x:c r="K39" s="28" t="str">
        <x:v>MD</x:v>
      </x:c>
      <x:c r="L39" s="28" t="str">
        <x:v>Not Run</x:v>
      </x:c>
      <x:c r="M39" s="28" t="str"/>
      <x:c r="N39" s="28" t="str"/>
      <x:c r="O39" s="28" t="str"/>
      <x:c r="P39" s="28" t="str"/>
      <x:c r="Q39" s="28" t="str">
        <x:v>Hybrid</x:v>
      </x:c>
      <x:c r="R39" s="28" t="str"/>
    </x:row>
    <x:row r="40">
      <x:c r="A40" s="28" t="str">
        <x:v>S4-ROAD-04</x:v>
      </x:c>
      <x:c r="B40" s="28" t="str">
        <x:v>7.9</x:v>
      </x:c>
      <x:c r="C40" s="28" t="str">
        <x:v>Career Roadmap</x:v>
      </x:c>
      <x:c r="D40" s="28" t="str">
        <x:v>NFR-06</x:v>
      </x:c>
      <x:c r="E40" s="28" t="str">
        <x:v>Medium</x:v>
      </x:c>
      <x:c r="F40" s="28" t="str">
        <x:v>Regression</x:v>
      </x:c>
      <x:c r="G40" s="28" t="str">
        <x:v>Roadmap guidance remains Student-owned</x:v>
      </x:c>
      <x:c r="H40" s="28" t="str">
        <x:v>Two Students have roadmap data</x:v>
      </x:c>
      <x:c r="I40" s="28" t="str">
        <x:v>Attempt cross-student roadmap access.</x:v>
      </x:c>
      <x:c r="J40" s="28" t="str">
        <x:v>Backend prevents cross-student access.</x:v>
      </x:c>
      <x:c r="K40" s="28" t="str">
        <x:v>MD</x:v>
      </x:c>
      <x:c r="L40" s="28" t="str">
        <x:v>Not Run</x:v>
      </x:c>
      <x:c r="M40" s="28" t="str"/>
      <x:c r="N40" s="28" t="str"/>
      <x:c r="O40" s="28" t="str"/>
      <x:c r="P40" s="28" t="str"/>
      <x:c r="Q40" s="28" t="str">
        <x:v>Hybrid</x:v>
      </x:c>
      <x:c r="R40" s="28" t="str"/>
    </x:row>
    <x:row r="41">
      <x:c r="A41" s="28" t="str">
        <x:v>S4-JOB-01</x:v>
      </x:c>
      <x:c r="B41" s="28" t="str">
        <x:v>7.5,7.9</x:v>
      </x:c>
      <x:c r="C41" s="28" t="str">
        <x:v>Job Matching</x:v>
      </x:c>
      <x:c r="D41" s="28" t="str">
        <x:v>FR-07</x:v>
      </x:c>
      <x:c r="E41" s="28" t="str">
        <x:v>High</x:v>
      </x:c>
      <x:c r="F41" s="28" t="str">
        <x:v>Integration</x:v>
      </x:c>
      <x:c r="G41" s="28" t="str">
        <x:v>Open protected Job Matching page</x:v>
      </x:c>
      <x:c r="H41" s="28" t="str">
        <x:v>Authenticated Student</x:v>
      </x:c>
      <x:c r="I41" s="28" t="str">
        <x:v>Navigate to Job Matching.</x:v>
      </x:c>
      <x:c r="J41" s="28" t="str">
        <x:v>Job Matching page loads for the authenticated Student.</x:v>
      </x:c>
      <x:c r="K41" s="28" t="str">
        <x:v>Joyee</x:v>
      </x:c>
      <x:c r="L41" s="28" t="str">
        <x:v>Not Run</x:v>
      </x:c>
      <x:c r="M41" s="28" t="str"/>
      <x:c r="N41" s="28" t="str"/>
      <x:c r="O41" s="28" t="str"/>
      <x:c r="P41" s="28" t="str"/>
      <x:c r="Q41" s="28" t="str">
        <x:v>Hybrid</x:v>
      </x:c>
      <x:c r="R41" s="28" t="str"/>
    </x:row>
    <x:row r="42">
      <x:c r="A42" s="28" t="str">
        <x:v>S4-JOB-02</x:v>
      </x:c>
      <x:c r="B42" s="28" t="str">
        <x:v>7.2,7.5,7.9</x:v>
      </x:c>
      <x:c r="C42" s="28" t="str">
        <x:v>Job Matching</x:v>
      </x:c>
      <x:c r="D42" s="28" t="str">
        <x:v>FR-07</x:v>
      </x:c>
      <x:c r="E42" s="28" t="str">
        <x:v>High</x:v>
      </x:c>
      <x:c r="F42" s="28" t="str">
        <x:v>Integration</x:v>
      </x:c>
      <x:c r="G42" s="28" t="str">
        <x:v>Submit valid job description</x:v>
      </x:c>
      <x:c r="H42" s="28" t="str">
        <x:v>Authenticated Student with Skills</x:v>
      </x:c>
      <x:c r="I42" s="28" t="str">
        <x:v>Paste a valid job description and submit.</x:v>
      </x:c>
      <x:c r="J42" s="28" t="str">
        <x:v>Structured matched and missing requirement result is displayed.</x:v>
      </x:c>
      <x:c r="K42" s="28" t="str">
        <x:v>Jerald</x:v>
      </x:c>
      <x:c r="L42" s="28" t="str">
        <x:v>Pass</x:v>
      </x:c>
      <x:c r="M42" s="28"/>
      <x:c r="N42" s="28" t="str">
        <x:v>A valid job description containing React, Python, Docker, and Kubernetes was submitted. GradNavi recognised all four requirements. React and Python appeared as matched Student Profile skills. Docker and Kubernetes appeared as recognised requirements absent from the Student Profile.</x:v>
      </x:c>
      <x:c r="O42" s="28" t="str">
        <x:v>S4-EV-JOB-002</x:v>
      </x:c>
      <x:c r="P42" s="28"/>
      <x:c r="Q42" s="28" t="str">
        <x:v>Hybrid</x:v>
      </x:c>
      <x:c r="R42" s="28" t="str">
        <x:v>Verified through Job Matching UI. Evidence: S4-JOB-02_Valid_Job_Description_Matched_Missing_Requirements_PASS.png</x:v>
      </x:c>
    </x:row>
    <x:row r="43">
      <x:c r="A43" s="28" t="str">
        <x:v>S4-JOB-03</x:v>
      </x:c>
      <x:c r="B43" s="28" t="str">
        <x:v>7.2,7.5,7.9</x:v>
      </x:c>
      <x:c r="C43" s="28" t="str">
        <x:v>Job Matching</x:v>
      </x:c>
      <x:c r="D43" s="28" t="str">
        <x:v>FR-07</x:v>
      </x:c>
      <x:c r="E43" s="28" t="str">
        <x:v>High</x:v>
      </x:c>
      <x:c r="F43" s="28" t="str">
        <x:v>Integration</x:v>
      </x:c>
      <x:c r="G43" s="28" t="str">
        <x:v>Reject blank job description</x:v>
      </x:c>
      <x:c r="H43" s="28" t="str">
        <x:v>Authenticated Student</x:v>
      </x:c>
      <x:c r="I43" s="28" t="str">
        <x:v>Submit blank job-description input.</x:v>
      </x:c>
      <x:c r="J43" s="28" t="str">
        <x:v>Validation prevents the request or API rejects the blank value.</x:v>
      </x:c>
      <x:c r="K43" s="28" t="str">
        <x:v>Jerald</x:v>
      </x:c>
      <x:c r="L43" s="28" t="str">
        <x:v>Pass</x:v>
      </x:c>
      <x:c r="M43" s="28"/>
      <x:c r="N43" s="28" t="str">
        <x:v>The Job Matching page was opened with an empty job-description field. The field showed 0 / 20,000 characters and the Analyze Job action was disabled, preventing submission of blank input.</x:v>
      </x:c>
      <x:c r="O43" s="28" t="str">
        <x:v>S4-EV-JOB-003</x:v>
      </x:c>
      <x:c r="P43" s="28"/>
      <x:c r="Q43" s="28" t="str">
        <x:v>Hybrid</x:v>
      </x:c>
      <x:c r="R43" s="28" t="str">
        <x:v>Frontend validation verified manually. Evidence: S4-JOB-03_Blank_Job_Description_Validation_PASS.png</x:v>
      </x:c>
    </x:row>
    <x:row r="44">
      <x:c r="A44" s="28" t="str">
        <x:v>S4-JOB-04</x:v>
      </x:c>
      <x:c r="B44" s="28" t="str">
        <x:v>7.2,7.5,7.9</x:v>
      </x:c>
      <x:c r="C44" s="28" t="str">
        <x:v>Job Matching</x:v>
      </x:c>
      <x:c r="D44" s="28" t="str">
        <x:v>FR-07</x:v>
      </x:c>
      <x:c r="E44" s="28" t="str">
        <x:v>High</x:v>
      </x:c>
      <x:c r="F44" s="28" t="str">
        <x:v>Integration</x:v>
      </x:c>
      <x:c r="G44" s="28" t="str">
        <x:v>Reject oversized job description</x:v>
      </x:c>
      <x:c r="H44" s="28" t="str">
        <x:v>Authenticated Student</x:v>
      </x:c>
      <x:c r="I44" s="28" t="str">
        <x:v>Submit text above the approved 20,000-character limit.</x:v>
      </x:c>
      <x:c r="J44" s="28" t="str">
        <x:v>Oversized input is rejected with controlled validation.</x:v>
      </x:c>
      <x:c r="K44" s="28" t="str">
        <x:v>Jerald</x:v>
      </x:c>
      <x:c r="L44" s="28" t="str">
        <x:v>Pass</x:v>
      </x:c>
      <x:c r="M44" s="28"/>
      <x:c r="N44" s="28" t="str">
        <x:v>A 20,001-character job description exceeded the approved 20,000-character limit. The interface displayed 1 over limit and disabled Analyze Job, preventing submission.</x:v>
      </x:c>
      <x:c r="O44" s="28" t="str">
        <x:v>S4-EV-JOB-004</x:v>
      </x:c>
      <x:c r="P44" s="28"/>
      <x:c r="Q44" s="28" t="str">
        <x:v>Hybrid</x:v>
      </x:c>
      <x:c r="R44" s="28" t="str">
        <x:v>Frontend oversized-input validation verified manually. Evidence: S4-JOB-04_Oversized_Job_Description_Validation_PASS.png</x:v>
      </x:c>
    </x:row>
    <x:row r="45">
      <x:c r="A45" s="28" t="str">
        <x:v>S4-JOB-05</x:v>
      </x:c>
      <x:c r="B45" s="28" t="str">
        <x:v>7.2,7.5,7.9</x:v>
      </x:c>
      <x:c r="C45" s="28" t="str">
        <x:v>Job Matching</x:v>
      </x:c>
      <x:c r="D45" s="28" t="str">
        <x:v>FR-07</x:v>
      </x:c>
      <x:c r="E45" s="28" t="str">
        <x:v>High</x:v>
      </x:c>
      <x:c r="F45" s="28" t="str">
        <x:v>Integration</x:v>
      </x:c>
      <x:c r="G45" s="28" t="str">
        <x:v>Display matched requirements</x:v>
      </x:c>
      <x:c r="H45" s="28" t="str">
        <x:v>Job description contains known Student Skills</x:v>
      </x:c>
      <x:c r="I45" s="28" t="str">
        <x:v>Submit job description.</x:v>
      </x:c>
      <x:c r="J45" s="28" t="str">
        <x:v>Known requirements appear in the matched section.</x:v>
      </x:c>
      <x:c r="K45" s="28" t="str">
        <x:v>Joyee</x:v>
      </x:c>
      <x:c r="L45" s="28" t="str">
        <x:v>Not Run</x:v>
      </x:c>
      <x:c r="M45" s="28" t="str"/>
      <x:c r="N45" s="28" t="str"/>
      <x:c r="O45" s="28" t="str"/>
      <x:c r="P45" s="28" t="str"/>
      <x:c r="Q45" s="28" t="str">
        <x:v>Hybrid</x:v>
      </x:c>
      <x:c r="R45" s="28" t="str"/>
    </x:row>
    <x:row r="46">
      <x:c r="A46" s="28" t="str">
        <x:v>S4-JOB-06</x:v>
      </x:c>
      <x:c r="B46" s="28" t="str">
        <x:v>7.2,7.5,7.9</x:v>
      </x:c>
      <x:c r="C46" s="28" t="str">
        <x:v>Job Matching</x:v>
      </x:c>
      <x:c r="D46" s="28" t="str">
        <x:v>FR-07</x:v>
      </x:c>
      <x:c r="E46" s="28" t="str">
        <x:v>High</x:v>
      </x:c>
      <x:c r="F46" s="28" t="str">
        <x:v>Integration</x:v>
      </x:c>
      <x:c r="G46" s="28" t="str">
        <x:v>Display missing requirements</x:v>
      </x:c>
      <x:c r="H46" s="28" t="str">
        <x:v>Job description contains recognised Skills absent from profile</x:v>
      </x:c>
      <x:c r="I46" s="28" t="str">
        <x:v>Submit job description.</x:v>
      </x:c>
      <x:c r="J46" s="28" t="str">
        <x:v>Recognised absent requirements appear in the missing section.</x:v>
      </x:c>
      <x:c r="K46" s="28" t="str">
        <x:v>Joyee</x:v>
      </x:c>
      <x:c r="L46" s="28" t="str">
        <x:v>Not Run</x:v>
      </x:c>
      <x:c r="M46" s="28" t="str"/>
      <x:c r="N46" s="28" t="str"/>
      <x:c r="O46" s="28" t="str"/>
      <x:c r="P46" s="28" t="str"/>
      <x:c r="Q46" s="28" t="str">
        <x:v>Hybrid</x:v>
      </x:c>
      <x:c r="R46" s="28" t="str"/>
    </x:row>
    <x:row r="47">
      <x:c r="A47" s="28" t="str">
        <x:v>S4-JOB-07</x:v>
      </x:c>
      <x:c r="B47" s="28" t="str">
        <x:v>7.2,7.9</x:v>
      </x:c>
      <x:c r="C47" s="28" t="str">
        <x:v>Job Matching</x:v>
      </x:c>
      <x:c r="D47" s="28" t="str">
        <x:v>FR-07</x:v>
      </x:c>
      <x:c r="E47" s="28" t="str">
        <x:v>High</x:v>
      </x:c>
      <x:c r="F47" s="28" t="str">
        <x:v>Integration</x:v>
      </x:c>
      <x:c r="G47" s="28" t="str">
        <x:v>Canonical skill matching</x:v>
      </x:c>
      <x:c r="H47" s="28" t="str">
        <x:v>Canonical Skill name appears in job description</x:v>
      </x:c>
      <x:c r="I47" s="28" t="str">
        <x:v>Submit job description.</x:v>
      </x:c>
      <x:c r="J47" s="28" t="str">
        <x:v>Canonical Skill is recognised correctly.</x:v>
      </x:c>
      <x:c r="K47" s="28" t="str">
        <x:v>Jerald</x:v>
      </x:c>
      <x:c r="L47" s="28" t="str">
        <x:v>Pass</x:v>
      </x:c>
      <x:c r="M47" s="28"/>
      <x:c r="N47" s="28" t="str">
        <x:v>A job description containing the canonical Skill name React was submitted. GradNavi recognised React, resolved the requirement directly to the canonical React Skill, identified the match source as Canonical match, and matched it against the authenticated Student Profile.</x:v>
      </x:c>
      <x:c r="O47" s="28" t="str">
        <x:v>S4-EV-JOB-007</x:v>
      </x:c>
      <x:c r="P47" s="28"/>
      <x:c r="Q47" s="28" t="str">
        <x:v>Hybrid</x:v>
      </x:c>
      <x:c r="R47" s="28" t="str">
        <x:v>Verified through Job Matching UI. Evidence: S4-JOB-07_Canonical_Skill_Matching_React_PASS.png</x:v>
      </x:c>
    </x:row>
    <x:row r="48">
      <x:c r="A48" s="28" t="str">
        <x:v>S4-JOB-08</x:v>
      </x:c>
      <x:c r="B48" s="28" t="str">
        <x:v>7.2,7.9</x:v>
      </x:c>
      <x:c r="C48" s="28" t="str">
        <x:v>Job Matching</x:v>
      </x:c>
      <x:c r="D48" s="28" t="str">
        <x:v>FR-07</x:v>
      </x:c>
      <x:c r="E48" s="28" t="str">
        <x:v>High</x:v>
      </x:c>
      <x:c r="F48" s="28" t="str">
        <x:v>Integration</x:v>
      </x:c>
      <x:c r="G48" s="28" t="str">
        <x:v>Skill alias matching</x:v>
      </x:c>
      <x:c r="H48" s="28" t="str">
        <x:v>Approved SkillAlias appears in job description</x:v>
      </x:c>
      <x:c r="I48" s="28" t="str">
        <x:v>Submit job description.</x:v>
      </x:c>
      <x:c r="J48" s="28" t="str">
        <x:v>Alias resolves to the canonical Skill.</x:v>
      </x:c>
      <x:c r="K48" s="28" t="str">
        <x:v>Jerald</x:v>
      </x:c>
      <x:c r="L48" s="28" t="str">
        <x:v>Pass</x:v>
      </x:c>
      <x:c r="M48" s="28"/>
      <x:c r="N48" s="28" t="str">
        <x:v>The existing Sprint 4 automated test submitted the approved SkillAlias "Py". GradNavi resolved the alias to the canonical Python Skill and identified the match source as alias.</x:v>
      </x:c>
      <x:c r="O48" s="28" t="str">
        <x:v>S4-EV-JOB-008</x:v>
      </x:c>
      <x:c r="P48" s="28"/>
      <x:c r="Q48" s="28" t="str">
        <x:v>Hybrid</x:v>
      </x:c>
      <x:c r="R48" s="28" t="str">
        <x:v>Automated backend test passed. Evidence: S4-JOB-08_Skill_Alias_Matching_Py_to_Python_PASS.png</x:v>
      </x:c>
    </x:row>
    <x:row r="49">
      <x:c r="A49" s="28" t="str">
        <x:v>S4-JOB-09</x:v>
      </x:c>
      <x:c r="B49" s="28" t="str">
        <x:v>7.2,7.9</x:v>
      </x:c>
      <x:c r="C49" s="28" t="str">
        <x:v>Job Matching</x:v>
      </x:c>
      <x:c r="D49" s="28" t="str">
        <x:v>FR-07</x:v>
      </x:c>
      <x:c r="E49" s="28" t="str">
        <x:v>High</x:v>
      </x:c>
      <x:c r="F49" s="28" t="str">
        <x:v>Integration</x:v>
      </x:c>
      <x:c r="G49" s="28" t="str">
        <x:v>Avoid unsupported synonym guessing</x:v>
      </x:c>
      <x:c r="H49" s="28" t="str">
        <x:v>Job description uses unsupported related wording</x:v>
      </x:c>
      <x:c r="I49" s="28" t="str">
        <x:v>Submit job description.</x:v>
      </x:c>
      <x:c r="J49" s="28" t="str">
        <x:v>Unsupported wording is not silently mapped to a different Skill.</x:v>
      </x:c>
      <x:c r="K49" s="28" t="str">
        <x:v>Jerald</x:v>
      </x:c>
      <x:c r="L49" s="28" t="str">
        <x:v>Pass</x:v>
      </x:c>
      <x:c r="M49" s="28"/>
      <x:c r="N49" s="28" t="str">
        <x:v>The existing Sprint 4 automated test submitted unsupported generic terms including testing, APIs, software development, problem solving, and communication. GradNavi returned no guessed Skill requirements.</x:v>
      </x:c>
      <x:c r="O49" s="28" t="str">
        <x:v>S4-EV-JOB-009</x:v>
      </x:c>
      <x:c r="P49" s="28"/>
      <x:c r="Q49" s="28" t="str">
        <x:v>Hybrid</x:v>
      </x:c>
      <x:c r="R49" s="28" t="str">
        <x:v>Automated backend test passed. Evidence: S4-JOB-09_Unsupported_Synonym_Guessing_Not_Guessed_PASS.png</x:v>
      </x:c>
    </x:row>
    <x:row r="50">
      <x:c r="A50" s="28" t="str">
        <x:v>S4-JOB-10</x:v>
      </x:c>
      <x:c r="B50" s="28" t="str">
        <x:v>7.2,7.9</x:v>
      </x:c>
      <x:c r="C50" s="28" t="str">
        <x:v>Job Matching</x:v>
      </x:c>
      <x:c r="D50" s="28" t="str">
        <x:v>FR-07</x:v>
      </x:c>
      <x:c r="E50" s="28" t="str">
        <x:v>High</x:v>
      </x:c>
      <x:c r="F50" s="28" t="str">
        <x:v>Integration</x:v>
      </x:c>
      <x:c r="G50" s="28" t="str">
        <x:v>Avoid generic Design false positive</x:v>
      </x:c>
      <x:c r="H50" s="28" t="str">
        <x:v>Job description contains generic design wording without approved context</x:v>
      </x:c>
      <x:c r="I50" s="28" t="str">
        <x:v>Submit job description.</x:v>
      </x:c>
      <x:c r="J50" s="28" t="str">
        <x:v>Generic wording does not incorrectly map to the canonical Design concept.</x:v>
      </x:c>
      <x:c r="K50" s="28" t="str">
        <x:v>Jerald</x:v>
      </x:c>
      <x:c r="L50" s="28" t="str">
        <x:v>Pass</x:v>
      </x:c>
      <x:c r="M50" s="28"/>
      <x:c r="N50" s="28" t="str">
        <x:v>The existing Sprint 4 automated test used generic design wording without approved requirement context. GradNavi did not incorrectly resolve the wording to the canonical Design concept.</x:v>
      </x:c>
      <x:c r="O50" s="28" t="str">
        <x:v>S4-EV-JOB-010</x:v>
      </x:c>
      <x:c r="P50" s="28"/>
      <x:c r="Q50" s="28" t="str">
        <x:v>Hybrid</x:v>
      </x:c>
      <x:c r="R50" s="28" t="str">
        <x:v>Automated backend test passed. Evidence: S4-JOB-10_Generic_Design_False_Positive_Avoided_PASS.png</x:v>
      </x:c>
    </x:row>
    <x:row r="51">
      <x:c r="A51" s="28" t="str">
        <x:v>S4-JOB-11</x:v>
      </x:c>
      <x:c r="B51" s="28" t="str">
        <x:v>7.2,7.9</x:v>
      </x:c>
      <x:c r="C51" s="28" t="str">
        <x:v>Job Matching</x:v>
      </x:c>
      <x:c r="D51" s="28" t="str">
        <x:v>FR-07</x:v>
      </x:c>
      <x:c r="E51" s="28" t="str">
        <x:v>High</x:v>
      </x:c>
      <x:c r="F51" s="28" t="str">
        <x:v>Integration</x:v>
      </x:c>
      <x:c r="G51" s="28" t="str">
        <x:v>Do not expose suitability score</x:v>
      </x:c>
      <x:c r="H51" s="28" t="str">
        <x:v>Valid job match result exists</x:v>
      </x:c>
      <x:c r="I51" s="28" t="str">
        <x:v>Inspect result UI and API response.</x:v>
      </x:c>
      <x:c r="J51" s="28" t="str">
        <x:v>No hiring probability or employment suitability score is presented.</x:v>
      </x:c>
      <x:c r="K51" s="28" t="str">
        <x:v>Jerald</x:v>
      </x:c>
      <x:c r="L51" s="28" t="str">
        <x:v>Pass</x:v>
      </x:c>
      <x:c r="M51" s="28"/>
      <x:c r="N51" s="28" t="str">
        <x:v>The Job Matching API response contract test passed. The approved response contains structured matched and missing requirement data and does not expose a hiring probability or employment suitability score. The Job Matching UI also states the result is not an employment suitability score.</x:v>
      </x:c>
      <x:c r="O51" s="28" t="str">
        <x:v>S4-EV-JOB-011</x:v>
      </x:c>
      <x:c r="P51" s="28"/>
      <x:c r="Q51" s="28" t="str">
        <x:v>Hybrid</x:v>
      </x:c>
      <x:c r="R51" s="28" t="str">
        <x:v>API contract and existing UI evidence verified. Evidence: S4-JOB-11_No_Suitability_Score_API_Contract_PASS.png; S4-JOB-02_Valid_Job_Description_Matched_Missing_Requirements_PASS.png</x:v>
      </x:c>
    </x:row>
    <x:row r="52">
      <x:c r="A52" s="28" t="str">
        <x:v>S4-JOB-12</x:v>
      </x:c>
      <x:c r="B52" s="28" t="str">
        <x:v>7.2,7.9</x:v>
      </x:c>
      <x:c r="C52" s="28" t="str">
        <x:v>Job Matching</x:v>
      </x:c>
      <x:c r="D52" s="28" t="str">
        <x:v>FR-07</x:v>
      </x:c>
      <x:c r="E52" s="28" t="str">
        <x:v>High</x:v>
      </x:c>
      <x:c r="F52" s="28" t="str">
        <x:v>Integration</x:v>
      </x:c>
      <x:c r="G52" s="28" t="str">
        <x:v>Reject client ownership override</x:v>
      </x:c>
      <x:c r="H52" s="28" t="str">
        <x:v>Authenticated Student</x:v>
      </x:c>
      <x:c r="I52" s="28" t="str">
        <x:v>Add unsupported ownership identifiers to the request.</x:v>
      </x:c>
      <x:c r="J52" s="28" t="str">
        <x:v>Request is rejected or ownership fields are ignored according to the approved contract.</x:v>
      </x:c>
      <x:c r="K52" s="28" t="str">
        <x:v>Jerald</x:v>
      </x:c>
      <x:c r="L52" s="28" t="str">
        <x:v>Pass</x:v>
      </x:c>
      <x:c r="M52" s="28"/>
      <x:c r="N52" s="28" t="str">
        <x:v>The Sprint 4 API test submitted a valid job description with an unsupported student_profile_id ownership field. The backend rejected the unsupported field with validation rather than accepting a client ownership override.</x:v>
      </x:c>
      <x:c r="O52" s="28" t="str">
        <x:v>S4-EV-JOB-012</x:v>
      </x:c>
      <x:c r="P52" s="28"/>
      <x:c r="Q52" s="28" t="str">
        <x:v>Hybrid</x:v>
      </x:c>
      <x:c r="R52" s="28" t="str">
        <x:v>Automated backend ownership-contract test passed. Evidence: S4-JOB-12_Reject_Client_Ownership_Override_PASS.png</x:v>
      </x:c>
    </x:row>
    <x:row r="53">
      <x:c r="A53" s="28" t="str">
        <x:v>S4-JOB-13</x:v>
      </x:c>
      <x:c r="B53" s="28" t="str">
        <x:v>7.2,7.9</x:v>
      </x:c>
      <x:c r="C53" s="28" t="str">
        <x:v>Job Matching</x:v>
      </x:c>
      <x:c r="D53" s="28" t="str">
        <x:v>FR-07</x:v>
      </x:c>
      <x:c r="E53" s="28" t="str">
        <x:v>High</x:v>
      </x:c>
      <x:c r="F53" s="28" t="str">
        <x:v>Integration</x:v>
      </x:c>
      <x:c r="G53" s="28" t="str">
        <x:v>Job Matching is stateless for profile</x:v>
      </x:c>
      <x:c r="H53" s="28" t="str">
        <x:v>Valid job description</x:v>
      </x:c>
      <x:c r="I53" s="28" t="str">
        <x:v>Run job match then reload Student Profile.</x:v>
      </x:c>
      <x:c r="J53" s="28" t="str">
        <x:v>Student Profile is not mutated by the job-match operation.</x:v>
      </x:c>
      <x:c r="K53" s="28" t="str">
        <x:v>Jerald</x:v>
      </x:c>
      <x:c r="L53" s="28" t="str">
        <x:v>Pass</x:v>
      </x:c>
      <x:c r="M53" s="28"/>
      <x:c r="N53" s="28" t="str">
        <x:v>Multiple Job Matching operations were completed and the Student Profile was reloaded. The profile retained the original six Skills, three Career Goals with Software Engineer as Primary, and four Interests. Job Matching did not mutate the Student Profile.</x:v>
      </x:c>
      <x:c r="O53" s="28" t="str">
        <x:v>S4-EV-JOB-013</x:v>
      </x:c>
      <x:c r="P53" s="28"/>
      <x:c r="Q53" s="28" t="str">
        <x:v>Hybrid</x:v>
      </x:c>
      <x:c r="R53" s="28" t="str">
        <x:v>Evidence: S4-JOB-13_Job_Matching_Does_Not_Mutate_Profile_PASS.png</x:v>
      </x:c>
    </x:row>
    <x:row r="54">
      <x:c r="A54" s="28" t="str">
        <x:v>S4-JOB-14</x:v>
      </x:c>
      <x:c r="B54" s="28" t="str">
        <x:v>7.5,7.9</x:v>
      </x:c>
      <x:c r="C54" s="28" t="str">
        <x:v>Job Matching</x:v>
      </x:c>
      <x:c r="D54" s="28" t="str">
        <x:v>FR-07</x:v>
      </x:c>
      <x:c r="E54" s="28" t="str">
        <x:v>High</x:v>
      </x:c>
      <x:c r="F54" s="28" t="str">
        <x:v>Integration</x:v>
      </x:c>
      <x:c r="G54" s="28" t="str">
        <x:v>Handoff job description to Resume Builder</x:v>
      </x:c>
      <x:c r="H54" s="28" t="str">
        <x:v>Job Matching result exists</x:v>
      </x:c>
      <x:c r="I54" s="28" t="str">
        <x:v>Use Resume Builder next-step action.</x:v>
      </x:c>
      <x:c r="J54" s="28" t="str">
        <x:v>Resume Builder receives the current job description context where supported.</x:v>
      </x:c>
      <x:c r="K54" s="28" t="str">
        <x:v>Joyee</x:v>
      </x:c>
      <x:c r="L54" s="28" t="str">
        <x:v>Not Run</x:v>
      </x:c>
      <x:c r="M54" s="28" t="str"/>
      <x:c r="N54" s="28" t="str"/>
      <x:c r="O54" s="28" t="str"/>
      <x:c r="P54" s="28" t="str"/>
      <x:c r="Q54" s="28" t="str">
        <x:v>Hybrid</x:v>
      </x:c>
      <x:c r="R54" s="28" t="str"/>
    </x:row>
    <x:row r="55">
      <x:c r="A55" s="28" t="str">
        <x:v>S4-JOB-15</x:v>
      </x:c>
      <x:c r="B55" s="28" t="str">
        <x:v>7.5,7.9</x:v>
      </x:c>
      <x:c r="C55" s="28" t="str">
        <x:v>Job Matching</x:v>
      </x:c>
      <x:c r="D55" s="28" t="str">
        <x:v>FR-07</x:v>
      </x:c>
      <x:c r="E55" s="28" t="str">
        <x:v>High</x:v>
      </x:c>
      <x:c r="F55" s="28" t="str">
        <x:v>Integration</x:v>
      </x:c>
      <x:c r="G55" s="28" t="str">
        <x:v>Handoff job description to Cover Letter Builder</x:v>
      </x:c>
      <x:c r="H55" s="28" t="str">
        <x:v>Job Matching result exists</x:v>
      </x:c>
      <x:c r="I55" s="28" t="str">
        <x:v>Use Cover Letter Builder next-step action.</x:v>
      </x:c>
      <x:c r="J55" s="28" t="str">
        <x:v>Cover Letter Builder receives the current job description context.</x:v>
      </x:c>
      <x:c r="K55" s="28" t="str">
        <x:v>Joyee</x:v>
      </x:c>
      <x:c r="L55" s="28" t="str">
        <x:v>Not Run</x:v>
      </x:c>
      <x:c r="M55" s="28" t="str"/>
      <x:c r="N55" s="28" t="str"/>
      <x:c r="O55" s="28" t="str"/>
      <x:c r="P55" s="28" t="str"/>
      <x:c r="Q55" s="28" t="str">
        <x:v>Hybrid</x:v>
      </x:c>
      <x:c r="R55" s="28" t="str"/>
    </x:row>
    <x:row r="56">
      <x:c r="A56" s="28" t="str">
        <x:v>S4-RESUME-01</x:v>
      </x:c>
      <x:c r="B56" s="28" t="str">
        <x:v>7.9</x:v>
      </x:c>
      <x:c r="C56" s="28" t="str">
        <x:v>Resume Builder</x:v>
      </x:c>
      <x:c r="D56" s="28" t="str">
        <x:v>FR-08</x:v>
      </x:c>
      <x:c r="E56" s="28" t="str">
        <x:v>High</x:v>
      </x:c>
      <x:c r="F56" s="28" t="str">
        <x:v>Integration</x:v>
      </x:c>
      <x:c r="G56" s="28" t="str">
        <x:v>Open protected Resume Builder</x:v>
      </x:c>
      <x:c r="H56" s="28" t="str">
        <x:v>Authenticated Student</x:v>
      </x:c>
      <x:c r="I56" s="28" t="str">
        <x:v>Navigate to Resume Builder.</x:v>
      </x:c>
      <x:c r="J56" s="28" t="str">
        <x:v>Protected Resume Builder loads.</x:v>
      </x:c>
      <x:c r="K56" s="28" t="str">
        <x:v>Joyee</x:v>
      </x:c>
      <x:c r="L56" s="28" t="str">
        <x:v>Not Run</x:v>
      </x:c>
      <x:c r="M56" s="28" t="str"/>
      <x:c r="N56" s="28" t="str"/>
      <x:c r="O56" s="28" t="str"/>
      <x:c r="P56" s="28" t="str"/>
      <x:c r="Q56" s="28" t="str">
        <x:v>Hybrid</x:v>
      </x:c>
      <x:c r="R56" s="28" t="str"/>
    </x:row>
    <x:row r="57">
      <x:c r="A57" s="28" t="str">
        <x:v>S4-RESUME-02</x:v>
      </x:c>
      <x:c r="B57" s="28" t="str">
        <x:v>7.3,7.9</x:v>
      </x:c>
      <x:c r="C57" s="28" t="str">
        <x:v>Resume Builder</x:v>
      </x:c>
      <x:c r="D57" s="28" t="str">
        <x:v>FR-08</x:v>
      </x:c>
      <x:c r="E57" s="28" t="str">
        <x:v>High</x:v>
      </x:c>
      <x:c r="F57" s="28" t="str">
        <x:v>Integration</x:v>
      </x:c>
      <x:c r="G57" s="28" t="str">
        <x:v>Generate Resume from approved profile context</x:v>
      </x:c>
      <x:c r="H57" s="28" t="str">
        <x:v>Authenticated Student with approved Resume context</x:v>
      </x:c>
      <x:c r="I57" s="28" t="str">
        <x:v>Generate a Resume draft.</x:v>
      </x:c>
      <x:c r="J57" s="28" t="str">
        <x:v>Structured Resume draft is returned through the backend provider path.</x:v>
      </x:c>
      <x:c r="K57" s="28" t="str">
        <x:v>MD</x:v>
      </x:c>
      <x:c r="L57" s="28" t="str">
        <x:v>Not Run</x:v>
      </x:c>
      <x:c r="M57" s="28" t="str"/>
      <x:c r="N57" s="28" t="str"/>
      <x:c r="O57" s="28" t="str"/>
      <x:c r="P57" s="28" t="str"/>
      <x:c r="Q57" s="28" t="str">
        <x:v>Hybrid</x:v>
      </x:c>
      <x:c r="R57" s="28" t="str"/>
    </x:row>
    <x:row r="58">
      <x:c r="A58" s="28" t="str">
        <x:v>S4-RESUME-03</x:v>
      </x:c>
      <x:c r="B58" s="28" t="str">
        <x:v>7.9</x:v>
      </x:c>
      <x:c r="C58" s="28" t="str">
        <x:v>Resume Builder</x:v>
      </x:c>
      <x:c r="D58" s="28" t="str">
        <x:v>FR-08</x:v>
      </x:c>
      <x:c r="E58" s="28" t="str">
        <x:v>High</x:v>
      </x:c>
      <x:c r="F58" s="28" t="str">
        <x:v>Integration</x:v>
      </x:c>
      <x:c r="G58" s="28" t="str">
        <x:v>Resume draft remains editable</x:v>
      </x:c>
      <x:c r="H58" s="28" t="str">
        <x:v>Generated Resume exists</x:v>
      </x:c>
      <x:c r="I58" s="28" t="str">
        <x:v>Edit generated Resume content.</x:v>
      </x:c>
      <x:c r="J58" s="28" t="str">
        <x:v>Student edits are accepted in the UI.</x:v>
      </x:c>
      <x:c r="K58" s="28" t="str">
        <x:v>Joyee</x:v>
      </x:c>
      <x:c r="L58" s="28" t="str">
        <x:v>Not Run</x:v>
      </x:c>
      <x:c r="M58" s="28" t="str"/>
      <x:c r="N58" s="28" t="str"/>
      <x:c r="O58" s="28" t="str"/>
      <x:c r="P58" s="28" t="str"/>
      <x:c r="Q58" s="28" t="str">
        <x:v>Hybrid</x:v>
      </x:c>
      <x:c r="R58" s="28" t="str"/>
    </x:row>
    <x:row r="59">
      <x:c r="A59" s="28" t="str">
        <x:v>S4-RESUME-04</x:v>
      </x:c>
      <x:c r="B59" s="28" t="str">
        <x:v>7.9</x:v>
      </x:c>
      <x:c r="C59" s="28" t="str">
        <x:v>Resume Builder</x:v>
      </x:c>
      <x:c r="D59" s="28" t="str">
        <x:v>FR-08</x:v>
      </x:c>
      <x:c r="E59" s="28" t="str">
        <x:v>High</x:v>
      </x:c>
      <x:c r="F59" s="28" t="str">
        <x:v>Integration</x:v>
      </x:c>
      <x:c r="G59" s="28" t="str">
        <x:v>Resume output requires user review</x:v>
      </x:c>
      <x:c r="H59" s="28" t="str">
        <x:v>Generated Resume exists</x:v>
      </x:c>
      <x:c r="I59" s="28" t="str">
        <x:v>Inspect generated draft and review messaging.</x:v>
      </x:c>
      <x:c r="J59" s="28" t="str">
        <x:v>Draft is presented for user review before use.</x:v>
      </x:c>
      <x:c r="K59" s="28" t="str">
        <x:v>Joyee</x:v>
      </x:c>
      <x:c r="L59" s="28" t="str">
        <x:v>Not Run</x:v>
      </x:c>
      <x:c r="M59" s="28" t="str"/>
      <x:c r="N59" s="28" t="str"/>
      <x:c r="O59" s="28" t="str"/>
      <x:c r="P59" s="28" t="str"/>
      <x:c r="Q59" s="28" t="str">
        <x:v>Hybrid</x:v>
      </x:c>
      <x:c r="R59" s="28" t="str"/>
    </x:row>
    <x:row r="60">
      <x:c r="A60" s="28" t="str">
        <x:v>S4-RESUME-05</x:v>
      </x:c>
      <x:c r="B60" s="28" t="str">
        <x:v>7.4,7.9</x:v>
      </x:c>
      <x:c r="C60" s="28" t="str">
        <x:v>Resume Builder</x:v>
      </x:c>
      <x:c r="D60" s="28" t="str">
        <x:v>FR-08</x:v>
      </x:c>
      <x:c r="E60" s="28" t="str">
        <x:v>High</x:v>
      </x:c>
      <x:c r="F60" s="28" t="str">
        <x:v>Integration</x:v>
      </x:c>
      <x:c r="G60" s="28" t="str">
        <x:v>Resume provider failure is controlled</x:v>
      </x:c>
      <x:c r="H60" s="28" t="str">
        <x:v>Authenticated Student</x:v>
      </x:c>
      <x:c r="I60" s="28" t="str">
        <x:v>Simulate provider-unavailable condition and generate.</x:v>
      </x:c>
      <x:c r="J60" s="28" t="str">
        <x:v>Controlled error is returned without provider internals.</x:v>
      </x:c>
      <x:c r="K60" s="28" t="str">
        <x:v>Jerald</x:v>
      </x:c>
      <x:c r="L60" s="28" t="str">
        <x:v>Pass</x:v>
      </x:c>
      <x:c r="M60" s="28"/>
      <x:c r="N60" s="28" t="str">
        <x:v>The Sprint 4 Resume API automated test simulated an unavailable AI provider. The API returned the approved HTTP 503 external-service-unavailable response, and Resume generation did not proceed.</x:v>
      </x:c>
      <x:c r="O60" s="28" t="str">
        <x:v>S4-EV-RESUME-005</x:v>
      </x:c>
      <x:c r="P60" s="28"/>
      <x:c r="Q60" s="28" t="str">
        <x:v>Hybrid</x:v>
      </x:c>
      <x:c r="R60" s="28" t="str">
        <x:v>Automated backend test passed. Evidence: S4-RESUME-05_Resume_Provider_Failure_Controlled_PASS.png</x:v>
      </x:c>
    </x:row>
    <x:row r="61">
      <x:c r="A61" s="28" t="str">
        <x:v>S4-RESUME-06</x:v>
      </x:c>
      <x:c r="B61" s="28" t="str">
        <x:v>7.4,7.9</x:v>
      </x:c>
      <x:c r="C61" s="28" t="str">
        <x:v>Resume Builder</x:v>
      </x:c>
      <x:c r="D61" s="28" t="str">
        <x:v>FR-08</x:v>
      </x:c>
      <x:c r="E61" s="28" t="str">
        <x:v>High</x:v>
      </x:c>
      <x:c r="F61" s="28" t="str">
        <x:v>Integration</x:v>
      </x:c>
      <x:c r="G61" s="28" t="str">
        <x:v>Resume invalid AI response is rejected</x:v>
      </x:c>
      <x:c r="H61" s="28" t="str">
        <x:v>Controlled invalid provider response is available</x:v>
      </x:c>
      <x:c r="I61" s="28" t="str">
        <x:v>Generate using invalid structured response.</x:v>
      </x:c>
      <x:c r="J61" s="28" t="str">
        <x:v>Invalid response is rejected and no invalid draft is accepted.</x:v>
      </x:c>
      <x:c r="K61" s="28" t="str">
        <x:v>Jerald</x:v>
      </x:c>
      <x:c r="L61" s="28" t="str">
        <x:v>Pass</x:v>
      </x:c>
      <x:c r="M61" s="28"/>
      <x:c r="N61" s="28" t="str">
        <x:v>The Sprint 4 Resume API automated test simulated an AI response-validation failure. The API returned the approved sanitized HTTP 503 external-service-unavailable response and did not expose sensitive provider details, submitted job-description content, or internal OpenAI validation information.</x:v>
      </x:c>
      <x:c r="O61" s="28" t="str">
        <x:v>S4-EV-RESUME-006</x:v>
      </x:c>
      <x:c r="P61" s="28"/>
      <x:c r="Q61" s="28" t="str">
        <x:v>Hybrid</x:v>
      </x:c>
      <x:c r="R61" s="28" t="str">
        <x:v>Automated backend test passed. Evidence: S4-RESUME-06_Invalid_AI_Response_Rejected_PASS.png</x:v>
      </x:c>
    </x:row>
    <x:row r="62">
      <x:c r="A62" s="28" t="str">
        <x:v>S4-RESUME-07</x:v>
      </x:c>
      <x:c r="B62" s="28" t="str">
        <x:v>7.5,7.9</x:v>
      </x:c>
      <x:c r="C62" s="28" t="str">
        <x:v>Resume Builder</x:v>
      </x:c>
      <x:c r="D62" s="28" t="str">
        <x:v>FR-08</x:v>
      </x:c>
      <x:c r="E62" s="28" t="str">
        <x:v>High</x:v>
      </x:c>
      <x:c r="F62" s="28" t="str">
        <x:v>Integration</x:v>
      </x:c>
      <x:c r="G62" s="28" t="str">
        <x:v>Job Matching handoff reaches Resume Builder</x:v>
      </x:c>
      <x:c r="H62" s="28" t="str">
        <x:v>Job Matching page contains a current job description</x:v>
      </x:c>
      <x:c r="I62" s="28" t="str">
        <x:v>Navigate to Resume Builder through the Job Matching action.</x:v>
      </x:c>
      <x:c r="J62" s="28" t="str">
        <x:v>Expected job-description context is retained where supported.</x:v>
      </x:c>
      <x:c r="K62" s="28" t="str">
        <x:v>Joyee</x:v>
      </x:c>
      <x:c r="L62" s="28" t="str">
        <x:v>Not Run</x:v>
      </x:c>
      <x:c r="M62" s="28" t="str"/>
      <x:c r="N62" s="28" t="str"/>
      <x:c r="O62" s="28" t="str"/>
      <x:c r="P62" s="28" t="str"/>
      <x:c r="Q62" s="28" t="str">
        <x:v>Hybrid</x:v>
      </x:c>
      <x:c r="R62" s="28" t="str"/>
    </x:row>
    <x:row r="63">
      <x:c r="A63" s="28" t="str">
        <x:v>S4-COVER-01</x:v>
      </x:c>
      <x:c r="B63" s="28" t="str">
        <x:v>7.9</x:v>
      </x:c>
      <x:c r="C63" s="28" t="str">
        <x:v>Cover Letter Builder</x:v>
      </x:c>
      <x:c r="D63" s="28" t="str">
        <x:v>FR-09</x:v>
      </x:c>
      <x:c r="E63" s="28" t="str">
        <x:v>High</x:v>
      </x:c>
      <x:c r="F63" s="28" t="str">
        <x:v>Integration</x:v>
      </x:c>
      <x:c r="G63" s="28" t="str">
        <x:v>Open protected Cover Letter Builder</x:v>
      </x:c>
      <x:c r="H63" s="28" t="str">
        <x:v>Authenticated Student</x:v>
      </x:c>
      <x:c r="I63" s="28" t="str">
        <x:v>Navigate to Cover Letter Builder.</x:v>
      </x:c>
      <x:c r="J63" s="28" t="str">
        <x:v>Protected Cover Letter Builder loads.</x:v>
      </x:c>
      <x:c r="K63" s="28" t="str">
        <x:v>Joyee</x:v>
      </x:c>
      <x:c r="L63" s="28" t="str">
        <x:v>Not Run</x:v>
      </x:c>
      <x:c r="M63" s="28" t="str"/>
      <x:c r="N63" s="28" t="str"/>
      <x:c r="O63" s="28" t="str"/>
      <x:c r="P63" s="28" t="str"/>
      <x:c r="Q63" s="28" t="str">
        <x:v>Hybrid</x:v>
      </x:c>
      <x:c r="R63" s="28" t="str"/>
    </x:row>
    <x:row r="64">
      <x:c r="A64" s="28" t="str">
        <x:v>S4-COVER-02</x:v>
      </x:c>
      <x:c r="B64" s="28" t="str">
        <x:v>7.9</x:v>
      </x:c>
      <x:c r="C64" s="28" t="str">
        <x:v>Cover Letter Builder</x:v>
      </x:c>
      <x:c r="D64" s="28" t="str">
        <x:v>FR-09</x:v>
      </x:c>
      <x:c r="E64" s="28" t="str">
        <x:v>High</x:v>
      </x:c>
      <x:c r="F64" s="28" t="str">
        <x:v>Integration</x:v>
      </x:c>
      <x:c r="G64" s="28" t="str">
        <x:v>Require target job description</x:v>
      </x:c>
      <x:c r="H64" s="28" t="str">
        <x:v>Authenticated Student</x:v>
      </x:c>
      <x:c r="I64" s="28" t="str">
        <x:v>Attempt generation without required job-description context.</x:v>
      </x:c>
      <x:c r="J64" s="28" t="str">
        <x:v>Generation is prevented with controlled validation.</x:v>
      </x:c>
      <x:c r="K64" s="28" t="str">
        <x:v>MD</x:v>
      </x:c>
      <x:c r="L64" s="28" t="str">
        <x:v>Not Run</x:v>
      </x:c>
      <x:c r="M64" s="28" t="str"/>
      <x:c r="N64" s="28" t="str"/>
      <x:c r="O64" s="28" t="str"/>
      <x:c r="P64" s="28" t="str"/>
      <x:c r="Q64" s="28" t="str">
        <x:v>Hybrid</x:v>
      </x:c>
      <x:c r="R64" s="28" t="str"/>
    </x:row>
    <x:row r="65">
      <x:c r="A65" s="28" t="str">
        <x:v>S4-COVER-03</x:v>
      </x:c>
      <x:c r="B65" s="28" t="str">
        <x:v>7.3,7.9</x:v>
      </x:c>
      <x:c r="C65" s="28" t="str">
        <x:v>Cover Letter Builder</x:v>
      </x:c>
      <x:c r="D65" s="28" t="str">
        <x:v>FR-09</x:v>
      </x:c>
      <x:c r="E65" s="28" t="str">
        <x:v>High</x:v>
      </x:c>
      <x:c r="F65" s="28" t="str">
        <x:v>Integration</x:v>
      </x:c>
      <x:c r="G65" s="28" t="str">
        <x:v>Generate Cover Letter from profile and job context</x:v>
      </x:c>
      <x:c r="H65" s="28" t="str">
        <x:v>Authenticated Student with approved profile and job description</x:v>
      </x:c>
      <x:c r="I65" s="28" t="str">
        <x:v>Generate a Cover Letter draft.</x:v>
      </x:c>
      <x:c r="J65" s="28" t="str">
        <x:v>Structured Cover Letter draft is returned.</x:v>
      </x:c>
      <x:c r="K65" s="28" t="str">
        <x:v>MD</x:v>
      </x:c>
      <x:c r="L65" s="28" t="str">
        <x:v>Not Run</x:v>
      </x:c>
      <x:c r="M65" s="28" t="str"/>
      <x:c r="N65" s="28" t="str"/>
      <x:c r="O65" s="28" t="str"/>
      <x:c r="P65" s="28" t="str"/>
      <x:c r="Q65" s="28" t="str">
        <x:v>Hybrid</x:v>
      </x:c>
      <x:c r="R65" s="28" t="str"/>
    </x:row>
    <x:row r="66">
      <x:c r="A66" s="28" t="str">
        <x:v>S4-COVER-04</x:v>
      </x:c>
      <x:c r="B66" s="28" t="str">
        <x:v>7.9</x:v>
      </x:c>
      <x:c r="C66" s="28" t="str">
        <x:v>Cover Letter Builder</x:v>
      </x:c>
      <x:c r="D66" s="28" t="str">
        <x:v>FR-09</x:v>
      </x:c>
      <x:c r="E66" s="28" t="str">
        <x:v>High</x:v>
      </x:c>
      <x:c r="F66" s="28" t="str">
        <x:v>Integration</x:v>
      </x:c>
      <x:c r="G66" s="28" t="str">
        <x:v>Cover Letter draft remains editable</x:v>
      </x:c>
      <x:c r="H66" s="28" t="str">
        <x:v>Generated Cover Letter exists</x:v>
      </x:c>
      <x:c r="I66" s="28" t="str">
        <x:v>Edit generated Cover Letter content.</x:v>
      </x:c>
      <x:c r="J66" s="28" t="str">
        <x:v>Student edits are accepted in the UI.</x:v>
      </x:c>
      <x:c r="K66" s="28" t="str">
        <x:v>Joyee</x:v>
      </x:c>
      <x:c r="L66" s="28" t="str">
        <x:v>Not Run</x:v>
      </x:c>
      <x:c r="M66" s="28" t="str"/>
      <x:c r="N66" s="28" t="str"/>
      <x:c r="O66" s="28" t="str"/>
      <x:c r="P66" s="28" t="str"/>
      <x:c r="Q66" s="28" t="str">
        <x:v>Hybrid</x:v>
      </x:c>
      <x:c r="R66" s="28" t="str"/>
    </x:row>
    <x:row r="67">
      <x:c r="A67" s="28" t="str">
        <x:v>S4-COVER-05</x:v>
      </x:c>
      <x:c r="B67" s="28" t="str">
        <x:v>7.9</x:v>
      </x:c>
      <x:c r="C67" s="28" t="str">
        <x:v>Cover Letter Builder</x:v>
      </x:c>
      <x:c r="D67" s="28" t="str">
        <x:v>FR-09</x:v>
      </x:c>
      <x:c r="E67" s="28" t="str">
        <x:v>High</x:v>
      </x:c>
      <x:c r="F67" s="28" t="str">
        <x:v>Integration</x:v>
      </x:c>
      <x:c r="G67" s="28" t="str">
        <x:v>Cover Letter output requires user review</x:v>
      </x:c>
      <x:c r="H67" s="28" t="str">
        <x:v>Generated Cover Letter exists</x:v>
      </x:c>
      <x:c r="I67" s="28" t="str">
        <x:v>Inspect generated draft and review messaging.</x:v>
      </x:c>
      <x:c r="J67" s="28" t="str">
        <x:v>Draft is presented for user review before use.</x:v>
      </x:c>
      <x:c r="K67" s="28" t="str">
        <x:v>Joyee</x:v>
      </x:c>
      <x:c r="L67" s="28" t="str">
        <x:v>Not Run</x:v>
      </x:c>
      <x:c r="M67" s="28" t="str"/>
      <x:c r="N67" s="28" t="str"/>
      <x:c r="O67" s="28" t="str"/>
      <x:c r="P67" s="28" t="str"/>
      <x:c r="Q67" s="28" t="str">
        <x:v>Hybrid</x:v>
      </x:c>
      <x:c r="R67" s="28" t="str"/>
    </x:row>
    <x:row r="68">
      <x:c r="A68" s="28" t="str">
        <x:v>S4-COVER-06</x:v>
      </x:c>
      <x:c r="B68" s="28" t="str">
        <x:v>7.4,7.9</x:v>
      </x:c>
      <x:c r="C68" s="28" t="str">
        <x:v>Cover Letter Builder</x:v>
      </x:c>
      <x:c r="D68" s="28" t="str">
        <x:v>FR-09</x:v>
      </x:c>
      <x:c r="E68" s="28" t="str">
        <x:v>High</x:v>
      </x:c>
      <x:c r="F68" s="28" t="str">
        <x:v>Integration</x:v>
      </x:c>
      <x:c r="G68" s="28" t="str">
        <x:v>Cover Letter provider failure is controlled</x:v>
      </x:c>
      <x:c r="H68" s="28" t="str">
        <x:v>Authenticated Student</x:v>
      </x:c>
      <x:c r="I68" s="28" t="str">
        <x:v>Simulate provider-unavailable condition and generate.</x:v>
      </x:c>
      <x:c r="J68" s="28" t="str">
        <x:v>Controlled error is returned without provider internals.</x:v>
      </x:c>
      <x:c r="K68" s="28" t="str">
        <x:v>Jerald</x:v>
      </x:c>
      <x:c r="L68" s="28" t="str">
        <x:v>Pass</x:v>
      </x:c>
      <x:c r="M68" s="28"/>
      <x:c r="N68" s="28" t="str">
        <x:v>The Sprint 4 Cover Letter API automated test simulated an unavailable AI provider. The API returned the approved controlled service-unavailable response and prevented Cover Letter generation.</x:v>
      </x:c>
      <x:c r="O68" s="28" t="str">
        <x:v>S4-EV-COVER-006</x:v>
      </x:c>
      <x:c r="P68" s="28"/>
      <x:c r="Q68" s="28" t="str">
        <x:v>Hybrid</x:v>
      </x:c>
      <x:c r="R68" s="28" t="str">
        <x:v>Automated backend test passed. Evidence: S4-COVER-06_Cover_Letter_Provider_Failure_Controlled_PASS.png</x:v>
      </x:c>
    </x:row>
    <x:row r="69">
      <x:c r="A69" s="28" t="str">
        <x:v>S4-COVER-07</x:v>
      </x:c>
      <x:c r="B69" s="28" t="str">
        <x:v>7.5,7.9</x:v>
      </x:c>
      <x:c r="C69" s="28" t="str">
        <x:v>Cover Letter Builder</x:v>
      </x:c>
      <x:c r="D69" s="28" t="str">
        <x:v>FR-09</x:v>
      </x:c>
      <x:c r="E69" s="28" t="str">
        <x:v>High</x:v>
      </x:c>
      <x:c r="F69" s="28" t="str">
        <x:v>Integration</x:v>
      </x:c>
      <x:c r="G69" s="28" t="str">
        <x:v>Job Matching handoff reaches Cover Letter Builder</x:v>
      </x:c>
      <x:c r="H69" s="28" t="str">
        <x:v>Job Matching page contains a current job description</x:v>
      </x:c>
      <x:c r="I69" s="28" t="str">
        <x:v>Navigate through the Cover Letter next-step action.</x:v>
      </x:c>
      <x:c r="J69" s="28" t="str">
        <x:v>Current job-description context is carried into the builder.</x:v>
      </x:c>
      <x:c r="K69" s="28" t="str">
        <x:v>Joyee</x:v>
      </x:c>
      <x:c r="L69" s="28" t="str">
        <x:v>Not Run</x:v>
      </x:c>
      <x:c r="M69" s="28" t="str"/>
      <x:c r="N69" s="28" t="str"/>
      <x:c r="O69" s="28" t="str"/>
      <x:c r="P69" s="28" t="str"/>
      <x:c r="Q69" s="28" t="str">
        <x:v>Hybrid</x:v>
      </x:c>
      <x:c r="R69" s="28" t="str"/>
    </x:row>
    <x:row r="70">
      <x:c r="A70" s="28" t="str">
        <x:v>S4-INT-01</x:v>
      </x:c>
      <x:c r="B70" s="28" t="str">
        <x:v>7.9</x:v>
      </x:c>
      <x:c r="C70" s="28" t="str">
        <x:v>Interview Preparation</x:v>
      </x:c>
      <x:c r="D70" s="28" t="str">
        <x:v>FR-10</x:v>
      </x:c>
      <x:c r="E70" s="28" t="str">
        <x:v>High</x:v>
      </x:c>
      <x:c r="F70" s="28" t="str">
        <x:v>Integration</x:v>
      </x:c>
      <x:c r="G70" s="28" t="str">
        <x:v>Open protected Interview Preparation page</x:v>
      </x:c>
      <x:c r="H70" s="28" t="str">
        <x:v>Authenticated Student</x:v>
      </x:c>
      <x:c r="I70" s="28" t="str">
        <x:v>Navigate to Interview Preparation.</x:v>
      </x:c>
      <x:c r="J70" s="28" t="str">
        <x:v>Protected Interview page loads.</x:v>
      </x:c>
      <x:c r="K70" s="28" t="str">
        <x:v>Joyee</x:v>
      </x:c>
      <x:c r="L70" s="28" t="str">
        <x:v>Not Run</x:v>
      </x:c>
      <x:c r="M70" s="28" t="str"/>
      <x:c r="N70" s="28" t="str"/>
      <x:c r="O70" s="28" t="str"/>
      <x:c r="P70" s="28" t="str"/>
      <x:c r="Q70" s="28" t="str">
        <x:v>Hybrid</x:v>
      </x:c>
      <x:c r="R70" s="28" t="str"/>
    </x:row>
    <x:row r="71">
      <x:c r="A71" s="28" t="str">
        <x:v>S4-INT-02</x:v>
      </x:c>
      <x:c r="B71" s="28" t="str">
        <x:v>7.3,7.9</x:v>
      </x:c>
      <x:c r="C71" s="28" t="str">
        <x:v>Interview Preparation</x:v>
      </x:c>
      <x:c r="D71" s="28" t="str">
        <x:v>FR-10</x:v>
      </x:c>
      <x:c r="E71" s="28" t="str">
        <x:v>High</x:v>
      </x:c>
      <x:c r="F71" s="28" t="str">
        <x:v>Integration</x:v>
      </x:c>
      <x:c r="G71" s="28" t="str">
        <x:v>Generate valid Interview Questions</x:v>
      </x:c>
      <x:c r="H71" s="28" t="str">
        <x:v>Authenticated Student and valid target role</x:v>
      </x:c>
      <x:c r="I71" s="28" t="str">
        <x:v>Request an approved question count.</x:v>
      </x:c>
      <x:c r="J71" s="28" t="str">
        <x:v>Structured Interview Questions are returned.</x:v>
      </x:c>
      <x:c r="K71" s="28" t="str">
        <x:v>Jerald</x:v>
      </x:c>
      <x:c r="L71" s="28" t="str">
        <x:v>Pass</x:v>
      </x:c>
      <x:c r="M71" s="28"/>
      <x:c r="N71" s="28" t="str">
        <x:v>An authenticated request for five Software Engineer interview questions returned HTTP 200 OK. GradNavi returned a structured question set containing five role-relevant questions with focus areas based on the supplied job description.</x:v>
      </x:c>
      <x:c r="O71" s="28" t="str">
        <x:v>S4-EV-INT-002</x:v>
      </x:c>
      <x:c r="P71" s="28"/>
      <x:c r="Q71" s="28" t="str">
        <x:v>Hybrid</x:v>
      </x:c>
      <x:c r="R71" s="28" t="str">
        <x:v>Verified manually in Postman. Evidence: S4-INT-02_Generate_Valid_Interview_Questions_PASS.png</x:v>
      </x:c>
    </x:row>
    <x:row r="72">
      <x:c r="A72" s="28" t="str">
        <x:v>S4-INT-03</x:v>
      </x:c>
      <x:c r="B72" s="28" t="str">
        <x:v>7.9</x:v>
      </x:c>
      <x:c r="C72" s="28" t="str">
        <x:v>Interview Preparation</x:v>
      </x:c>
      <x:c r="D72" s="28" t="str">
        <x:v>FR-10</x:v>
      </x:c>
      <x:c r="E72" s="28" t="str">
        <x:v>High</x:v>
      </x:c>
      <x:c r="F72" s="28" t="str">
        <x:v>Integration</x:v>
      </x:c>
      <x:c r="G72" s="28" t="str">
        <x:v>Reject invalid question count below range</x:v>
      </x:c>
      <x:c r="H72" s="28" t="str">
        <x:v>Authenticated Student</x:v>
      </x:c>
      <x:c r="I72" s="28" t="str">
        <x:v>Request a count below the allowed minimum.</x:v>
      </x:c>
      <x:c r="J72" s="28" t="str">
        <x:v>Validation rejects the request.</x:v>
      </x:c>
      <x:c r="K72" s="28" t="str">
        <x:v>Jerald</x:v>
      </x:c>
      <x:c r="L72" s="28" t="str">
        <x:v>Pass</x:v>
      </x:c>
      <x:c r="M72" s="28"/>
      <x:c r="N72" s="28" t="str">
        <x:v>An authenticated Interview Questions request with question_count set to 0 returned HTTP 400 Bad Request. GradNavi returned the controlled validation_error response and identified question_count as requiring a value of at least 1.</x:v>
      </x:c>
      <x:c r="O72" s="28" t="str">
        <x:v>S4-EV-INT-003</x:v>
      </x:c>
      <x:c r="P72" s="28"/>
      <x:c r="Q72" s="28" t="str">
        <x:v>Hybrid</x:v>
      </x:c>
      <x:c r="R72" s="28" t="str">
        <x:v>Verified manually in Postman. Evidence: S4-INT-03_Reject_Question_Count_Below_Range_PASS.png</x:v>
      </x:c>
    </x:row>
    <x:row r="73">
      <x:c r="A73" s="28" t="str">
        <x:v>S4-INT-04</x:v>
      </x:c>
      <x:c r="B73" s="28" t="str">
        <x:v>7.9</x:v>
      </x:c>
      <x:c r="C73" s="28" t="str">
        <x:v>Interview Preparation</x:v>
      </x:c>
      <x:c r="D73" s="28" t="str">
        <x:v>FR-10</x:v>
      </x:c>
      <x:c r="E73" s="28" t="str">
        <x:v>High</x:v>
      </x:c>
      <x:c r="F73" s="28" t="str">
        <x:v>Integration</x:v>
      </x:c>
      <x:c r="G73" s="28" t="str">
        <x:v>Reject invalid question count above range</x:v>
      </x:c>
      <x:c r="H73" s="28" t="str">
        <x:v>Authenticated Student</x:v>
      </x:c>
      <x:c r="I73" s="28" t="str">
        <x:v>Request a count above the allowed maximum.</x:v>
      </x:c>
      <x:c r="J73" s="28" t="str">
        <x:v>Validation rejects the request.</x:v>
      </x:c>
      <x:c r="K73" s="28" t="str">
        <x:v>Jerald</x:v>
      </x:c>
      <x:c r="L73" s="28" t="str">
        <x:v>Pass</x:v>
      </x:c>
      <x:c r="M73" s="28"/>
      <x:c r="N73" s="28" t="str">
        <x:v>An authenticated Interview Questions request with question_count set to 11 returned HTTP 400 Bad Request. GradNavi returned the controlled validation_error response and identified question_count as exceeding the maximum value of 10.</x:v>
      </x:c>
      <x:c r="O73" s="28" t="str">
        <x:v>S4-EV-INT-004</x:v>
      </x:c>
      <x:c r="P73" s="28"/>
      <x:c r="Q73" s="28" t="str">
        <x:v>Hybrid</x:v>
      </x:c>
      <x:c r="R73" s="28" t="str">
        <x:v>Verified manually in Postman. Evidence: S4-INT-04_Reject_Question_Count_Above_Range_PASS.png</x:v>
      </x:c>
    </x:row>
    <x:row r="74">
      <x:c r="A74" s="28" t="str">
        <x:v>S4-INT-05</x:v>
      </x:c>
      <x:c r="B74" s="28" t="str">
        <x:v>7.9</x:v>
      </x:c>
      <x:c r="C74" s="28" t="str">
        <x:v>Interview Preparation</x:v>
      </x:c>
      <x:c r="D74" s="28" t="str">
        <x:v>FR-10</x:v>
      </x:c>
      <x:c r="E74" s="28" t="str">
        <x:v>High</x:v>
      </x:c>
      <x:c r="F74" s="28" t="str">
        <x:v>Integration</x:v>
      </x:c>
      <x:c r="G74" s="28" t="str">
        <x:v>Render returned Interview Questions</x:v>
      </x:c>
      <x:c r="H74" s="28" t="str">
        <x:v>Valid question set exists</x:v>
      </x:c>
      <x:c r="I74" s="28" t="str">
        <x:v>Inspect Interview page.</x:v>
      </x:c>
      <x:c r="J74" s="28" t="str">
        <x:v>Returned questions render correctly.</x:v>
      </x:c>
      <x:c r="K74" s="28" t="str">
        <x:v>Joyee</x:v>
      </x:c>
      <x:c r="L74" s="28" t="str">
        <x:v>Not Run</x:v>
      </x:c>
      <x:c r="M74" s="28" t="str"/>
      <x:c r="N74" s="28" t="str"/>
      <x:c r="O74" s="28" t="str"/>
      <x:c r="P74" s="28" t="str"/>
      <x:c r="Q74" s="28" t="str">
        <x:v>Hybrid</x:v>
      </x:c>
      <x:c r="R74" s="28" t="str"/>
    </x:row>
    <x:row r="75">
      <x:c r="A75" s="28" t="str">
        <x:v>S4-INT-06</x:v>
      </x:c>
      <x:c r="B75" s="28" t="str">
        <x:v>7.9</x:v>
      </x:c>
      <x:c r="C75" s="28" t="str">
        <x:v>Interview Preparation</x:v>
      </x:c>
      <x:c r="D75" s="28" t="str">
        <x:v>FR-10</x:v>
      </x:c>
      <x:c r="E75" s="28" t="str">
        <x:v>High</x:v>
      </x:c>
      <x:c r="F75" s="28" t="str">
        <x:v>Integration</x:v>
      </x:c>
      <x:c r="G75" s="28" t="str">
        <x:v>Submit typed Interview answer</x:v>
      </x:c>
      <x:c r="H75" s="28" t="str">
        <x:v>Question is selected</x:v>
      </x:c>
      <x:c r="I75" s="28" t="str">
        <x:v>Enter an answer and submit for feedback.</x:v>
      </x:c>
      <x:c r="J75" s="28" t="str">
        <x:v>Answer is accepted as untrusted user input.</x:v>
      </x:c>
      <x:c r="K75" s="28" t="str">
        <x:v>Joyee</x:v>
      </x:c>
      <x:c r="L75" s="28" t="str">
        <x:v>Not Run</x:v>
      </x:c>
      <x:c r="M75" s="28" t="str"/>
      <x:c r="N75" s="28" t="str"/>
      <x:c r="O75" s="28" t="str"/>
      <x:c r="P75" s="28" t="str"/>
      <x:c r="Q75" s="28" t="str">
        <x:v>Hybrid</x:v>
      </x:c>
      <x:c r="R75" s="28" t="str"/>
    </x:row>
    <x:row r="76">
      <x:c r="A76" s="28" t="str">
        <x:v>S4-INT-07</x:v>
      </x:c>
      <x:c r="B76" s="28" t="str">
        <x:v>7.3,7.9</x:v>
      </x:c>
      <x:c r="C76" s="28" t="str">
        <x:v>Interview Preparation</x:v>
      </x:c>
      <x:c r="D76" s="28" t="str">
        <x:v>FR-10</x:v>
      </x:c>
      <x:c r="E76" s="28" t="str">
        <x:v>High</x:v>
      </x:c>
      <x:c r="F76" s="28" t="str">
        <x:v>Integration</x:v>
      </x:c>
      <x:c r="G76" s="28" t="str">
        <x:v>Generate structured Interview Feedback</x:v>
      </x:c>
      <x:c r="H76" s="28" t="str">
        <x:v>Valid answer submitted</x:v>
      </x:c>
      <x:c r="I76" s="28" t="str">
        <x:v>Request feedback.</x:v>
      </x:c>
      <x:c r="J76" s="28" t="str">
        <x:v>Structured strengths and improvement feedback is returned.</x:v>
      </x:c>
      <x:c r="K76" s="28" t="str">
        <x:v>Jerald</x:v>
      </x:c>
      <x:c r="L76" s="28" t="str">
        <x:v>Pass</x:v>
      </x:c>
      <x:c r="M76" s="28"/>
      <x:c r="N76" s="28" t="str">
        <x:v>An authenticated Interview Feedback request returned HTTP 200 OK. GradNavi returned structured strengths, improvements, and a suggested response based on the submitted interview answer.</x:v>
      </x:c>
      <x:c r="O76" s="28" t="str">
        <x:v>S4-EV-INT-007</x:v>
      </x:c>
      <x:c r="P76" s="28"/>
      <x:c r="Q76" s="28" t="str">
        <x:v>Hybrid</x:v>
      </x:c>
      <x:c r="R76" s="28" t="str">
        <x:v>Verified manually in Postman. Evidence: S4-INT-07_Generate_Structured_Interview_Feedback_PASS.png</x:v>
      </x:c>
    </x:row>
    <x:row r="77">
      <x:c r="A77" s="28" t="str">
        <x:v>S4-INT-08</x:v>
      </x:c>
      <x:c r="B77" s="28" t="str">
        <x:v>7.4,7.9</x:v>
      </x:c>
      <x:c r="C77" s="28" t="str">
        <x:v>Interview Preparation</x:v>
      </x:c>
      <x:c r="D77" s="28" t="str">
        <x:v>FR-10</x:v>
      </x:c>
      <x:c r="E77" s="28" t="str">
        <x:v>High</x:v>
      </x:c>
      <x:c r="F77" s="28" t="str">
        <x:v>Integration</x:v>
      </x:c>
      <x:c r="G77" s="28" t="str">
        <x:v>Reject semantically invalid focus areas</x:v>
      </x:c>
      <x:c r="H77" s="28" t="str">
        <x:v>Controlled invalid provider response is available</x:v>
      </x:c>
      <x:c r="I77" s="28" t="str">
        <x:v>Return duplicate, blank, missing, or extra focus areas.</x:v>
      </x:c>
      <x:c r="J77" s="28" t="str">
        <x:v>Semantic validator rejects invalid question set.</x:v>
      </x:c>
      <x:c r="K77" s="28" t="str">
        <x:v>Jerald</x:v>
      </x:c>
      <x:c r="L77" s="28" t="str">
        <x:v>Pass</x:v>
      </x:c>
      <x:c r="M77" s="28"/>
      <x:c r="N77" s="28" t="str">
        <x:v>The Sprint 4 Interview Questions automated test supplied a semantically invalid AI response with mismatched focus areas. GradNavi rejected the response through the controlled HTTP 502 validation path and prevented sensitive internal details from appearing in the response.</x:v>
      </x:c>
      <x:c r="O77" s="28" t="str">
        <x:v>S4-EV-INT-008</x:v>
      </x:c>
      <x:c r="P77" s="28"/>
      <x:c r="Q77" s="28" t="str">
        <x:v>Hybrid</x:v>
      </x:c>
      <x:c r="R77" s="28" t="str">
        <x:v>Automated backend test passed. Evidence: S4-INT-08_Reject_Semantically_Invalid_Focus_Areas_PASS.png</x:v>
      </x:c>
    </x:row>
    <x:row r="78">
      <x:c r="A78" s="28" t="str">
        <x:v>S4-INT-09</x:v>
      </x:c>
      <x:c r="B78" s="28" t="str">
        <x:v>7.9</x:v>
      </x:c>
      <x:c r="C78" s="28" t="str">
        <x:v>Interview Preparation</x:v>
      </x:c>
      <x:c r="D78" s="28" t="str">
        <x:v>FR-10</x:v>
      </x:c>
      <x:c r="E78" s="28" t="str">
        <x:v>High</x:v>
      </x:c>
      <x:c r="F78" s="28" t="str">
        <x:v>Integration</x:v>
      </x:c>
      <x:c r="G78" s="28" t="str">
        <x:v>Exclude hiring probability or pass-fail classification</x:v>
      </x:c>
      <x:c r="H78" s="28" t="str">
        <x:v>Questions or feedback generated</x:v>
      </x:c>
      <x:c r="I78" s="28" t="str">
        <x:v>Inspect returned output.</x:v>
      </x:c>
      <x:c r="J78" s="28" t="str">
        <x:v>No hiring probability or pass-fail hiring classification appears.</x:v>
      </x:c>
      <x:c r="K78" s="28" t="str">
        <x:v>Jerald</x:v>
      </x:c>
      <x:c r="L78" s="28" t="str">
        <x:v>Pass</x:v>
      </x:c>
      <x:c r="M78" s="28"/>
      <x:c r="N78" s="28" t="str">
        <x:v>The Sprint 4 Interview Questions and Interview Feedback response-contract tests both passed. Neither response includes hiring_probability or pass_fail fields, while the approved structured output fields remain available.</x:v>
      </x:c>
      <x:c r="O78" s="28" t="str">
        <x:v>S4-EV-INT-009</x:v>
      </x:c>
      <x:c r="P78" s="28"/>
      <x:c r="Q78" s="28" t="str">
        <x:v>Hybrid</x:v>
      </x:c>
      <x:c r="R78" s="28" t="str">
        <x:v>Two automated backend contract tests passed. Evidence: S4-INT-09_Exclude_Hiring_Probability_Pass_Fail_PASS.png</x:v>
      </x:c>
    </x:row>
    <x:row r="79">
      <x:c r="A79" s="28" t="str">
        <x:v>S4-AI-01</x:v>
      </x:c>
      <x:c r="B79" s="28" t="str">
        <x:v>7.4,7.9</x:v>
      </x:c>
      <x:c r="C79" s="28" t="str">
        <x:v>AI Response Validation</x:v>
      </x:c>
      <x:c r="D79" s="28" t="str">
        <x:v>FR-18</x:v>
      </x:c>
      <x:c r="E79" s="28" t="str">
        <x:v>High</x:v>
      </x:c>
      <x:c r="F79" s="28" t="str">
        <x:v>Integration</x:v>
      </x:c>
      <x:c r="G79" s="28" t="str">
        <x:v>Accept completed AI response</x:v>
      </x:c>
      <x:c r="H79" s="28" t="str">
        <x:v>Controlled completed provider response</x:v>
      </x:c>
      <x:c r="I79" s="28" t="str">
        <x:v>Invoke approved AI operation.</x:v>
      </x:c>
      <x:c r="J79" s="28" t="str">
        <x:v>Completed response proceeds to structured validation.</x:v>
      </x:c>
      <x:c r="K79" s="28" t="str">
        <x:v>Jerald</x:v>
      </x:c>
      <x:c r="L79" s="28" t="str">
        <x:v>Pass</x:v>
      </x:c>
      <x:c r="M79" s="28"/>
      <x:c r="N79" s="28" t="str">
        <x:v>The Sprint 4 OpenAI text-provider test supplied a completed provider response with valid structured output. GradNavi accepted the response, validated the structured content, and returned the approved output successfully.</x:v>
      </x:c>
      <x:c r="O79" s="28" t="str">
        <x:v>S4-EV-AI-CASE-001</x:v>
      </x:c>
      <x:c r="P79" s="28"/>
      <x:c r="Q79" s="28" t="str">
        <x:v>Automated</x:v>
      </x:c>
      <x:c r="R79" s="28" t="str">
        <x:v>Automated provider-validation test passed. Evidence: S4-AI-01_Accept_Completed_AI_Response_PASS.png</x:v>
      </x:c>
    </x:row>
    <x:row r="80">
      <x:c r="A80" s="28" t="str">
        <x:v>S4-AI-02</x:v>
      </x:c>
      <x:c r="B80" s="28" t="str">
        <x:v>7.4,7.9</x:v>
      </x:c>
      <x:c r="C80" s="28" t="str">
        <x:v>AI Response Validation</x:v>
      </x:c>
      <x:c r="D80" s="28" t="str">
        <x:v>FR-18</x:v>
      </x:c>
      <x:c r="E80" s="28" t="str">
        <x:v>High</x:v>
      </x:c>
      <x:c r="F80" s="28" t="str">
        <x:v>Integration</x:v>
      </x:c>
      <x:c r="G80" s="28" t="str">
        <x:v>Reject incomplete AI response</x:v>
      </x:c>
      <x:c r="H80" s="28" t="str">
        <x:v>Controlled incomplete provider response</x:v>
      </x:c>
      <x:c r="I80" s="28" t="str">
        <x:v>Invoke approved AI operation.</x:v>
      </x:c>
      <x:c r="J80" s="28" t="str">
        <x:v>Incomplete response is rejected.</x:v>
      </x:c>
      <x:c r="K80" s="28" t="str">
        <x:v>Jerald</x:v>
      </x:c>
      <x:c r="L80" s="28" t="str">
        <x:v>Pass</x:v>
      </x:c>
      <x:c r="M80" s="28"/>
      <x:c r="N80" s="28" t="str">
        <x:v>The OpenAI text-provider automated test supplied an incomplete AI response. GradNavi rejected the response through the approved validation layer.</x:v>
      </x:c>
      <x:c r="O80" s="28" t="str">
        <x:v>S4-EV-AI-CASE-002</x:v>
      </x:c>
      <x:c r="P80" s="28"/>
      <x:c r="Q80" s="28" t="str">
        <x:v>Automated</x:v>
      </x:c>
      <x:c r="R80" s="28" t="str">
        <x:v>Automated provider-validation test passed. Evidence: S4-AI-02_Reject_Incomplete_AI_Response_PASS.png</x:v>
      </x:c>
    </x:row>
    <x:row r="81">
      <x:c r="A81" s="28" t="str">
        <x:v>S4-AI-03</x:v>
      </x:c>
      <x:c r="B81" s="28" t="str">
        <x:v>7.4,7.9</x:v>
      </x:c>
      <x:c r="C81" s="28" t="str">
        <x:v>AI Response Validation</x:v>
      </x:c>
      <x:c r="D81" s="28" t="str">
        <x:v>FR-18</x:v>
      </x:c>
      <x:c r="E81" s="28" t="str">
        <x:v>High</x:v>
      </x:c>
      <x:c r="F81" s="28" t="str">
        <x:v>Integration</x:v>
      </x:c>
      <x:c r="G81" s="28" t="str">
        <x:v>Reject failed AI response state</x:v>
      </x:c>
      <x:c r="H81" s="28" t="str">
        <x:v>Controlled failed provider response</x:v>
      </x:c>
      <x:c r="I81" s="28" t="str">
        <x:v>Invoke approved AI operation.</x:v>
      </x:c>
      <x:c r="J81" s="28" t="str">
        <x:v>Failed response is rejected.</x:v>
      </x:c>
      <x:c r="K81" s="28" t="str">
        <x:v>Jerald</x:v>
      </x:c>
      <x:c r="L81" s="28" t="str">
        <x:v>Pass</x:v>
      </x:c>
      <x:c r="M81" s="28"/>
      <x:c r="N81" s="28" t="str">
        <x:v>The OpenAI text-provider validation test supplied a failed response state. GradNavi rejected the response instead of accepting AI output.</x:v>
      </x:c>
      <x:c r="O81" s="28" t="str">
        <x:v>S4-EV-AI-CASE-003</x:v>
      </x:c>
      <x:c r="P81" s="28"/>
      <x:c r="Q81" s="28" t="str">
        <x:v>Automated</x:v>
      </x:c>
      <x:c r="R81" s="28" t="str">
        <x:v>Covered by shared non-completed-state automated test. Evidence: S4-AI-03-05_Reject_Non_Completed_AI_Response_States_PASS.png</x:v>
      </x:c>
    </x:row>
    <x:row r="82">
      <x:c r="A82" s="28" t="str">
        <x:v>S4-AI-04</x:v>
      </x:c>
      <x:c r="B82" s="28" t="str">
        <x:v>7.4,7.9</x:v>
      </x:c>
      <x:c r="C82" s="28" t="str">
        <x:v>AI Response Validation</x:v>
      </x:c>
      <x:c r="D82" s="28" t="str">
        <x:v>FR-18</x:v>
      </x:c>
      <x:c r="E82" s="28" t="str">
        <x:v>High</x:v>
      </x:c>
      <x:c r="F82" s="28" t="str">
        <x:v>Integration</x:v>
      </x:c>
      <x:c r="G82" s="28" t="str">
        <x:v>Reject cancelled AI response state</x:v>
      </x:c>
      <x:c r="H82" s="28" t="str">
        <x:v>Controlled cancelled provider response</x:v>
      </x:c>
      <x:c r="I82" s="28" t="str">
        <x:v>Invoke approved AI operation.</x:v>
      </x:c>
      <x:c r="J82" s="28" t="str">
        <x:v>Cancelled response is rejected.</x:v>
      </x:c>
      <x:c r="K82" s="28" t="str">
        <x:v>Jerald</x:v>
      </x:c>
      <x:c r="L82" s="28" t="str">
        <x:v>Pass</x:v>
      </x:c>
      <x:c r="M82" s="28"/>
      <x:c r="N82" s="28" t="str">
        <x:v>The OpenAI text-provider validation test supplied a cancelled response state. GradNavi rejected the response instead of accepting AI output.</x:v>
      </x:c>
      <x:c r="O82" s="28" t="str">
        <x:v>S4-EV-AI-CASE-004</x:v>
      </x:c>
      <x:c r="P82" s="28"/>
      <x:c r="Q82" s="28" t="str">
        <x:v>Automated</x:v>
      </x:c>
      <x:c r="R82" s="28" t="str">
        <x:v>Covered by shared non-completed-state automated test. Evidence: S4-AI-03-05_Reject_Non_Completed_AI_Response_States_PASS.png</x:v>
      </x:c>
    </x:row>
    <x:row r="83">
      <x:c r="A83" s="28" t="str">
        <x:v>S4-AI-05</x:v>
      </x:c>
      <x:c r="B83" s="28" t="str">
        <x:v>7.4,7.9</x:v>
      </x:c>
      <x:c r="C83" s="28" t="str">
        <x:v>AI Response Validation</x:v>
      </x:c>
      <x:c r="D83" s="28" t="str">
        <x:v>FR-18</x:v>
      </x:c>
      <x:c r="E83" s="28" t="str">
        <x:v>High</x:v>
      </x:c>
      <x:c r="F83" s="28" t="str">
        <x:v>Integration</x:v>
      </x:c>
      <x:c r="G83" s="28" t="str">
        <x:v>Reject queued or in-progress response state</x:v>
      </x:c>
      <x:c r="H83" s="28" t="str">
        <x:v>Controlled non-completed response</x:v>
      </x:c>
      <x:c r="I83" s="28" t="str">
        <x:v>Invoke approved AI operation.</x:v>
      </x:c>
      <x:c r="J83" s="28" t="str">
        <x:v>Non-completed response is rejected.</x:v>
      </x:c>
      <x:c r="K83" s="28" t="str">
        <x:v>Jerald</x:v>
      </x:c>
      <x:c r="L83" s="28" t="str">
        <x:v>Pass</x:v>
      </x:c>
      <x:c r="M83" s="28"/>
      <x:c r="N83" s="28" t="str">
        <x:v>The OpenAI text-provider validation test supplied queued and in_progress response states. GradNavi rejected both non-completed states.</x:v>
      </x:c>
      <x:c r="O83" s="28" t="str">
        <x:v>S4-EV-AI-CASE-005</x:v>
      </x:c>
      <x:c r="P83" s="28"/>
      <x:c r="Q83" s="28" t="str">
        <x:v>Automated</x:v>
      </x:c>
      <x:c r="R83" s="28" t="str">
        <x:v>Covered by shared non-completed-state automated test. Evidence: S4-AI-03-05_Reject_Non_Completed_AI_Response_States_PASS.png</x:v>
      </x:c>
    </x:row>
    <x:row r="84">
      <x:c r="A84" s="28" t="str">
        <x:v>S4-AI-06</x:v>
      </x:c>
      <x:c r="B84" s="28" t="str">
        <x:v>7.4,7.9</x:v>
      </x:c>
      <x:c r="C84" s="28" t="str">
        <x:v>AI Response Validation</x:v>
      </x:c>
      <x:c r="D84" s="28" t="str">
        <x:v>FR-18</x:v>
      </x:c>
      <x:c r="E84" s="28" t="str">
        <x:v>High</x:v>
      </x:c>
      <x:c r="F84" s="28" t="str">
        <x:v>Integration</x:v>
      </x:c>
      <x:c r="G84" s="28" t="str">
        <x:v>Reject missing AI response status</x:v>
      </x:c>
      <x:c r="H84" s="28" t="str">
        <x:v>Controlled response without status</x:v>
      </x:c>
      <x:c r="I84" s="28" t="str">
        <x:v>Invoke approved AI operation.</x:v>
      </x:c>
      <x:c r="J84" s="28" t="str">
        <x:v>Missing response status is rejected.</x:v>
      </x:c>
      <x:c r="K84" s="28" t="str">
        <x:v>Jerald</x:v>
      </x:c>
      <x:c r="L84" s="28" t="str">
        <x:v>Pass</x:v>
      </x:c>
      <x:c r="M84" s="28"/>
      <x:c r="N84" s="28" t="str">
        <x:v>The OpenAI text-provider automated test supplied an AI response without a response status. GradNavi rejected the response through the approved validation layer.</x:v>
      </x:c>
      <x:c r="O84" s="28" t="str">
        <x:v>S4-EV-AI-CASE-006</x:v>
      </x:c>
      <x:c r="P84" s="28"/>
      <x:c r="Q84" s="28" t="str">
        <x:v>Automated</x:v>
      </x:c>
      <x:c r="R84" s="28" t="str">
        <x:v>Automated provider-validation test passed. Evidence: S4-AI-06_Reject_Missing_AI_Response_Status_PASS.png</x:v>
      </x:c>
    </x:row>
    <x:row r="85">
      <x:c r="A85" s="28" t="str">
        <x:v>S4-AI-07</x:v>
      </x:c>
      <x:c r="B85" s="28" t="str">
        <x:v>7.4,7.9</x:v>
      </x:c>
      <x:c r="C85" s="28" t="str">
        <x:v>AI Response Validation</x:v>
      </x:c>
      <x:c r="D85" s="28" t="str">
        <x:v>FR-18</x:v>
      </x:c>
      <x:c r="E85" s="28" t="str">
        <x:v>High</x:v>
      </x:c>
      <x:c r="F85" s="28" t="str">
        <x:v>Integration</x:v>
      </x:c>
      <x:c r="G85" s="28" t="str">
        <x:v>Reject empty AI output</x:v>
      </x:c>
      <x:c r="H85" s="28" t="str">
        <x:v>Controlled completed response with empty output</x:v>
      </x:c>
      <x:c r="I85" s="28" t="str">
        <x:v>Invoke approved AI operation.</x:v>
      </x:c>
      <x:c r="J85" s="28" t="str">
        <x:v>Empty output is rejected.</x:v>
      </x:c>
      <x:c r="K85" s="28" t="str">
        <x:v>Jerald</x:v>
      </x:c>
      <x:c r="L85" s="28" t="str">
        <x:v>Pass</x:v>
      </x:c>
      <x:c r="M85" s="28"/>
      <x:c r="N85" s="28" t="str">
        <x:v>The OpenAI text-provider automated test supplied a completed AI response with empty output. GradNavi rejected the response through the approved structured-output validation process.</x:v>
      </x:c>
      <x:c r="O85" s="28" t="str">
        <x:v>S4-EV-AI-CASE-007</x:v>
      </x:c>
      <x:c r="P85" s="28"/>
      <x:c r="Q85" s="28" t="str">
        <x:v>Automated</x:v>
      </x:c>
      <x:c r="R85" s="28" t="str">
        <x:v>Automated provider-validation test passed. Evidence: S4-AI-07_Reject_Empty_AI_Output_PASS.png</x:v>
      </x:c>
    </x:row>
    <x:row r="86">
      <x:c r="A86" s="28" t="str">
        <x:v>S4-AI-08</x:v>
      </x:c>
      <x:c r="B86" s="28" t="str">
        <x:v>7.4,7.9</x:v>
      </x:c>
      <x:c r="C86" s="28" t="str">
        <x:v>AI Response Validation</x:v>
      </x:c>
      <x:c r="D86" s="28" t="str">
        <x:v>FR-18</x:v>
      </x:c>
      <x:c r="E86" s="28" t="str">
        <x:v>High</x:v>
      </x:c>
      <x:c r="F86" s="28" t="str">
        <x:v>Integration</x:v>
      </x:c>
      <x:c r="G86" s="28" t="str">
        <x:v>Reject malformed AI JSON</x:v>
      </x:c>
      <x:c r="H86" s="28" t="str">
        <x:v>Controlled malformed structured output</x:v>
      </x:c>
      <x:c r="I86" s="28" t="str">
        <x:v>Invoke approved AI operation.</x:v>
      </x:c>
      <x:c r="J86" s="28" t="str">
        <x:v>Malformed JSON is rejected.</x:v>
      </x:c>
      <x:c r="K86" s="28" t="str">
        <x:v>Jerald</x:v>
      </x:c>
      <x:c r="L86" s="28" t="str">
        <x:v>Pass</x:v>
      </x:c>
      <x:c r="M86" s="28"/>
      <x:c r="N86" s="28" t="str">
        <x:v>The OpenAI text-provider automated test supplied a completed AI response containing malformed JSON. GradNavi rejected the malformed structured output through the approved AI response-validation process.</x:v>
      </x:c>
      <x:c r="O86" s="28" t="str">
        <x:v>S4-EV-AI-CASE-008</x:v>
      </x:c>
      <x:c r="P86" s="28"/>
      <x:c r="Q86" s="28" t="str">
        <x:v>Automated</x:v>
      </x:c>
      <x:c r="R86" s="28" t="str">
        <x:v>Automated provider-validation test passed. Evidence: S4-AI-08_Reject_Malformed_AI_JSON_PASS.png</x:v>
      </x:c>
    </x:row>
    <x:row r="87">
      <x:c r="A87" s="28" t="str">
        <x:v>S4-AI-09</x:v>
      </x:c>
      <x:c r="B87" s="28" t="str">
        <x:v>7.4,7.9</x:v>
      </x:c>
      <x:c r="C87" s="28" t="str">
        <x:v>AI Response Validation</x:v>
      </x:c>
      <x:c r="D87" s="28" t="str">
        <x:v>FR-18</x:v>
      </x:c>
      <x:c r="E87" s="28" t="str">
        <x:v>High</x:v>
      </x:c>
      <x:c r="F87" s="28" t="str">
        <x:v>Integration</x:v>
      </x:c>
      <x:c r="G87" s="28" t="str">
        <x:v>Translate provider timeout safely</x:v>
      </x:c>
      <x:c r="H87" s="28" t="str">
        <x:v>Controlled timeout condition</x:v>
      </x:c>
      <x:c r="I87" s="28" t="str">
        <x:v>Invoke approved AI operation.</x:v>
      </x:c>
      <x:c r="J87" s="28" t="str">
        <x:v>Controlled application error is returned without internal detail.</x:v>
      </x:c>
      <x:c r="K87" s="28" t="str">
        <x:v>Jerald</x:v>
      </x:c>
      <x:c r="L87" s="28" t="str">
        <x:v>Pass</x:v>
      </x:c>
      <x:c r="M87" s="28"/>
      <x:c r="N87" s="28" t="str">
        <x:v>The OpenAI text-provider automated test simulated a provider timeout. GradNavi translated the failure into the approved application-level error and did not expose provider-specific timeout details.</x:v>
      </x:c>
      <x:c r="O87" s="28" t="str">
        <x:v>S4-EV-AI-CASE-009</x:v>
      </x:c>
      <x:c r="P87" s="28"/>
      <x:c r="Q87" s="28" t="str">
        <x:v>Automated</x:v>
      </x:c>
      <x:c r="R87" s="28" t="str">
        <x:v>Automated provider-failure test passed. Evidence: S4-AI-09_Translate_Provider_Timeout_Safely_PASS.png</x:v>
      </x:c>
    </x:row>
    <x:row r="88">
      <x:c r="A88" s="28" t="str">
        <x:v>S4-AI-10</x:v>
      </x:c>
      <x:c r="B88" s="28" t="str">
        <x:v>7.4,7.9</x:v>
      </x:c>
      <x:c r="C88" s="28" t="str">
        <x:v>AI Response Validation</x:v>
      </x:c>
      <x:c r="D88" s="28" t="str">
        <x:v>FR-18</x:v>
      </x:c>
      <x:c r="E88" s="28" t="str">
        <x:v>High</x:v>
      </x:c>
      <x:c r="F88" s="28" t="str">
        <x:v>Integration</x:v>
      </x:c>
      <x:c r="G88" s="28" t="str">
        <x:v>Translate connection or service-unavailable failure safely</x:v>
      </x:c>
      <x:c r="H88" s="28" t="str">
        <x:v>Controlled connection failure</x:v>
      </x:c>
      <x:c r="I88" s="28" t="str">
        <x:v>Invoke approved AI operation.</x:v>
      </x:c>
      <x:c r="J88" s="28" t="str">
        <x:v>Controlled application error is returned without provider internals.</x:v>
      </x:c>
      <x:c r="K88" s="28" t="str">
        <x:v>Jerald</x:v>
      </x:c>
      <x:c r="L88" s="28" t="str">
        <x:v>Pass</x:v>
      </x:c>
      <x:c r="M88" s="28"/>
      <x:c r="N88" s="28" t="str">
        <x:v>The OpenAI text-provider automated test simulated a provider connection failure. GradNavi sanitized the failure and translated it into the approved application-level AI service error without exposing provider-specific details.</x:v>
      </x:c>
      <x:c r="O88" s="28" t="str">
        <x:v>S4-EV-AI-CASE-010</x:v>
      </x:c>
      <x:c r="P88" s="28"/>
      <x:c r="Q88" s="28" t="str">
        <x:v>Automated</x:v>
      </x:c>
      <x:c r="R88" s="28" t="str">
        <x:v>Automated provider-failure test passed. Evidence: S4-AI-10_Translate_Connection_Failure_Safely_PASS.png</x:v>
      </x:c>
    </x:row>
    <x:row r="89">
      <x:c r="A89" s="28" t="str">
        <x:v>S4-AI-11</x:v>
      </x:c>
      <x:c r="B89" s="28" t="str">
        <x:v>7.4,7.9</x:v>
      </x:c>
      <x:c r="C89" s="28" t="str">
        <x:v>AI Response Validation</x:v>
      </x:c>
      <x:c r="D89" s="28" t="str">
        <x:v>FR-18</x:v>
      </x:c>
      <x:c r="E89" s="28" t="str">
        <x:v>High</x:v>
      </x:c>
      <x:c r="F89" s="28" t="str">
        <x:v>Integration</x:v>
      </x:c>
      <x:c r="G89" s="28" t="str">
        <x:v>Translate rate-limit or provider HTTP failure safely</x:v>
      </x:c>
      <x:c r="H89" s="28" t="str">
        <x:v>Controlled provider failure</x:v>
      </x:c>
      <x:c r="I89" s="28" t="str">
        <x:v>Invoke approved AI operation.</x:v>
      </x:c>
      <x:c r="J89" s="28" t="str">
        <x:v>Controlled application error is returned without provider internals.</x:v>
      </x:c>
      <x:c r="K89" s="28" t="str">
        <x:v>Jerald</x:v>
      </x:c>
      <x:c r="L89" s="28" t="str">
        <x:v>Pass</x:v>
      </x:c>
      <x:c r="M89" s="28"/>
      <x:c r="N89" s="28" t="str">
        <x:v>The Sprint 4 OpenAI text-provider tests simulated a provider rate-limit failure and a provider HTTP status failure. GradNavi sanitized both failures and prevented provider-specific details from being exposed.</x:v>
      </x:c>
      <x:c r="O89" s="28" t="str">
        <x:v>S4-EV-AI-CASE-011</x:v>
      </x:c>
      <x:c r="P89" s="28"/>
      <x:c r="Q89" s="28" t="str">
        <x:v>Automated</x:v>
      </x:c>
      <x:c r="R89" s="28" t="str">
        <x:v>Two automated provider-failure tests passed. Evidence: S4-AI-11_Translate_Rate_Limit_HTTP_Failure_Safely_PASS.png</x:v>
      </x:c>
    </x:row>
    <x:row r="90">
      <x:c r="A90" s="28" t="str">
        <x:v>S4-AI-12</x:v>
      </x:c>
      <x:c r="B90" s="28" t="str">
        <x:v>7.4,7.9</x:v>
      </x:c>
      <x:c r="C90" s="28" t="str">
        <x:v>AI Response Validation</x:v>
      </x:c>
      <x:c r="D90" s="28" t="str">
        <x:v>FR-18</x:v>
      </x:c>
      <x:c r="E90" s="28" t="str">
        <x:v>High</x:v>
      </x:c>
      <x:c r="F90" s="28" t="str">
        <x:v>Integration</x:v>
      </x:c>
      <x:c r="G90" s="28" t="str">
        <x:v>Protect deterministic results during AI failure</x:v>
      </x:c>
      <x:c r="H90" s="28" t="str">
        <x:v>Existing deterministic recommendation, gap, readiness, and job-match data</x:v>
      </x:c>
      <x:c r="I90" s="28" t="str">
        <x:v>Trigger controlled text-AI failure then compare deterministic outputs.</x:v>
      </x:c>
      <x:c r="J90" s="28" t="str">
        <x:v>Deterministic values remain unchanged.</x:v>
      </x:c>
      <x:c r="K90" s="28" t="str">
        <x:v>Jerald</x:v>
      </x:c>
      <x:c r="L90" s="28" t="str">
        <x:v>Pass</x:v>
      </x:c>
      <x:c r="M90" s="28"/>
      <x:c r="N90" s="28" t="str">
        <x:v>The Sprint 4 regression tests confirmed that AI failure does not change deterministic Career Recommendation scoring, Skill Gap results, Career Readiness results, or Job Matching output. All three automated tests passed.</x:v>
      </x:c>
      <x:c r="O90" s="28" t="str">
        <x:v>S4-EV-AI-CASE-012</x:v>
      </x:c>
      <x:c r="P90" s="28"/>
      <x:c r="Q90" s="28" t="str">
        <x:v>Automated</x:v>
      </x:c>
      <x:c r="R90" s="28" t="str">
        <x:v>Three deterministic-protection tests passed. Evidence: S4-AI-12_Protect_Deterministic_Results_During_AI_Failure_PASS.png</x:v>
      </x:c>
    </x:row>
    <x:row r="91">
      <x:c r="A91" s="28" t="str">
        <x:v>S4-ADMINAPI-01</x:v>
      </x:c>
      <x:c r="B91" s="28" t="str">
        <x:v>7.6,7.9</x:v>
      </x:c>
      <x:c r="C91" s="28" t="str">
        <x:v>Admin API</x:v>
      </x:c>
      <x:c r="D91" s="28" t="str">
        <x:v>FR-14</x:v>
      </x:c>
      <x:c r="E91" s="28" t="str">
        <x:v>High</x:v>
      </x:c>
      <x:c r="F91" s="28" t="str">
        <x:v>API</x:v>
      </x:c>
      <x:c r="G91" s="28" t="str">
        <x:v>Reject unauthenticated admin API request</x:v>
      </x:c>
      <x:c r="H91" s="28" t="str">
        <x:v>No authentication</x:v>
      </x:c>
      <x:c r="I91" s="28" t="str">
        <x:v>Call an administrator collection endpoint.</x:v>
      </x:c>
      <x:c r="J91" s="28" t="str">
        <x:v>Request is rejected.</x:v>
      </x:c>
      <x:c r="K91" s="28" t="str">
        <x:v>MD</x:v>
      </x:c>
      <x:c r="L91" s="28" t="str">
        <x:v>Not Run</x:v>
      </x:c>
      <x:c r="M91" s="28"/>
      <x:c r="N91" s="28" t="str"/>
      <x:c r="O91" s="28" t="str"/>
      <x:c r="P91" s="28" t="str"/>
      <x:c r="Q91" s="28" t="str">
        <x:v>Hybrid</x:v>
      </x:c>
      <x:c r="R91" s="28" t="str"/>
    </x:row>
    <x:row r="92">
      <x:c r="A92" s="28" t="str">
        <x:v>S4-ADMINAPI-02</x:v>
      </x:c>
      <x:c r="B92" s="28" t="str">
        <x:v>7.6,7.9</x:v>
      </x:c>
      <x:c r="C92" s="28" t="str">
        <x:v>Admin API</x:v>
      </x:c>
      <x:c r="D92" s="28" t="str">
        <x:v>FR-14</x:v>
      </x:c>
      <x:c r="E92" s="28" t="str">
        <x:v>High</x:v>
      </x:c>
      <x:c r="F92" s="28" t="str">
        <x:v>API</x:v>
      </x:c>
      <x:c r="G92" s="28" t="str">
        <x:v>Reject Student-role admin API request</x:v>
      </x:c>
      <x:c r="H92" s="28" t="str">
        <x:v>Authenticated Student</x:v>
      </x:c>
      <x:c r="I92" s="28" t="str">
        <x:v>Call an administrator collection endpoint.</x:v>
      </x:c>
      <x:c r="J92" s="28" t="str">
        <x:v>Backend returns permission denial.</x:v>
      </x:c>
      <x:c r="K92" s="28" t="str">
        <x:v>MD</x:v>
      </x:c>
      <x:c r="L92" s="28" t="str">
        <x:v>Not Run</x:v>
      </x:c>
      <x:c r="M92" s="28"/>
      <x:c r="N92" s="28" t="str"/>
      <x:c r="O92" s="28" t="str"/>
      <x:c r="P92" s="28" t="str"/>
      <x:c r="Q92" s="28" t="str">
        <x:v>Hybrid</x:v>
      </x:c>
      <x:c r="R92" s="28" t="str"/>
    </x:row>
    <x:row r="93">
      <x:c r="A93" s="28" t="str">
        <x:v>S4-ADMINAPI-03</x:v>
      </x:c>
      <x:c r="B93" s="28" t="str">
        <x:v>7.6,7.9</x:v>
      </x:c>
      <x:c r="C93" s="28" t="str">
        <x:v>Admin API</x:v>
      </x:c>
      <x:c r="D93" s="28" t="str">
        <x:v>FR-14</x:v>
      </x:c>
      <x:c r="E93" s="28" t="str">
        <x:v>High</x:v>
      </x:c>
      <x:c r="F93" s="28" t="str">
        <x:v>API</x:v>
      </x:c>
      <x:c r="G93" s="28" t="str">
        <x:v>Allow Administrator admin API request</x:v>
      </x:c>
      <x:c r="H93" s="28" t="str">
        <x:v>Authenticated Administrator</x:v>
      </x:c>
      <x:c r="I93" s="28" t="str">
        <x:v>Call an approved administrator collection endpoint.</x:v>
      </x:c>
      <x:c r="J93" s="28" t="str">
        <x:v>Approved administration data is returned.</x:v>
      </x:c>
      <x:c r="K93" s="28" t="str">
        <x:v>MD</x:v>
      </x:c>
      <x:c r="L93" s="28" t="str">
        <x:v>Not Run</x:v>
      </x:c>
      <x:c r="M93" s="28"/>
      <x:c r="N93" s="28" t="str"/>
      <x:c r="O93" s="28" t="str"/>
      <x:c r="P93" s="28" t="str"/>
      <x:c r="Q93" s="28" t="str">
        <x:v>Hybrid</x:v>
      </x:c>
      <x:c r="R93" s="28" t="str"/>
    </x:row>
    <x:row r="94">
      <x:c r="A94" s="28" t="str">
        <x:v>S4-ADMINAPI-04</x:v>
      </x:c>
      <x:c r="B94" s="28" t="str">
        <x:v>7.6,7.9</x:v>
      </x:c>
      <x:c r="C94" s="28" t="str">
        <x:v>Admin API</x:v>
      </x:c>
      <x:c r="D94" s="28" t="str">
        <x:v>FR-14</x:v>
      </x:c>
      <x:c r="E94" s="28" t="str">
        <x:v>High</x:v>
      </x:c>
      <x:c r="F94" s="28" t="str">
        <x:v>API</x:v>
      </x:c>
      <x:c r="G94" s="28" t="str">
        <x:v>List users without exposing passwords</x:v>
      </x:c>
      <x:c r="H94" s="28" t="str">
        <x:v>Authenticated Administrator</x:v>
      </x:c>
      <x:c r="I94" s="28" t="str">
        <x:v>Request administrator user list.</x:v>
      </x:c>
      <x:c r="J94" s="28" t="str">
        <x:v>User list excludes password values and unnecessary private profile data.</x:v>
      </x:c>
      <x:c r="K94" s="28" t="str">
        <x:v>MD</x:v>
      </x:c>
      <x:c r="L94" s="28" t="str">
        <x:v>Not Run</x:v>
      </x:c>
      <x:c r="M94" s="28"/>
      <x:c r="N94" s="28" t="str"/>
      <x:c r="O94" s="28" t="str"/>
      <x:c r="P94" s="28" t="str"/>
      <x:c r="Q94" s="28" t="str">
        <x:v>Hybrid</x:v>
      </x:c>
      <x:c r="R94" s="28" t="str"/>
    </x:row>
    <x:row r="95">
      <x:c r="A95" s="28" t="str">
        <x:v>S4-ADMINAPI-05</x:v>
      </x:c>
      <x:c r="B95" s="28" t="str">
        <x:v>7.6,7.9</x:v>
      </x:c>
      <x:c r="C95" s="28" t="str">
        <x:v>Admin API</x:v>
      </x:c>
      <x:c r="D95" s="28" t="str">
        <x:v>FR-14</x:v>
      </x:c>
      <x:c r="E95" s="28" t="str">
        <x:v>High</x:v>
      </x:c>
      <x:c r="F95" s="28" t="str">
        <x:v>API</x:v>
      </x:c>
      <x:c r="G95" s="28" t="str">
        <x:v>Retrieve approved user administration detail</x:v>
      </x:c>
      <x:c r="H95" s="28" t="str">
        <x:v>Authenticated Administrator and target user</x:v>
      </x:c>
      <x:c r="I95" s="28" t="str">
        <x:v>Request user detail.</x:v>
      </x:c>
      <x:c r="J95" s="28" t="str">
        <x:v>Approved user administration fields are returned.</x:v>
      </x:c>
      <x:c r="K95" s="28" t="str">
        <x:v>MD</x:v>
      </x:c>
      <x:c r="L95" s="28" t="str">
        <x:v>Not Run</x:v>
      </x:c>
      <x:c r="M95" s="28"/>
      <x:c r="N95" s="28" t="str"/>
      <x:c r="O95" s="28" t="str"/>
      <x:c r="P95" s="28" t="str"/>
      <x:c r="Q95" s="28" t="str">
        <x:v>Hybrid</x:v>
      </x:c>
      <x:c r="R95" s="28" t="str"/>
    </x:row>
    <x:row r="96">
      <x:c r="A96" s="28" t="str">
        <x:v>S4-ADMINAPI-06</x:v>
      </x:c>
      <x:c r="B96" s="28" t="str">
        <x:v>7.6,7.9</x:v>
      </x:c>
      <x:c r="C96" s="28" t="str">
        <x:v>Admin API</x:v>
      </x:c>
      <x:c r="D96" s="28" t="str">
        <x:v>FR-14</x:v>
      </x:c>
      <x:c r="E96" s="28" t="str">
        <x:v>High</x:v>
      </x:c>
      <x:c r="F96" s="28" t="str">
        <x:v>API</x:v>
      </x:c>
      <x:c r="G96" s="28" t="str">
        <x:v>Update approved user administration field</x:v>
      </x:c>
      <x:c r="H96" s="28" t="str">
        <x:v>Authenticated Administrator</x:v>
      </x:c>
      <x:c r="I96" s="28" t="str">
        <x:v>Submit an approved user update.</x:v>
      </x:c>
      <x:c r="J96" s="28" t="str">
        <x:v>Update succeeds and persists.</x:v>
      </x:c>
      <x:c r="K96" s="28" t="str">
        <x:v>MD</x:v>
      </x:c>
      <x:c r="L96" s="28" t="str">
        <x:v>Not Run</x:v>
      </x:c>
      <x:c r="M96" s="28"/>
      <x:c r="N96" s="28" t="str"/>
      <x:c r="O96" s="28" t="str"/>
      <x:c r="P96" s="28" t="str"/>
      <x:c r="Q96" s="28" t="str">
        <x:v>Hybrid</x:v>
      </x:c>
      <x:c r="R96" s="28" t="str"/>
    </x:row>
    <x:row r="97">
      <x:c r="A97" s="28" t="str">
        <x:v>S4-ADMINAPI-07</x:v>
      </x:c>
      <x:c r="B97" s="28" t="str">
        <x:v>7.6,7.9</x:v>
      </x:c>
      <x:c r="C97" s="28" t="str">
        <x:v>Admin API</x:v>
      </x:c>
      <x:c r="D97" s="28" t="str">
        <x:v>FR-14</x:v>
      </x:c>
      <x:c r="E97" s="28" t="str">
        <x:v>High</x:v>
      </x:c>
      <x:c r="F97" s="28" t="str">
        <x:v>API</x:v>
      </x:c>
      <x:c r="G97" s="28" t="str">
        <x:v>Career management CRUD contract</x:v>
      </x:c>
      <x:c r="H97" s="28" t="str">
        <x:v>Authenticated Administrator</x:v>
      </x:c>
      <x:c r="I97" s="28" t="str">
        <x:v>Exercise approved Career create, retrieve, update, and delete operations.</x:v>
      </x:c>
      <x:c r="J97" s="28" t="str">
        <x:v>Career administration follows the approved API contract.</x:v>
      </x:c>
      <x:c r="K97" s="28" t="str">
        <x:v>MD</x:v>
      </x:c>
      <x:c r="L97" s="28" t="str">
        <x:v>Not Run</x:v>
      </x:c>
      <x:c r="M97" s="28"/>
      <x:c r="N97" s="28" t="str"/>
      <x:c r="O97" s="28" t="str"/>
      <x:c r="P97" s="28" t="str"/>
      <x:c r="Q97" s="28" t="str">
        <x:v>Hybrid</x:v>
      </x:c>
      <x:c r="R97" s="28" t="str"/>
    </x:row>
    <x:row r="98">
      <x:c r="A98" s="28" t="str">
        <x:v>S4-ADMINAPI-08</x:v>
      </x:c>
      <x:c r="B98" s="28" t="str">
        <x:v>7.6,7.9</x:v>
      </x:c>
      <x:c r="C98" s="28" t="str">
        <x:v>Admin API</x:v>
      </x:c>
      <x:c r="D98" s="28" t="str">
        <x:v>FR-14</x:v>
      </x:c>
      <x:c r="E98" s="28" t="str">
        <x:v>High</x:v>
      </x:c>
      <x:c r="F98" s="28" t="str">
        <x:v>API</x:v>
      </x:c>
      <x:c r="G98" s="28" t="str">
        <x:v>Skill management CRUD contract</x:v>
      </x:c>
      <x:c r="H98" s="28" t="str">
        <x:v>Authenticated Administrator</x:v>
      </x:c>
      <x:c r="I98" s="28" t="str">
        <x:v>Exercise approved Skill create, retrieve, update, and delete operations.</x:v>
      </x:c>
      <x:c r="J98" s="28" t="str">
        <x:v>Skill administration follows the approved API contract.</x:v>
      </x:c>
      <x:c r="K98" s="28" t="str">
        <x:v>MD</x:v>
      </x:c>
      <x:c r="L98" s="28" t="str">
        <x:v>Not Run</x:v>
      </x:c>
      <x:c r="M98" s="28"/>
      <x:c r="N98" s="28" t="str"/>
      <x:c r="O98" s="28" t="str"/>
      <x:c r="P98" s="28" t="str"/>
      <x:c r="Q98" s="28" t="str">
        <x:v>Hybrid</x:v>
      </x:c>
      <x:c r="R98" s="28" t="str"/>
    </x:row>
    <x:row r="99">
      <x:c r="A99" s="28" t="str">
        <x:v>S4-ADMINAPI-09</x:v>
      </x:c>
      <x:c r="B99" s="28" t="str">
        <x:v>7.6,7.9</x:v>
      </x:c>
      <x:c r="C99" s="28" t="str">
        <x:v>Admin API</x:v>
      </x:c>
      <x:c r="D99" s="28" t="str">
        <x:v>FR-14</x:v>
      </x:c>
      <x:c r="E99" s="28" t="str">
        <x:v>High</x:v>
      </x:c>
      <x:c r="F99" s="28" t="str">
        <x:v>API</x:v>
      </x:c>
      <x:c r="G99" s="28" t="str">
        <x:v>Learning Resource management CRUD contract</x:v>
      </x:c>
      <x:c r="H99" s="28" t="str">
        <x:v>Authenticated Administrator</x:v>
      </x:c>
      <x:c r="I99" s="28" t="str">
        <x:v>Exercise approved Learning Resource operations.</x:v>
      </x:c>
      <x:c r="J99" s="28" t="str">
        <x:v>Learning Resource administration follows the approved API contract.</x:v>
      </x:c>
      <x:c r="K99" s="28" t="str">
        <x:v>MD</x:v>
      </x:c>
      <x:c r="L99" s="28" t="str">
        <x:v>Not Run</x:v>
      </x:c>
      <x:c r="M99" s="28"/>
      <x:c r="N99" s="28" t="str"/>
      <x:c r="O99" s="28" t="str"/>
      <x:c r="P99" s="28" t="str"/>
      <x:c r="Q99" s="28" t="str">
        <x:v>Hybrid</x:v>
      </x:c>
      <x:c r="R99" s="28" t="str"/>
    </x:row>
    <x:row r="100">
      <x:c r="A100" s="28" t="str">
        <x:v>S4-ADMINAPI-10</x:v>
      </x:c>
      <x:c r="B100" s="28" t="str">
        <x:v>7.6,7.9</x:v>
      </x:c>
      <x:c r="C100" s="28" t="str">
        <x:v>Admin API</x:v>
      </x:c>
      <x:c r="D100" s="28" t="str">
        <x:v>FR-14</x:v>
      </x:c>
      <x:c r="E100" s="28" t="str">
        <x:v>High</x:v>
      </x:c>
      <x:c r="F100" s="28" t="str">
        <x:v>API</x:v>
      </x:c>
      <x:c r="G100" s="28" t="str">
        <x:v>Learning Resource to Skill assignment</x:v>
      </x:c>
      <x:c r="H100" s="28" t="str">
        <x:v>Authenticated Administrator with existing Skill and resource</x:v>
      </x:c>
      <x:c r="I100" s="28" t="str">
        <x:v>Assign the approved Skill relation.</x:v>
      </x:c>
      <x:c r="J100" s="28" t="str">
        <x:v>Assignment persists and is returned correctly.</x:v>
      </x:c>
      <x:c r="K100" s="28" t="str">
        <x:v>MD</x:v>
      </x:c>
      <x:c r="L100" s="28" t="str">
        <x:v>Not Run</x:v>
      </x:c>
      <x:c r="M100" s="28"/>
      <x:c r="N100" s="28" t="str"/>
      <x:c r="O100" s="28" t="str"/>
      <x:c r="P100" s="28" t="str"/>
      <x:c r="Q100" s="28" t="str">
        <x:v>Hybrid</x:v>
      </x:c>
      <x:c r="R100" s="28" t="str"/>
    </x:row>
    <x:row r="101">
      <x:c r="A101" s="28" t="str">
        <x:v>S4-ADMINUI-01</x:v>
      </x:c>
      <x:c r="B101" s="28" t="str">
        <x:v>7.7,7.9</x:v>
      </x:c>
      <x:c r="C101" s="28" t="str">
        <x:v>Admin Dashboard</x:v>
      </x:c>
      <x:c r="D101" s="28" t="str">
        <x:v>FR-14</x:v>
      </x:c>
      <x:c r="E101" s="28" t="str">
        <x:v>High</x:v>
      </x:c>
      <x:c r="F101" s="28" t="str">
        <x:v>Frontend</x:v>
      </x:c>
      <x:c r="G101" s="28" t="str">
        <x:v>Protect admin route</x:v>
      </x:c>
      <x:c r="H101" s="28" t="str">
        <x:v>Signed-out browser session</x:v>
      </x:c>
      <x:c r="I101" s="28" t="str">
        <x:v>Navigate directly to /admin.</x:v>
      </x:c>
      <x:c r="J101" s="28" t="str">
        <x:v>Unauthenticated access is blocked.</x:v>
      </x:c>
      <x:c r="K101" s="28" t="str">
        <x:v>Joyee</x:v>
      </x:c>
      <x:c r="L101" s="28" t="str">
        <x:v>Blocked</x:v>
      </x:c>
      <x:c r="M101" s="28" t="str">
        <x:v>WBS 7.7</x:v>
      </x:c>
      <x:c r="N101" s="28" t="str"/>
      <x:c r="O101" s="28" t="str"/>
      <x:c r="P101" s="28" t="str"/>
      <x:c r="Q101" s="28" t="str">
        <x:v>Manual</x:v>
      </x:c>
      <x:c r="R101" s="28" t="str"/>
    </x:row>
    <x:row r="102">
      <x:c r="A102" s="28" t="str">
        <x:v>S4-ADMINUI-02</x:v>
      </x:c>
      <x:c r="B102" s="28" t="str">
        <x:v>7.7,7.9</x:v>
      </x:c>
      <x:c r="C102" s="28" t="str">
        <x:v>Admin Dashboard</x:v>
      </x:c>
      <x:c r="D102" s="28" t="str">
        <x:v>FR-14</x:v>
      </x:c>
      <x:c r="E102" s="28" t="str">
        <x:v>High</x:v>
      </x:c>
      <x:c r="F102" s="28" t="str">
        <x:v>Frontend</x:v>
      </x:c>
      <x:c r="G102" s="28" t="str">
        <x:v>Reject Student from admin dashboard</x:v>
      </x:c>
      <x:c r="H102" s="28" t="str">
        <x:v>Authenticated Student</x:v>
      </x:c>
      <x:c r="I102" s="28" t="str">
        <x:v>Navigate directly to /admin.</x:v>
      </x:c>
      <x:c r="J102" s="28" t="str">
        <x:v>Student cannot use the admin dashboard.</x:v>
      </x:c>
      <x:c r="K102" s="28" t="str">
        <x:v>Joyee</x:v>
      </x:c>
      <x:c r="L102" s="28" t="str">
        <x:v>Blocked</x:v>
      </x:c>
      <x:c r="M102" s="28" t="str">
        <x:v>WBS 7.7</x:v>
      </x:c>
      <x:c r="N102" s="28" t="str"/>
      <x:c r="O102" s="28" t="str"/>
      <x:c r="P102" s="28" t="str"/>
      <x:c r="Q102" s="28" t="str">
        <x:v>Manual</x:v>
      </x:c>
      <x:c r="R102" s="28" t="str"/>
    </x:row>
    <x:row r="103">
      <x:c r="A103" s="28" t="str">
        <x:v>S4-ADMINUI-03</x:v>
      </x:c>
      <x:c r="B103" s="28" t="str">
        <x:v>7.7,7.9</x:v>
      </x:c>
      <x:c r="C103" s="28" t="str">
        <x:v>Admin Dashboard</x:v>
      </x:c>
      <x:c r="D103" s="28" t="str">
        <x:v>FR-14</x:v>
      </x:c>
      <x:c r="E103" s="28" t="str">
        <x:v>High</x:v>
      </x:c>
      <x:c r="F103" s="28" t="str">
        <x:v>Frontend</x:v>
      </x:c>
      <x:c r="G103" s="28" t="str">
        <x:v>Load Admin Dashboard for Administrator</x:v>
      </x:c>
      <x:c r="H103" s="28" t="str">
        <x:v>Authenticated Administrator</x:v>
      </x:c>
      <x:c r="I103" s="28" t="str">
        <x:v>Open /admin.</x:v>
      </x:c>
      <x:c r="J103" s="28" t="str">
        <x:v>Admin Dashboard loads.</x:v>
      </x:c>
      <x:c r="K103" s="28" t="str">
        <x:v>Joyee</x:v>
      </x:c>
      <x:c r="L103" s="28" t="str">
        <x:v>Blocked</x:v>
      </x:c>
      <x:c r="M103" s="28" t="str">
        <x:v>WBS 7.7</x:v>
      </x:c>
      <x:c r="N103" s="28" t="str"/>
      <x:c r="O103" s="28" t="str"/>
      <x:c r="P103" s="28" t="str"/>
      <x:c r="Q103" s="28" t="str">
        <x:v>Manual</x:v>
      </x:c>
      <x:c r="R103" s="28" t="str"/>
    </x:row>
    <x:row r="104">
      <x:c r="A104" s="28" t="str">
        <x:v>S4-ADMINUI-04</x:v>
      </x:c>
      <x:c r="B104" s="28" t="str">
        <x:v>7.7,7.9</x:v>
      </x:c>
      <x:c r="C104" s="28" t="str">
        <x:v>Admin Dashboard</x:v>
      </x:c>
      <x:c r="D104" s="28" t="str">
        <x:v>FR-14</x:v>
      </x:c>
      <x:c r="E104" s="28" t="str">
        <x:v>High</x:v>
      </x:c>
      <x:c r="F104" s="28" t="str">
        <x:v>Frontend</x:v>
      </x:c>
      <x:c r="G104" s="28" t="str">
        <x:v>Display admin loading state</x:v>
      </x:c>
      <x:c r="H104" s="28" t="str">
        <x:v>Admin API response is delayed</x:v>
      </x:c>
      <x:c r="I104" s="28" t="str">
        <x:v>Open Admin Dashboard.</x:v>
      </x:c>
      <x:c r="J104" s="28" t="str">
        <x:v>Loading state is visible while data is pending.</x:v>
      </x:c>
      <x:c r="K104" s="28" t="str">
        <x:v>Joyee</x:v>
      </x:c>
      <x:c r="L104" s="28" t="str">
        <x:v>Blocked</x:v>
      </x:c>
      <x:c r="M104" s="28" t="str">
        <x:v>WBS 7.7</x:v>
      </x:c>
      <x:c r="N104" s="28" t="str"/>
      <x:c r="O104" s="28" t="str"/>
      <x:c r="P104" s="28" t="str"/>
      <x:c r="Q104" s="28" t="str">
        <x:v>Manual</x:v>
      </x:c>
      <x:c r="R104" s="28" t="str"/>
    </x:row>
    <x:row r="105">
      <x:c r="A105" s="28" t="str">
        <x:v>S4-ADMINUI-05</x:v>
      </x:c>
      <x:c r="B105" s="28" t="str">
        <x:v>7.7,7.9</x:v>
      </x:c>
      <x:c r="C105" s="28" t="str">
        <x:v>Admin Dashboard</x:v>
      </x:c>
      <x:c r="D105" s="28" t="str">
        <x:v>FR-14</x:v>
      </x:c>
      <x:c r="E105" s="28" t="str">
        <x:v>High</x:v>
      </x:c>
      <x:c r="F105" s="28" t="str">
        <x:v>Frontend</x:v>
      </x:c>
      <x:c r="G105" s="28" t="str">
        <x:v>Display admin API error state</x:v>
      </x:c>
      <x:c r="H105" s="28" t="str">
        <x:v>Controlled admin API failure</x:v>
      </x:c>
      <x:c r="I105" s="28" t="str">
        <x:v>Open Admin Dashboard.</x:v>
      </x:c>
      <x:c r="J105" s="28" t="str">
        <x:v>Controlled error state is shown.</x:v>
      </x:c>
      <x:c r="K105" s="28" t="str">
        <x:v>Joyee</x:v>
      </x:c>
      <x:c r="L105" s="28" t="str">
        <x:v>Blocked</x:v>
      </x:c>
      <x:c r="M105" s="28" t="str">
        <x:v>WBS 7.7</x:v>
      </x:c>
      <x:c r="N105" s="28" t="str"/>
      <x:c r="O105" s="28" t="str"/>
      <x:c r="P105" s="28" t="str"/>
      <x:c r="Q105" s="28" t="str">
        <x:v>Manual</x:v>
      </x:c>
      <x:c r="R105" s="28" t="str"/>
    </x:row>
    <x:row r="106">
      <x:c r="A106" s="28" t="str">
        <x:v>S4-ADMINUI-06</x:v>
      </x:c>
      <x:c r="B106" s="28" t="str">
        <x:v>7.7,7.9</x:v>
      </x:c>
      <x:c r="C106" s="28" t="str">
        <x:v>Admin Dashboard</x:v>
      </x:c>
      <x:c r="D106" s="28" t="str">
        <x:v>FR-14</x:v>
      </x:c>
      <x:c r="E106" s="28" t="str">
        <x:v>High</x:v>
      </x:c>
      <x:c r="F106" s="28" t="str">
        <x:v>Frontend</x:v>
      </x:c>
      <x:c r="G106" s="28" t="str">
        <x:v>Display approved summary information</x:v>
      </x:c>
      <x:c r="H106" s="28" t="str">
        <x:v>Authenticated Administrator and API data available</x:v>
      </x:c>
      <x:c r="I106" s="28" t="str">
        <x:v>Open Admin Dashboard.</x:v>
      </x:c>
      <x:c r="J106" s="28" t="str">
        <x:v>Approved summary information is rendered.</x:v>
      </x:c>
      <x:c r="K106" s="28" t="str">
        <x:v>Joyee</x:v>
      </x:c>
      <x:c r="L106" s="28" t="str">
        <x:v>Blocked</x:v>
      </x:c>
      <x:c r="M106" s="28" t="str">
        <x:v>WBS 7.7</x:v>
      </x:c>
      <x:c r="N106" s="28" t="str"/>
      <x:c r="O106" s="28" t="str"/>
      <x:c r="P106" s="28" t="str"/>
      <x:c r="Q106" s="28" t="str">
        <x:v>Manual</x:v>
      </x:c>
      <x:c r="R106" s="28" t="str"/>
    </x:row>
    <x:row r="107">
      <x:c r="A107" s="28" t="str">
        <x:v>S4-ADMINUI-07</x:v>
      </x:c>
      <x:c r="B107" s="28" t="str">
        <x:v>7.7,7.9</x:v>
      </x:c>
      <x:c r="C107" s="28" t="str">
        <x:v>Admin Dashboard</x:v>
      </x:c>
      <x:c r="D107" s="28" t="str">
        <x:v>FR-14</x:v>
      </x:c>
      <x:c r="E107" s="28" t="str">
        <x:v>High</x:v>
      </x:c>
      <x:c r="F107" s="28" t="str">
        <x:v>Frontend</x:v>
      </x:c>
      <x:c r="G107" s="28" t="str">
        <x:v>Use approved management screen</x:v>
      </x:c>
      <x:c r="H107" s="28" t="str">
        <x:v>Authenticated Administrator</x:v>
      </x:c>
      <x:c r="I107" s="28" t="str">
        <x:v>Open an available user, Career, Skill, or Learning Resource management screen.</x:v>
      </x:c>
      <x:c r="J107" s="28" t="str">
        <x:v>Screen loads and connects to the approved admin API.</x:v>
      </x:c>
      <x:c r="K107" s="28" t="str">
        <x:v>Joyee</x:v>
      </x:c>
      <x:c r="L107" s="28" t="str">
        <x:v>Blocked</x:v>
      </x:c>
      <x:c r="M107" s="28" t="str">
        <x:v>WBS 7.7</x:v>
      </x:c>
      <x:c r="N107" s="28" t="str"/>
      <x:c r="O107" s="28" t="str"/>
      <x:c r="P107" s="28" t="str"/>
      <x:c r="Q107" s="28" t="str">
        <x:v>Manual</x:v>
      </x:c>
      <x:c r="R107" s="28" t="str"/>
    </x:row>
    <x:row r="108">
      <x:c r="A108" s="28" t="str">
        <x:v>S4-ADMINUI-08</x:v>
      </x:c>
      <x:c r="B108" s="28" t="str">
        <x:v>7.7,7.9</x:v>
      </x:c>
      <x:c r="C108" s="28" t="str">
        <x:v>Admin Dashboard</x:v>
      </x:c>
      <x:c r="D108" s="28" t="str">
        <x:v>FR-14</x:v>
      </x:c>
      <x:c r="E108" s="28" t="str">
        <x:v>High</x:v>
      </x:c>
      <x:c r="F108" s="28" t="str">
        <x:v>Frontend</x:v>
      </x:c>
      <x:c r="G108" s="28" t="str">
        <x:v>Admin UI does not replace backend permission boundary</x:v>
      </x:c>
      <x:c r="H108" s="28" t="str">
        <x:v>Authenticated Student with manipulated frontend navigation</x:v>
      </x:c>
      <x:c r="I108" s="28" t="str">
        <x:v>Attempt direct admin API action.</x:v>
      </x:c>
      <x:c r="J108" s="28" t="str">
        <x:v>Backend still rejects the operation.</x:v>
      </x:c>
      <x:c r="K108" s="28" t="str">
        <x:v>Joyee</x:v>
      </x:c>
      <x:c r="L108" s="28" t="str">
        <x:v>Blocked</x:v>
      </x:c>
      <x:c r="M108" s="28" t="str">
        <x:v>WBS 7.7</x:v>
      </x:c>
      <x:c r="N108" s="28" t="str"/>
      <x:c r="O108" s="28" t="str"/>
      <x:c r="P108" s="28" t="str"/>
      <x:c r="Q108" s="28" t="str">
        <x:v>Manual</x:v>
      </x:c>
      <x:c r="R108" s="28" t="str"/>
    </x:row>
    <x:row r="109">
      <x:c r="A109" s="28" t="str">
        <x:v>S4-PERM-01</x:v>
      </x:c>
      <x:c r="B109" s="28" t="str">
        <x:v>7.8,7.9</x:v>
      </x:c>
      <x:c r="C109" s="28" t="str">
        <x:v>Role Permissions</x:v>
      </x:c>
      <x:c r="D109" s="28" t="str">
        <x:v>NFR-05</x:v>
      </x:c>
      <x:c r="E109" s="28" t="str">
        <x:v>High</x:v>
      </x:c>
      <x:c r="F109" s="28" t="str">
        <x:v>Permission</x:v>
      </x:c>
      <x:c r="G109" s="28" t="str">
        <x:v>Administrator role accesses approved admin operation</x:v>
      </x:c>
      <x:c r="H109" s="28" t="str">
        <x:v>Authenticated Administrator</x:v>
      </x:c>
      <x:c r="I109" s="28" t="str">
        <x:v>Perform an approved administration request.</x:v>
      </x:c>
      <x:c r="J109" s="28" t="str">
        <x:v>Backend permits the approved role operation.</x:v>
      </x:c>
      <x:c r="K109" s="28" t="str">
        <x:v>MD</x:v>
      </x:c>
      <x:c r="L109" s="28" t="str">
        <x:v>Not Run</x:v>
      </x:c>
      <x:c r="M109" s="28"/>
      <x:c r="N109" s="28" t="str"/>
      <x:c r="O109" s="28" t="str"/>
      <x:c r="P109" s="28" t="str"/>
      <x:c r="Q109" s="28" t="str">
        <x:v>Automated</x:v>
      </x:c>
      <x:c r="R109" s="28" t="str"/>
    </x:row>
    <x:row r="110">
      <x:c r="A110" s="28" t="str">
        <x:v>S4-PERM-02</x:v>
      </x:c>
      <x:c r="B110" s="28" t="str">
        <x:v>7.8,7.9</x:v>
      </x:c>
      <x:c r="C110" s="28" t="str">
        <x:v>Role Permissions</x:v>
      </x:c>
      <x:c r="D110" s="28" t="str">
        <x:v>NFR-05</x:v>
      </x:c>
      <x:c r="E110" s="28" t="str">
        <x:v>Critical</x:v>
      </x:c>
      <x:c r="F110" s="28" t="str">
        <x:v>Permission</x:v>
      </x:c>
      <x:c r="G110" s="28" t="str">
        <x:v>Student role is denied admin collection access</x:v>
      </x:c>
      <x:c r="H110" s="28" t="str">
        <x:v>Authenticated Student</x:v>
      </x:c>
      <x:c r="I110" s="28" t="str">
        <x:v>Call an administrator collection endpoint directly.</x:v>
      </x:c>
      <x:c r="J110" s="28" t="str">
        <x:v>Backend denies access.</x:v>
      </x:c>
      <x:c r="K110" s="28" t="str">
        <x:v>MD</x:v>
      </x:c>
      <x:c r="L110" s="28" t="str">
        <x:v>Not Run</x:v>
      </x:c>
      <x:c r="M110" s="28"/>
      <x:c r="N110" s="28" t="str"/>
      <x:c r="O110" s="28" t="str"/>
      <x:c r="P110" s="28" t="str"/>
      <x:c r="Q110" s="28" t="str">
        <x:v>Automated</x:v>
      </x:c>
      <x:c r="R110" s="28" t="str"/>
    </x:row>
    <x:row r="111">
      <x:c r="A111" s="28" t="str">
        <x:v>S4-PERM-03</x:v>
      </x:c>
      <x:c r="B111" s="28" t="str">
        <x:v>7.8,7.9</x:v>
      </x:c>
      <x:c r="C111" s="28" t="str">
        <x:v>Role Permissions</x:v>
      </x:c>
      <x:c r="D111" s="28" t="str">
        <x:v>NFR-05</x:v>
      </x:c>
      <x:c r="E111" s="28" t="str">
        <x:v>Critical</x:v>
      </x:c>
      <x:c r="F111" s="28" t="str">
        <x:v>Permission</x:v>
      </x:c>
      <x:c r="G111" s="28" t="str">
        <x:v>Student role is denied admin mutation</x:v>
      </x:c>
      <x:c r="H111" s="28" t="str">
        <x:v>Authenticated Student</x:v>
      </x:c>
      <x:c r="I111" s="28" t="str">
        <x:v>Attempt an administrator create or update directly.</x:v>
      </x:c>
      <x:c r="J111" s="28" t="str">
        <x:v>Backend denies access and no mutation occurs.</x:v>
      </x:c>
      <x:c r="K111" s="28" t="str">
        <x:v>MD</x:v>
      </x:c>
      <x:c r="L111" s="28" t="str">
        <x:v>Not Run</x:v>
      </x:c>
      <x:c r="M111" s="28"/>
      <x:c r="N111" s="28" t="str"/>
      <x:c r="O111" s="28" t="str"/>
      <x:c r="P111" s="28" t="str"/>
      <x:c r="Q111" s="28" t="str">
        <x:v>Automated</x:v>
      </x:c>
      <x:c r="R111" s="28" t="str"/>
    </x:row>
    <x:row r="112">
      <x:c r="A112" s="28" t="str">
        <x:v>S4-PERM-04</x:v>
      </x:c>
      <x:c r="B112" s="28" t="str">
        <x:v>7.8,7.9</x:v>
      </x:c>
      <x:c r="C112" s="28" t="str">
        <x:v>Role Permissions</x:v>
      </x:c>
      <x:c r="D112" s="28" t="str">
        <x:v>NFR-05</x:v>
      </x:c>
      <x:c r="E112" s="28" t="str">
        <x:v>High</x:v>
      </x:c>
      <x:c r="F112" s="28" t="str">
        <x:v>Permission</x:v>
      </x:c>
      <x:c r="G112" s="28" t="str">
        <x:v>Unauthenticated user is denied admin access</x:v>
      </x:c>
      <x:c r="H112" s="28" t="str">
        <x:v>No authentication</x:v>
      </x:c>
      <x:c r="I112" s="28" t="str">
        <x:v>Call an admin endpoint.</x:v>
      </x:c>
      <x:c r="J112" s="28" t="str">
        <x:v>Request is rejected as unauthenticated.</x:v>
      </x:c>
      <x:c r="K112" s="28" t="str">
        <x:v>MD</x:v>
      </x:c>
      <x:c r="L112" s="28" t="str">
        <x:v>Not Run</x:v>
      </x:c>
      <x:c r="M112" s="28"/>
      <x:c r="N112" s="28" t="str"/>
      <x:c r="O112" s="28" t="str"/>
      <x:c r="P112" s="28" t="str"/>
      <x:c r="Q112" s="28" t="str">
        <x:v>Automated</x:v>
      </x:c>
      <x:c r="R112" s="28" t="str"/>
    </x:row>
    <x:row r="113">
      <x:c r="A113" s="28" t="str">
        <x:v>S4-PERM-05</x:v>
      </x:c>
      <x:c r="B113" s="28" t="str">
        <x:v>7.8,7.9</x:v>
      </x:c>
      <x:c r="C113" s="28" t="str">
        <x:v>Role Permissions</x:v>
      </x:c>
      <x:c r="D113" s="28" t="str">
        <x:v>NFR-05</x:v>
      </x:c>
      <x:c r="E113" s="28" t="str">
        <x:v>Critical</x:v>
      </x:c>
      <x:c r="F113" s="28" t="str">
        <x:v>Permission</x:v>
      </x:c>
      <x:c r="G113" s="28" t="str">
        <x:v>Frontend manipulation does not bypass admin permission</x:v>
      </x:c>
      <x:c r="H113" s="28" t="str">
        <x:v>Authenticated Student</x:v>
      </x:c>
      <x:c r="I113" s="28" t="str">
        <x:v>Manually navigate or submit a direct admin request.</x:v>
      </x:c>
      <x:c r="J113" s="28" t="str">
        <x:v>Backend permission enforcement prevents access.</x:v>
      </x:c>
      <x:c r="K113" s="28" t="str">
        <x:v>MD</x:v>
      </x:c>
      <x:c r="L113" s="28" t="str">
        <x:v>Not Run</x:v>
      </x:c>
      <x:c r="M113" s="28"/>
      <x:c r="N113" s="28" t="str"/>
      <x:c r="O113" s="28" t="str"/>
      <x:c r="P113" s="28" t="str"/>
      <x:c r="Q113" s="28" t="str">
        <x:v>Automated</x:v>
      </x:c>
      <x:c r="R113" s="28" t="str"/>
    </x:row>
    <x:row r="114">
      <x:c r="A114" s="28" t="str">
        <x:v>S4-PERM-06</x:v>
      </x:c>
      <x:c r="B114" s="28" t="str">
        <x:v>7.8,7.9</x:v>
      </x:c>
      <x:c r="C114" s="28" t="str">
        <x:v>Role Permissions</x:v>
      </x:c>
      <x:c r="D114" s="28" t="str">
        <x:v>NFR-05</x:v>
      </x:c>
      <x:c r="E114" s="28" t="str">
        <x:v>Critical</x:v>
      </x:c>
      <x:c r="F114" s="28" t="str">
        <x:v>Permission</x:v>
      </x:c>
      <x:c r="G114" s="28" t="str">
        <x:v>Student-owned resource isolation remains active</x:v>
      </x:c>
      <x:c r="H114" s="28" t="str">
        <x:v>Two Student accounts</x:v>
      </x:c>
      <x:c r="I114" s="28" t="str">
        <x:v>Attempt cross-student access after permission changes are integrated.</x:v>
      </x:c>
      <x:c r="J114" s="28" t="str">
        <x:v>Cross-student access remains denied.</x:v>
      </x:c>
      <x:c r="K114" s="28" t="str">
        <x:v>MD</x:v>
      </x:c>
      <x:c r="L114" s="28" t="str">
        <x:v>Not Run</x:v>
      </x:c>
      <x:c r="M114" s="28"/>
      <x:c r="N114" s="28" t="str"/>
      <x:c r="O114" s="28" t="str"/>
      <x:c r="P114" s="28" t="str"/>
      <x:c r="Q114" s="28" t="str">
        <x:v>Automated</x:v>
      </x:c>
      <x:c r="R114" s="28" t="str"/>
    </x:row>
    <x:row r="115">
      <x:c r="A115" s="28" t="str">
        <x:v>S4-AUDIT-01</x:v>
      </x:c>
      <x:c r="B115" s="28" t="str">
        <x:v>7.8,7.9</x:v>
      </x:c>
      <x:c r="C115" s="28" t="str">
        <x:v>Audit Records</x:v>
      </x:c>
      <x:c r="D115" s="28" t="str">
        <x:v>FR-18</x:v>
      </x:c>
      <x:c r="E115" s="28" t="str">
        <x:v>High</x:v>
      </x:c>
      <x:c r="F115" s="28" t="str">
        <x:v>Security</x:v>
      </x:c>
      <x:c r="G115" s="28" t="str">
        <x:v>Approved critical admin action creates audit record</x:v>
      </x:c>
      <x:c r="H115" s="28" t="str">
        <x:v>WBS 7.8 integrated and Administrator authenticated</x:v>
      </x:c>
      <x:c r="I115" s="28" t="str">
        <x:v>Perform an approved critical administration action.</x:v>
      </x:c>
      <x:c r="J115" s="28" t="str">
        <x:v>Required audit record is created.</x:v>
      </x:c>
      <x:c r="K115" s="28" t="str">
        <x:v>MD</x:v>
      </x:c>
      <x:c r="L115" s="28" t="str">
        <x:v>Not Run</x:v>
      </x:c>
      <x:c r="M115" s="28"/>
      <x:c r="N115" s="28" t="str"/>
      <x:c r="O115" s="28" t="str"/>
      <x:c r="P115" s="28" t="str"/>
      <x:c r="Q115" s="28" t="str">
        <x:v>Hybrid</x:v>
      </x:c>
      <x:c r="R115" s="28" t="str"/>
    </x:row>
    <x:row r="116">
      <x:c r="A116" s="28" t="str">
        <x:v>S4-AUDIT-02</x:v>
      </x:c>
      <x:c r="B116" s="28" t="str">
        <x:v>7.8,7.9</x:v>
      </x:c>
      <x:c r="C116" s="28" t="str">
        <x:v>Audit Records</x:v>
      </x:c>
      <x:c r="D116" s="28" t="str">
        <x:v>FR-18</x:v>
      </x:c>
      <x:c r="E116" s="28" t="str">
        <x:v>High</x:v>
      </x:c>
      <x:c r="F116" s="28" t="str">
        <x:v>Security</x:v>
      </x:c>
      <x:c r="G116" s="28" t="str">
        <x:v>Audit record identifies action</x:v>
      </x:c>
      <x:c r="H116" s="28" t="str">
        <x:v>Audit record exists</x:v>
      </x:c>
      <x:c r="I116" s="28" t="str">
        <x:v>Inspect the stored audit record.</x:v>
      </x:c>
      <x:c r="J116" s="28" t="str">
        <x:v>Record identifies the approved action using the required fields.</x:v>
      </x:c>
      <x:c r="K116" s="28" t="str">
        <x:v>MD</x:v>
      </x:c>
      <x:c r="L116" s="28" t="str">
        <x:v>Not Run</x:v>
      </x:c>
      <x:c r="M116" s="28"/>
      <x:c r="N116" s="28" t="str"/>
      <x:c r="O116" s="28" t="str"/>
      <x:c r="P116" s="28" t="str"/>
      <x:c r="Q116" s="28" t="str">
        <x:v>Hybrid</x:v>
      </x:c>
      <x:c r="R116" s="28" t="str"/>
    </x:row>
    <x:row r="117">
      <x:c r="A117" s="28" t="str">
        <x:v>S4-AUDIT-03</x:v>
      </x:c>
      <x:c r="B117" s="28" t="str">
        <x:v>7.8,7.9</x:v>
      </x:c>
      <x:c r="C117" s="28" t="str">
        <x:v>Audit Records</x:v>
      </x:c>
      <x:c r="D117" s="28" t="str">
        <x:v>FR-18</x:v>
      </x:c>
      <x:c r="E117" s="28" t="str">
        <x:v>Critical</x:v>
      </x:c>
      <x:c r="F117" s="28" t="str">
        <x:v>Security</x:v>
      </x:c>
      <x:c r="G117" s="28" t="str">
        <x:v>Audit record excludes passwords</x:v>
      </x:c>
      <x:c r="H117" s="28" t="str">
        <x:v>Audit record exists after user administration action</x:v>
      </x:c>
      <x:c r="I117" s="28" t="str">
        <x:v>Inspect audit data.</x:v>
      </x:c>
      <x:c r="J117" s="28" t="str">
        <x:v>No password or password hash is stored in audit details.</x:v>
      </x:c>
      <x:c r="K117" s="28" t="str">
        <x:v>MD</x:v>
      </x:c>
      <x:c r="L117" s="28" t="str">
        <x:v>Not Run</x:v>
      </x:c>
      <x:c r="M117" s="28"/>
      <x:c r="N117" s="28" t="str"/>
      <x:c r="O117" s="28" t="str"/>
      <x:c r="P117" s="28" t="str"/>
      <x:c r="Q117" s="28" t="str">
        <x:v>Hybrid</x:v>
      </x:c>
      <x:c r="R117" s="28" t="str"/>
    </x:row>
    <x:row r="118">
      <x:c r="A118" s="28" t="str">
        <x:v>S4-AUDIT-04</x:v>
      </x:c>
      <x:c r="B118" s="28" t="str">
        <x:v>7.8,7.9</x:v>
      </x:c>
      <x:c r="C118" s="28" t="str">
        <x:v>Audit Records</x:v>
      </x:c>
      <x:c r="D118" s="28" t="str">
        <x:v>FR-18</x:v>
      </x:c>
      <x:c r="E118" s="28" t="str">
        <x:v>Critical</x:v>
      </x:c>
      <x:c r="F118" s="28" t="str">
        <x:v>Security</x:v>
      </x:c>
      <x:c r="G118" s="28" t="str">
        <x:v>Audit record excludes JWT values and secrets</x:v>
      </x:c>
      <x:c r="H118" s="28" t="str">
        <x:v>Audit record exists</x:v>
      </x:c>
      <x:c r="I118" s="28" t="str">
        <x:v>Inspect audit data.</x:v>
      </x:c>
      <x:c r="J118" s="28" t="str">
        <x:v>No JWT, API key, or secret value is stored.</x:v>
      </x:c>
      <x:c r="K118" s="28" t="str">
        <x:v>MD</x:v>
      </x:c>
      <x:c r="L118" s="28" t="str">
        <x:v>Not Run</x:v>
      </x:c>
      <x:c r="M118" s="28"/>
      <x:c r="N118" s="28" t="str"/>
      <x:c r="O118" s="28" t="str"/>
      <x:c r="P118" s="28" t="str"/>
      <x:c r="Q118" s="28" t="str">
        <x:v>Hybrid</x:v>
      </x:c>
      <x:c r="R118" s="28" t="str"/>
    </x:row>
    <x:row r="119">
      <x:c r="A119" s="28" t="str">
        <x:v>S4-AUDIT-05</x:v>
      </x:c>
      <x:c r="B119" s="28" t="str">
        <x:v>7.8,7.9</x:v>
      </x:c>
      <x:c r="C119" s="28" t="str">
        <x:v>Audit Records</x:v>
      </x:c>
      <x:c r="D119" s="28" t="str">
        <x:v>FR-18</x:v>
      </x:c>
      <x:c r="E119" s="28" t="str">
        <x:v>Critical</x:v>
      </x:c>
      <x:c r="F119" s="28" t="str">
        <x:v>Security</x:v>
      </x:c>
      <x:c r="G119" s="28" t="str">
        <x:v>Audit record avoids unnecessary Student private data</x:v>
      </x:c>
      <x:c r="H119" s="28" t="str">
        <x:v>Audit record exists</x:v>
      </x:c>
      <x:c r="I119" s="28" t="str">
        <x:v>Inspect audit data.</x:v>
      </x:c>
      <x:c r="J119" s="28" t="str">
        <x:v>Only approved audit data is retained.</x:v>
      </x:c>
      <x:c r="K119" s="28" t="str">
        <x:v>MD</x:v>
      </x:c>
      <x:c r="L119" s="28" t="str">
        <x:v>Not Run</x:v>
      </x:c>
      <x:c r="M119" s="28"/>
      <x:c r="N119" s="28" t="str"/>
      <x:c r="O119" s="28" t="str"/>
      <x:c r="P119" s="28" t="str"/>
      <x:c r="Q119" s="28" t="str">
        <x:v>Hybrid</x:v>
      </x:c>
      <x:c r="R119" s="28" t="str"/>
    </x:row>
    <x:row r="120">
      <x:c r="A120" s="28" t="str">
        <x:v>S4-AUDIT-06</x:v>
      </x:c>
      <x:c r="B120" s="28" t="str">
        <x:v>7.8,7.9</x:v>
      </x:c>
      <x:c r="C120" s="28" t="str">
        <x:v>Audit Records</x:v>
      </x:c>
      <x:c r="D120" s="28" t="str">
        <x:v>FR-18</x:v>
      </x:c>
      <x:c r="E120" s="28" t="str">
        <x:v>Critical</x:v>
      </x:c>
      <x:c r="F120" s="28" t="str">
        <x:v>Security</x:v>
      </x:c>
      <x:c r="G120" s="28" t="str">
        <x:v>Audit access follows permission model</x:v>
      </x:c>
      <x:c r="H120" s="28" t="str">
        <x:v>Student and Administrator accounts available</x:v>
      </x:c>
      <x:c r="I120" s="28" t="str">
        <x:v>Attempt audit access with both roles.</x:v>
      </x:c>
      <x:c r="J120" s="28" t="str">
        <x:v>Only the approved role has audit access.</x:v>
      </x:c>
      <x:c r="K120" s="28" t="str">
        <x:v>MD</x:v>
      </x:c>
      <x:c r="L120" s="28" t="str">
        <x:v>Not Run</x:v>
      </x:c>
      <x:c r="M120" s="28"/>
      <x:c r="N120" s="28" t="str"/>
      <x:c r="O120" s="28" t="str"/>
      <x:c r="P120" s="28" t="str"/>
      <x:c r="Q120" s="28" t="str">
        <x:v>Hybrid</x:v>
      </x:c>
      <x:c r="R120" s="28" t="str"/>
    </x:row>
    <x:row r="121">
      <x:c r="A121" s="28" t="str">
        <x:v>S4-FE-01</x:v>
      </x:c>
      <x:c r="B121" s="28" t="str">
        <x:v>7.5,7.9</x:v>
      </x:c>
      <x:c r="C121" s="28" t="str">
        <x:v>Frontend Quality</x:v>
      </x:c>
      <x:c r="D121" s="28" t="str">
        <x:v>NFR-02,NFR-10,NFR-11</x:v>
      </x:c>
      <x:c r="E121" s="28" t="str">
        <x:v>Medium</x:v>
      </x:c>
      <x:c r="F121" s="28" t="str">
        <x:v>Frontend</x:v>
      </x:c>
      <x:c r="G121" s="28" t="str">
        <x:v>Job Matching desktop layout</x:v>
      </x:c>
      <x:c r="H121" s="28" t="str">
        <x:v>Job Matching page available</x:v>
      </x:c>
      <x:c r="I121" s="28" t="str">
        <x:v>Check current desktop width.</x:v>
      </x:c>
      <x:c r="J121" s="28" t="str">
        <x:v>Content and actions remain readable and usable.</x:v>
      </x:c>
      <x:c r="K121" s="28" t="str">
        <x:v>Joyee</x:v>
      </x:c>
      <x:c r="L121" s="28" t="str">
        <x:v>Not Run</x:v>
      </x:c>
      <x:c r="M121" s="28" t="str"/>
      <x:c r="N121" s="28" t="str"/>
      <x:c r="O121" s="28" t="str"/>
      <x:c r="P121" s="28" t="str"/>
      <x:c r="Q121" s="28" t="str">
        <x:v>Manual</x:v>
      </x:c>
      <x:c r="R121" s="28" t="str"/>
    </x:row>
    <x:row r="122">
      <x:c r="A122" s="28" t="str">
        <x:v>S4-FE-02</x:v>
      </x:c>
      <x:c r="B122" s="28" t="str">
        <x:v>7.5,7.9</x:v>
      </x:c>
      <x:c r="C122" s="28" t="str">
        <x:v>Frontend Quality</x:v>
      </x:c>
      <x:c r="D122" s="28" t="str">
        <x:v>NFR-02,NFR-10,NFR-11</x:v>
      </x:c>
      <x:c r="E122" s="28" t="str">
        <x:v>Medium</x:v>
      </x:c>
      <x:c r="F122" s="28" t="str">
        <x:v>Frontend</x:v>
      </x:c>
      <x:c r="G122" s="28" t="str">
        <x:v>Job Matching tablet and mobile layout</x:v>
      </x:c>
      <x:c r="H122" s="28" t="str">
        <x:v>Job Matching page available</x:v>
      </x:c>
      <x:c r="I122" s="28" t="str">
        <x:v>Check representative tablet and mobile widths.</x:v>
      </x:c>
      <x:c r="J122" s="28" t="str">
        <x:v>Core controls and results remain usable without unintended overflow.</x:v>
      </x:c>
      <x:c r="K122" s="28" t="str">
        <x:v>Joyee</x:v>
      </x:c>
      <x:c r="L122" s="28" t="str">
        <x:v>Not Run</x:v>
      </x:c>
      <x:c r="M122" s="28" t="str"/>
      <x:c r="N122" s="28" t="str"/>
      <x:c r="O122" s="28" t="str"/>
      <x:c r="P122" s="28" t="str"/>
      <x:c r="Q122" s="28" t="str">
        <x:v>Manual</x:v>
      </x:c>
      <x:c r="R122" s="28" t="str"/>
    </x:row>
    <x:row r="123">
      <x:c r="A123" s="28" t="str">
        <x:v>S4-FE-03</x:v>
      </x:c>
      <x:c r="B123" s="28" t="str">
        <x:v>7.7,7.9</x:v>
      </x:c>
      <x:c r="C123" s="28" t="str">
        <x:v>Frontend Quality</x:v>
      </x:c>
      <x:c r="D123" s="28" t="str">
        <x:v>NFR-02,NFR-10,NFR-11</x:v>
      </x:c>
      <x:c r="E123" s="28" t="str">
        <x:v>Medium</x:v>
      </x:c>
      <x:c r="F123" s="28" t="str">
        <x:v>Frontend</x:v>
      </x:c>
      <x:c r="G123" s="28" t="str">
        <x:v>Admin Dashboard responsive layout</x:v>
      </x:c>
      <x:c r="H123" s="28" t="str">
        <x:v>WBS 7.7 integrated</x:v>
      </x:c>
      <x:c r="I123" s="28" t="str">
        <x:v>Check desktop, tablet, and mobile widths.</x:v>
      </x:c>
      <x:c r="J123" s="28" t="str">
        <x:v>Approved admin dashboard remains usable across planned widths.</x:v>
      </x:c>
      <x:c r="K123" s="28" t="str">
        <x:v>Joyee</x:v>
      </x:c>
      <x:c r="L123" s="28" t="str">
        <x:v>Blocked</x:v>
      </x:c>
      <x:c r="M123" s="28" t="str">
        <x:v>WBS 7.7</x:v>
      </x:c>
      <x:c r="N123" s="28" t="str"/>
      <x:c r="O123" s="28" t="str"/>
      <x:c r="P123" s="28" t="str"/>
      <x:c r="Q123" s="28" t="str">
        <x:v>Manual</x:v>
      </x:c>
      <x:c r="R123" s="28" t="str"/>
    </x:row>
    <x:row r="124">
      <x:c r="A124" s="28" t="str">
        <x:v>S4-FE-04</x:v>
      </x:c>
      <x:c r="B124" s="28" t="str">
        <x:v>7.9</x:v>
      </x:c>
      <x:c r="C124" s="28" t="str">
        <x:v>Frontend Quality</x:v>
      </x:c>
      <x:c r="D124" s="28" t="str">
        <x:v>NFR-02,NFR-10,NFR-11</x:v>
      </x:c>
      <x:c r="E124" s="28" t="str">
        <x:v>Medium</x:v>
      </x:c>
      <x:c r="F124" s="28" t="str">
        <x:v>Frontend</x:v>
      </x:c>
      <x:c r="G124" s="28" t="str">
        <x:v>Keyboard access for Sprint 4 forms</x:v>
      </x:c>
      <x:c r="H124" s="28" t="str">
        <x:v>Relevant Sprint 4 forms available</x:v>
      </x:c>
      <x:c r="I124" s="28" t="str">
        <x:v>Navigate controls using keyboard only.</x:v>
      </x:c>
      <x:c r="J124" s="28" t="str">
        <x:v>Interactive controls are reachable in a logical order.</x:v>
      </x:c>
      <x:c r="K124" s="28" t="str">
        <x:v>Joyee</x:v>
      </x:c>
      <x:c r="L124" s="28" t="str">
        <x:v>Not Run</x:v>
      </x:c>
      <x:c r="M124" s="28" t="str"/>
      <x:c r="N124" s="28" t="str"/>
      <x:c r="O124" s="28" t="str"/>
      <x:c r="P124" s="28" t="str"/>
      <x:c r="Q124" s="28" t="str">
        <x:v>Manual</x:v>
      </x:c>
      <x:c r="R124" s="28" t="str"/>
    </x:row>
    <x:row r="125">
      <x:c r="A125" s="28" t="str">
        <x:v>S4-FE-05</x:v>
      </x:c>
      <x:c r="B125" s="28" t="str">
        <x:v>7.9</x:v>
      </x:c>
      <x:c r="C125" s="28" t="str">
        <x:v>Frontend Quality</x:v>
      </x:c>
      <x:c r="D125" s="28" t="str">
        <x:v>NFR-02,NFR-10,NFR-11</x:v>
      </x:c>
      <x:c r="E125" s="28" t="str">
        <x:v>Medium</x:v>
      </x:c>
      <x:c r="F125" s="28" t="str">
        <x:v>Frontend</x:v>
      </x:c>
      <x:c r="G125" s="28" t="str">
        <x:v>Form labels and validation feedback</x:v>
      </x:c>
      <x:c r="H125" s="28" t="str">
        <x:v>Sprint 4 form available</x:v>
      </x:c>
      <x:c r="I125" s="28" t="str">
        <x:v>Inspect labels and trigger validation.</x:v>
      </x:c>
      <x:c r="J125" s="28" t="str">
        <x:v>Inputs have meaningful labels and useful validation feedback.</x:v>
      </x:c>
      <x:c r="K125" s="28" t="str">
        <x:v>Joyee</x:v>
      </x:c>
      <x:c r="L125" s="28" t="str">
        <x:v>Not Run</x:v>
      </x:c>
      <x:c r="M125" s="28" t="str"/>
      <x:c r="N125" s="28" t="str"/>
      <x:c r="O125" s="28" t="str"/>
      <x:c r="P125" s="28" t="str"/>
      <x:c r="Q125" s="28" t="str">
        <x:v>Manual</x:v>
      </x:c>
      <x:c r="R125" s="28" t="str"/>
    </x:row>
    <x:row r="126">
      <x:c r="A126" s="28" t="str">
        <x:v>S4-FE-06</x:v>
      </x:c>
      <x:c r="B126" s="28" t="str">
        <x:v>7.9</x:v>
      </x:c>
      <x:c r="C126" s="28" t="str">
        <x:v>Frontend Quality</x:v>
      </x:c>
      <x:c r="D126" s="28" t="str">
        <x:v>NFR-02,NFR-10,NFR-11</x:v>
      </x:c>
      <x:c r="E126" s="28" t="str">
        <x:v>Medium</x:v>
      </x:c>
      <x:c r="F126" s="28" t="str">
        <x:v>Frontend</x:v>
      </x:c>
      <x:c r="G126" s="28" t="str">
        <x:v>Current Chrome compatibility</x:v>
      </x:c>
      <x:c r="H126" s="28" t="str">
        <x:v>Integrated Sprint 4 baseline ready</x:v>
      </x:c>
      <x:c r="I126" s="28" t="str">
        <x:v>Execute core Sprint 4 smoke flow in Chrome.</x:v>
      </x:c>
      <x:c r="J126" s="28" t="str">
        <x:v>Core flow works in current Chrome.</x:v>
      </x:c>
      <x:c r="K126" s="28" t="str">
        <x:v>Joyee</x:v>
      </x:c>
      <x:c r="L126" s="28" t="str">
        <x:v>Blocked</x:v>
      </x:c>
      <x:c r="M126" s="28" t="str">
        <x:v>WBS 7.7 integration gate</x:v>
      </x:c>
      <x:c r="N126" s="28" t="str"/>
      <x:c r="O126" s="28" t="str"/>
      <x:c r="P126" s="28" t="str"/>
      <x:c r="Q126" s="28" t="str">
        <x:v>Manual</x:v>
      </x:c>
      <x:c r="R126" s="28" t="str"/>
    </x:row>
    <x:row r="127">
      <x:c r="A127" s="28" t="str">
        <x:v>S4-FE-07</x:v>
      </x:c>
      <x:c r="B127" s="28" t="str">
        <x:v>7.9</x:v>
      </x:c>
      <x:c r="C127" s="28" t="str">
        <x:v>Frontend Quality</x:v>
      </x:c>
      <x:c r="D127" s="28" t="str">
        <x:v>NFR-02,NFR-10,NFR-11</x:v>
      </x:c>
      <x:c r="E127" s="28" t="str">
        <x:v>Medium</x:v>
      </x:c>
      <x:c r="F127" s="28" t="str">
        <x:v>Frontend</x:v>
      </x:c>
      <x:c r="G127" s="28" t="str">
        <x:v>Current Edge compatibility</x:v>
      </x:c>
      <x:c r="H127" s="28" t="str">
        <x:v>Integrated Sprint 4 baseline ready</x:v>
      </x:c>
      <x:c r="I127" s="28" t="str">
        <x:v>Execute core Sprint 4 smoke flow in Edge.</x:v>
      </x:c>
      <x:c r="J127" s="28" t="str">
        <x:v>Core flow works in current Edge.</x:v>
      </x:c>
      <x:c r="K127" s="28" t="str">
        <x:v>Joyee</x:v>
      </x:c>
      <x:c r="L127" s="28" t="str">
        <x:v>Blocked</x:v>
      </x:c>
      <x:c r="M127" s="28" t="str">
        <x:v>WBS 7.7 integration gate</x:v>
      </x:c>
      <x:c r="N127" s="28" t="str"/>
      <x:c r="O127" s="28" t="str"/>
      <x:c r="P127" s="28" t="str"/>
      <x:c r="Q127" s="28" t="str">
        <x:v>Manual</x:v>
      </x:c>
      <x:c r="R127" s="28" t="str"/>
    </x:row>
    <x:row r="128">
      <x:c r="A128" s="28" t="str">
        <x:v>S4-FE-08</x:v>
      </x:c>
      <x:c r="B128" s="28" t="str">
        <x:v>7.9</x:v>
      </x:c>
      <x:c r="C128" s="28" t="str">
        <x:v>Frontend Quality</x:v>
      </x:c>
      <x:c r="D128" s="28" t="str">
        <x:v>NFR-02,NFR-10,NFR-11</x:v>
      </x:c>
      <x:c r="E128" s="28" t="str">
        <x:v>Medium</x:v>
      </x:c>
      <x:c r="F128" s="28" t="str">
        <x:v>Frontend</x:v>
      </x:c>
      <x:c r="G128" s="28" t="str">
        <x:v>Current Firefox compatibility</x:v>
      </x:c>
      <x:c r="H128" s="28" t="str">
        <x:v>Integrated Sprint 4 baseline ready</x:v>
      </x:c>
      <x:c r="I128" s="28" t="str">
        <x:v>Execute core Sprint 4 smoke flow in Firefox.</x:v>
      </x:c>
      <x:c r="J128" s="28" t="str">
        <x:v>Core flow works in current Firefox.</x:v>
      </x:c>
      <x:c r="K128" s="28" t="str">
        <x:v>Joyee</x:v>
      </x:c>
      <x:c r="L128" s="28" t="str">
        <x:v>Blocked</x:v>
      </x:c>
      <x:c r="M128" s="28" t="str">
        <x:v>WBS 7.7 integration gate</x:v>
      </x:c>
      <x:c r="N128" s="28" t="str"/>
      <x:c r="O128" s="28" t="str"/>
      <x:c r="P128" s="28" t="str"/>
      <x:c r="Q128" s="28" t="str">
        <x:v>Manual</x:v>
      </x:c>
      <x:c r="R128" s="28" t="str"/>
    </x:row>
    <x:row r="129">
      <x:c r="A129" s="28" t="str">
        <x:v>S4-REG-01</x:v>
      </x:c>
      <x:c r="B129" s="28" t="str">
        <x:v>7.9</x:v>
      </x:c>
      <x:c r="C129" s="28" t="str">
        <x:v>Cross-Sprint Regression</x:v>
      </x:c>
      <x:c r="D129" s="28" t="str">
        <x:v>NFR-12</x:v>
      </x:c>
      <x:c r="E129" s="28" t="str">
        <x:v>High</x:v>
      </x:c>
      <x:c r="F129" s="28" t="str">
        <x:v>Regression</x:v>
      </x:c>
      <x:c r="G129" s="28" t="str">
        <x:v>Sprint 1 authentication regression</x:v>
      </x:c>
      <x:c r="H129" s="28" t="str">
        <x:v>Integrated Sprint 4 baseline ready</x:v>
      </x:c>
      <x:c r="I129" s="28" t="str">
        <x:v>Execute approved Sprint 1 authentication smoke set.</x:v>
      </x:c>
      <x:c r="J129" s="28" t="str">
        <x:v>Core authentication remains working.</x:v>
      </x:c>
      <x:c r="K129" s="28" t="str">
        <x:v>Jerald</x:v>
      </x:c>
      <x:c r="L129" s="28" t="str">
        <x:v>Blocked</x:v>
      </x:c>
      <x:c r="M129" s="28" t="str">
        <x:v>WBS 7.7 integration gate</x:v>
      </x:c>
      <x:c r="N129" s="28" t="str"/>
      <x:c r="O129" s="28" t="str"/>
      <x:c r="P129" s="28" t="str"/>
      <x:c r="Q129" s="28" t="str">
        <x:v>Hybrid</x:v>
      </x:c>
      <x:c r="R129" s="28" t="str"/>
    </x:row>
    <x:row r="130">
      <x:c r="A130" s="28" t="str">
        <x:v>S4-REG-02</x:v>
      </x:c>
      <x:c r="B130" s="28" t="str">
        <x:v>7.9</x:v>
      </x:c>
      <x:c r="C130" s="28" t="str">
        <x:v>Cross-Sprint Regression</x:v>
      </x:c>
      <x:c r="D130" s="28" t="str">
        <x:v>NFR-12</x:v>
      </x:c>
      <x:c r="E130" s="28" t="str">
        <x:v>High</x:v>
      </x:c>
      <x:c r="F130" s="28" t="str">
        <x:v>Regression</x:v>
      </x:c>
      <x:c r="G130" s="28" t="str">
        <x:v>Sprint 1 Student Profile regression</x:v>
      </x:c>
      <x:c r="H130" s="28" t="str">
        <x:v>Integrated Sprint 4 baseline ready</x:v>
      </x:c>
      <x:c r="I130" s="28" t="str">
        <x:v>Execute approved Student Profile smoke set.</x:v>
      </x:c>
      <x:c r="J130" s="28" t="str">
        <x:v>Core Student Profile remains working.</x:v>
      </x:c>
      <x:c r="K130" s="28" t="str">
        <x:v>MD</x:v>
      </x:c>
      <x:c r="L130" s="28" t="str">
        <x:v>Blocked</x:v>
      </x:c>
      <x:c r="M130" s="28" t="str">
        <x:v>WBS 7.7 integration gate</x:v>
      </x:c>
      <x:c r="N130" s="28" t="str"/>
      <x:c r="O130" s="28" t="str"/>
      <x:c r="P130" s="28" t="str"/>
      <x:c r="Q130" s="28" t="str">
        <x:v>Hybrid</x:v>
      </x:c>
      <x:c r="R130" s="28" t="str"/>
    </x:row>
    <x:row r="131">
      <x:c r="A131" s="28" t="str">
        <x:v>S4-REG-03</x:v>
      </x:c>
      <x:c r="B131" s="28" t="str">
        <x:v>7.9</x:v>
      </x:c>
      <x:c r="C131" s="28" t="str">
        <x:v>Cross-Sprint Regression</x:v>
      </x:c>
      <x:c r="D131" s="28" t="str">
        <x:v>NFR-12</x:v>
      </x:c>
      <x:c r="E131" s="28" t="str">
        <x:v>High</x:v>
      </x:c>
      <x:c r="F131" s="28" t="str">
        <x:v>Regression</x:v>
      </x:c>
      <x:c r="G131" s="28" t="str">
        <x:v>Sprint 2 career-analysis regression</x:v>
      </x:c>
      <x:c r="H131" s="28" t="str">
        <x:v>Integrated Sprint 4 baseline ready</x:v>
      </x:c>
      <x:c r="I131" s="28" t="str">
        <x:v>Execute approved Career Recommendation, Skill Gap, Readiness, Learning, and Roadmap smoke set.</x:v>
      </x:c>
      <x:c r="J131" s="28" t="str">
        <x:v>Core Sprint 2 career-analysis functions remain working.</x:v>
      </x:c>
      <x:c r="K131" s="28" t="str">
        <x:v>Jerald</x:v>
      </x:c>
      <x:c r="L131" s="28" t="str">
        <x:v>Blocked</x:v>
      </x:c>
      <x:c r="M131" s="28" t="str">
        <x:v>WBS 7.7 integration gate</x:v>
      </x:c>
      <x:c r="N131" s="28" t="str"/>
      <x:c r="O131" s="28" t="str"/>
      <x:c r="P131" s="28" t="str"/>
      <x:c r="Q131" s="28" t="str">
        <x:v>Hybrid</x:v>
      </x:c>
      <x:c r="R131" s="28" t="str"/>
    </x:row>
    <x:row r="132">
      <x:c r="A132" s="28" t="str">
        <x:v>S4-REG-04</x:v>
      </x:c>
      <x:c r="B132" s="28" t="str">
        <x:v>7.9</x:v>
      </x:c>
      <x:c r="C132" s="28" t="str">
        <x:v>Cross-Sprint Regression</x:v>
      </x:c>
      <x:c r="D132" s="28" t="str">
        <x:v>NFR-12</x:v>
      </x:c>
      <x:c r="E132" s="28" t="str">
        <x:v>High</x:v>
      </x:c>
      <x:c r="F132" s="28" t="str">
        <x:v>Regression</x:v>
      </x:c>
      <x:c r="G132" s="28" t="str">
        <x:v>Sprint 3 document regression</x:v>
      </x:c>
      <x:c r="H132" s="28" t="str">
        <x:v>Integrated Sprint 4 baseline ready</x:v>
      </x:c>
      <x:c r="I132" s="28" t="str">
        <x:v>Execute approved Resume and Cover Letter smoke set.</x:v>
      </x:c>
      <x:c r="J132" s="28" t="str">
        <x:v>Core document flows remain working.</x:v>
      </x:c>
      <x:c r="K132" s="28" t="str">
        <x:v>MD</x:v>
      </x:c>
      <x:c r="L132" s="28" t="str">
        <x:v>Blocked</x:v>
      </x:c>
      <x:c r="M132" s="28" t="str">
        <x:v>WBS 7.7 integration gate</x:v>
      </x:c>
      <x:c r="N132" s="28" t="str"/>
      <x:c r="O132" s="28" t="str"/>
      <x:c r="P132" s="28" t="str"/>
      <x:c r="Q132" s="28" t="str">
        <x:v>Hybrid</x:v>
      </x:c>
      <x:c r="R132" s="28" t="str"/>
    </x:row>
    <x:row r="133">
      <x:c r="A133" s="28" t="str">
        <x:v>S4-REG-05</x:v>
      </x:c>
      <x:c r="B133" s="28" t="str">
        <x:v>7.9</x:v>
      </x:c>
      <x:c r="C133" s="28" t="str">
        <x:v>Cross-Sprint Regression</x:v>
      </x:c>
      <x:c r="D133" s="28" t="str">
        <x:v>NFR-12</x:v>
      </x:c>
      <x:c r="E133" s="28" t="str">
        <x:v>High</x:v>
      </x:c>
      <x:c r="F133" s="28" t="str">
        <x:v>Regression</x:v>
      </x:c>
      <x:c r="G133" s="28" t="str">
        <x:v>Sprint 3 Interview regression</x:v>
      </x:c>
      <x:c r="H133" s="28" t="str">
        <x:v>Integrated Sprint 4 baseline ready</x:v>
      </x:c>
      <x:c r="I133" s="28" t="str">
        <x:v>Execute approved Interview Question and Feedback smoke set.</x:v>
      </x:c>
      <x:c r="J133" s="28" t="str">
        <x:v>Core Interview flow remains working.</x:v>
      </x:c>
      <x:c r="K133" s="28" t="str">
        <x:v>Jerald</x:v>
      </x:c>
      <x:c r="L133" s="28" t="str">
        <x:v>Blocked</x:v>
      </x:c>
      <x:c r="M133" s="28" t="str">
        <x:v>WBS 7.7 integration gate</x:v>
      </x:c>
      <x:c r="N133" s="28" t="str"/>
      <x:c r="O133" s="28" t="str"/>
      <x:c r="P133" s="28" t="str"/>
      <x:c r="Q133" s="28" t="str">
        <x:v>Hybrid</x:v>
      </x:c>
      <x:c r="R133" s="28" t="str"/>
    </x:row>
    <x:row r="134">
      <x:c r="A134" s="28" t="str">
        <x:v>S4-REG-06</x:v>
      </x:c>
      <x:c r="B134" s="28" t="str">
        <x:v>7.9</x:v>
      </x:c>
      <x:c r="C134" s="28" t="str">
        <x:v>Cross-Sprint Regression</x:v>
      </x:c>
      <x:c r="D134" s="28" t="str">
        <x:v>NFR-12</x:v>
      </x:c>
      <x:c r="E134" s="28" t="str">
        <x:v>High</x:v>
      </x:c>
      <x:c r="F134" s="28" t="str">
        <x:v>Regression</x:v>
      </x:c>
      <x:c r="G134" s="28" t="str">
        <x:v>Feature-complete Sprint 4 end-to-end smoke</x:v>
      </x:c>
      <x:c r="H134" s="28" t="str">
        <x:v>All WBS 7.9 predecessors merged and no Critical blocker</x:v>
      </x:c>
      <x:c r="I134" s="28" t="str">
        <x:v>Run Student and Administrator core Sprint 4 flows from authentication through final result.</x:v>
      </x:c>
      <x:c r="J134" s="28" t="str">
        <x:v>Core Sprint 4 integrated increment works without unresolved Critical or High blocking defect.</x:v>
      </x:c>
      <x:c r="K134" s="28" t="str">
        <x:v>Jerald</x:v>
      </x:c>
      <x:c r="L134" s="28" t="str">
        <x:v>Blocked</x:v>
      </x:c>
      <x:c r="M134" s="28" t="str">
        <x:v>WBS 7.7 integration gate</x:v>
      </x:c>
      <x:c r="N134" s="28" t="str"/>
      <x:c r="O134" s="28" t="str"/>
      <x:c r="P134" s="28" t="str"/>
      <x:c r="Q134" s="28" t="str">
        <x:v>Hybrid</x:v>
      </x:c>
      <x:c r="R134" s="28" t="str"/>
    </x:row>
  </x:sheetData>
  <x:mergeCells>
    <x:mergeCell ref="A1:R1"/>
    <x:mergeCell ref="A2:R2"/>
  </x:mergeCells>
  <x:conditionalFormatting sqref="L6:L134">
    <x:cfRule type="expression" dxfId="0" priority="1">
      <x:formula>L6="Pass"</x:formula>
    </x:cfRule>
    <x:cfRule type="expression" dxfId="1" priority="2">
      <x:formula>L6="Fail"</x:formula>
    </x:cfRule>
    <x:cfRule type="expression" dxfId="2" priority="3">
      <x:formula>L6="Blocked"</x:formula>
    </x:cfRule>
    <x:cfRule type="expression" dxfId="3" priority="4">
      <x:formula>L6="Not Run"</x:formula>
    </x:cfRule>
    <x:cfRule type="expression" dxfId="4" priority="5">
      <x:formula>L6="Retest"</x:formula>
    </x:cfRule>
  </x:conditionalFormatting>
  <x:dataValidations count="5">
    <x:dataValidation type="list" sqref="E6:E134">
      <x:formula1>"Critical,High,Medium,Low"</x:formula1>
    </x:dataValidation>
    <x:dataValidation type="list" sqref="F6:F134">
      <x:formula1>"Unit,Schema,API,Integration,Permission,Security,Frontend,Regression"</x:formula1>
    </x:dataValidation>
    <x:dataValidation type="list" sqref="K6:K134">
      <x:formula1>"Jerald,MD,Joyee"</x:formula1>
    </x:dataValidation>
    <x:dataValidation type="list" sqref="L6:L134">
      <x:formula1>"Pass,Fail,Blocked,Not Run,Retest"</x:formula1>
    </x:dataValidation>
    <x:dataValidation type="list" sqref="Q6:Q134">
      <x:formula1>"Automated,Manual,Hybrid"</x:formula1>
    </x:dataValidation>
  </x:dataValidations>
  <x:pageMargins left="0.7" right="0.7" top="0.75" bottom="0.75" header="0.3" footer="0.3"/>
  <x:tableParts count="1">
    <x:tablePart xmlns:r="http://schemas.openxmlformats.org/officeDocument/2006/relationships" r:id="R97499131a937459d"/>
  </x:tableParts>
</x:worksheet>
</file>

<file path=xl/worksheets/sheet3.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24" hidden="0" customWidth="1"/>
    <x:col min="5" max="5" width="42" hidden="0" customWidth="1"/>
    <x:col min="6" max="6" width="38" hidden="0" customWidth="1"/>
    <x:col min="7" max="7" width="16" hidden="0" customWidth="1"/>
    <x:col min="8" max="8" width="12" hidden="0" customWidth="1"/>
    <x:col min="9" max="9" width="16" hidden="0" customWidth="1"/>
    <x:col min="10" max="10" width="28" hidden="0" customWidth="1"/>
  </x:cols>
  <x:sheetData>
    <x:row r="1">
      <x:c r="A1" s="5" t="str">
        <x:v>GradNavi Sprint 4 Evidence Index</x:v>
      </x:c>
      <x:c r="B1" s="5"/>
      <x:c r="C1" s="5"/>
      <x:c r="D1" s="5"/>
      <x:c r="E1" s="5"/>
      <x:c r="F1" s="5"/>
      <x:c r="G1" s="5"/>
      <x:c r="H1" s="5"/>
      <x:c r="I1" s="5"/>
      <x:c r="J1" s="5"/>
    </x:row>
    <x:row r="2">
      <x:c r="A2" s="13" t="str">
        <x:v>Planned evidence locations for WBS 7.9. Evidence is captured only after a related test is executed.</x:v>
      </x:c>
      <x:c r="B2" s="13"/>
      <x:c r="C2" s="13"/>
      <x:c r="D2" s="13"/>
      <x:c r="E2" s="13"/>
      <x:c r="F2" s="13"/>
      <x:c r="G2" s="13"/>
      <x:c r="H2" s="13"/>
      <x:c r="I2" s="13"/>
      <x:c r="J2" s="13"/>
    </x:row>
    <x:row r="5">
      <x:c r="A5" s="22" t="str">
        <x:v>Evidence ID</x:v>
      </x:c>
      <x:c r="B5" s="22" t="str">
        <x:v>Related Test IDs</x:v>
      </x:c>
      <x:c r="C5" s="22" t="str">
        <x:v>WBS</x:v>
      </x:c>
      <x:c r="D5" s="22" t="str">
        <x:v>Evidence Type</x:v>
      </x:c>
      <x:c r="E5" s="22" t="str">
        <x:v>Description</x:v>
      </x:c>
      <x:c r="F5" s="22" t="str">
        <x:v>Repository Path / Planned File</x:v>
      </x:c>
      <x:c r="G5" s="22" t="str">
        <x:v>Owner</x:v>
      </x:c>
      <x:c r="H5" s="22" t="str">
        <x:v>Status</x:v>
      </x:c>
      <x:c r="I5" s="22" t="str">
        <x:v>Captured Date</x:v>
      </x:c>
      <x:c r="J5" s="22" t="str">
        <x:v>Notes</x:v>
      </x:c>
    </x:row>
    <x:row r="6">
      <x:c r="A6" s="28" t="str">
        <x:v>S4-EV-ENV-001</x:v>
      </x:c>
      <x:c r="B6" s="28" t="str">
        <x:v>S4-ENV-01 to S4-ENV-07</x:v>
      </x:c>
      <x:c r="C6" s="28" t="str">
        <x:v>7.9</x:v>
      </x:c>
      <x:c r="D6" s="28" t="str">
        <x:v>Terminal / automated output</x:v>
      </x:c>
      <x:c r="E6" s="28" t="str">
        <x:v>Environment, Django, migration, backend, lint, build and baseline verification evidence</x:v>
      </x:c>
      <x:c r="F6" s="28" t="str">
        <x:v>docs/testing/evidence/sprint-4/</x:v>
      </x:c>
      <x:c r="G6" s="28" t="str">
        <x:v>All Members</x:v>
      </x:c>
      <x:c r="H6" s="28" t="str">
        <x:v>Planned</x:v>
      </x:c>
      <x:c r="I6" s="28" t="str"/>
      <x:c r="J6" s="28" t="str"/>
    </x:row>
    <x:row r="7">
      <x:c r="A7" s="28" t="str">
        <x:v>S4-EV-JOB-001</x:v>
      </x:c>
      <x:c r="B7" s="28" t="str">
        <x:v>S4-JOB-01 to S4-JOB-15</x:v>
      </x:c>
      <x:c r="C7" s="28" t="str">
        <x:v>7.9</x:v>
      </x:c>
      <x:c r="D7" s="28" t="str">
        <x:v>Screenshots + API evidence</x:v>
      </x:c>
      <x:c r="E7" s="28" t="str">
        <x:v>Job Matching integration and handoff evidence</x:v>
      </x:c>
      <x:c r="F7" s="28" t="str">
        <x:v>docs/testing/evidence/sprint-4/</x:v>
      </x:c>
      <x:c r="G7" s="28" t="str">
        <x:v>All Members</x:v>
      </x:c>
      <x:c r="H7" s="28" t="str">
        <x:v>In Progress</x:v>
      </x:c>
      <x:c r="I7" s="28" t="str">
        <x:v>2026-09-30</x:v>
      </x:c>
      <x:c r="J7" s="28" t="str">
        <x:v>Detailed captured evidence entries for completed Job Matching tests are listed below.</x:v>
      </x:c>
    </x:row>
    <x:row r="8">
      <x:c r="A8" s="28" t="str">
        <x:v>S4-EV-AI-001</x:v>
      </x:c>
      <x:c r="B8" s="28" t="str">
        <x:v>S4-AI-01 to S4-AI-12</x:v>
      </x:c>
      <x:c r="C8" s="28" t="str">
        <x:v>7.4,7.9</x:v>
      </x:c>
      <x:c r="D8" s="28" t="str">
        <x:v>Automated output</x:v>
      </x:c>
      <x:c r="E8" s="28" t="str">
        <x:v>AI response validation and controlled provider failure evidence</x:v>
      </x:c>
      <x:c r="F8" s="28" t="str">
        <x:v>docs/testing/evidence/sprint-4/</x:v>
      </x:c>
      <x:c r="G8" s="28" t="str">
        <x:v>Jerald</x:v>
      </x:c>
      <x:c r="H8" s="28" t="str">
        <x:v>Captured</x:v>
      </x:c>
      <x:c r="I8" s="28" t="str">
        <x:v>2026-09-30</x:v>
      </x:c>
      <x:c r="J8" s="28" t="str">
        <x:v>All S4-AI-01 to S4-AI-12 cases assigned to Jerald have been executed and passed.</x:v>
      </x:c>
    </x:row>
    <x:row r="9">
      <x:c r="A9" s="28" t="str">
        <x:v>S4-EV-DOC-001</x:v>
      </x:c>
      <x:c r="B9" s="28" t="str">
        <x:v>S4-RESUME-01 to S4-COVER-07</x:v>
      </x:c>
      <x:c r="C9" s="28" t="str">
        <x:v>7.9</x:v>
      </x:c>
      <x:c r="D9" s="28" t="str">
        <x:v>Screenshots + automated output</x:v>
      </x:c>
      <x:c r="E9" s="28" t="str">
        <x:v>Resume and Cover Letter integration evidence</x:v>
      </x:c>
      <x:c r="F9" s="28" t="str">
        <x:v>docs/testing/evidence/sprint-4/</x:v>
      </x:c>
      <x:c r="G9" s="28" t="str">
        <x:v>All Members</x:v>
      </x:c>
      <x:c r="H9" s="28" t="str">
        <x:v>In Progress</x:v>
      </x:c>
      <x:c r="I9" s="28" t="str">
        <x:v>2026-09-30</x:v>
      </x:c>
      <x:c r="J9" s="28" t="str">
        <x:v>Jerald-owned Resume and Cover Letter failure-path tests are captured. Other assigned document tests remain Not Run.</x:v>
      </x:c>
    </x:row>
    <x:row r="10">
      <x:c r="A10" s="28" t="str">
        <x:v>S4-EV-INT-001</x:v>
      </x:c>
      <x:c r="B10" s="28" t="str">
        <x:v>S4-INT-01 to S4-INT-09</x:v>
      </x:c>
      <x:c r="C10" s="28" t="str">
        <x:v>7.9</x:v>
      </x:c>
      <x:c r="D10" s="28" t="str">
        <x:v>Screenshots + automated output</x:v>
      </x:c>
      <x:c r="E10" s="28" t="str">
        <x:v>Interview Questions and Feedback integration evidence</x:v>
      </x:c>
      <x:c r="F10" s="28" t="str">
        <x:v>docs/testing/evidence/sprint-4/</x:v>
      </x:c>
      <x:c r="G10" s="28" t="str">
        <x:v>All Members</x:v>
      </x:c>
      <x:c r="H10" s="28" t="str">
        <x:v>In Progress</x:v>
      </x:c>
      <x:c r="I10" s="28" t="str">
        <x:v>2026-09-30</x:v>
      </x:c>
      <x:c r="J10" s="28" t="str">
        <x:v>Jerald-owned Interview API and validation tests are captured. Joyee-owned UI tests remain Not Run.</x:v>
      </x:c>
    </x:row>
    <x:row r="11">
      <x:c r="A11" s="28" t="str">
        <x:v>S4-EV-ADMIN-001</x:v>
      </x:c>
      <x:c r="B11" s="28" t="str">
        <x:v>S4-ADMINAPI-01 to S4-ADMINAPI-10</x:v>
      </x:c>
      <x:c r="C11" s="28" t="str">
        <x:v>7.6,7.9</x:v>
      </x:c>
      <x:c r="D11" s="28" t="str">
        <x:v>API / automated output</x:v>
      </x:c>
      <x:c r="E11" s="28" t="str">
        <x:v>Administration API integration evidence</x:v>
      </x:c>
      <x:c r="F11" s="28" t="str">
        <x:v>docs/testing/evidence/sprint-4/</x:v>
      </x:c>
      <x:c r="G11" s="28" t="str">
        <x:v>All Members</x:v>
      </x:c>
      <x:c r="H11" s="28" t="str">
        <x:v>Planned</x:v>
      </x:c>
      <x:c r="I11" s="28"/>
      <x:c r="J11" s="28" t="str">
        <x:v>WBS 7.6 is integrated. Admin API tests are ready for execution.</x:v>
      </x:c>
    </x:row>
    <x:row r="12">
      <x:c r="A12" s="28" t="str">
        <x:v>S4-EV-ADMINUI-001</x:v>
      </x:c>
      <x:c r="B12" s="28" t="str">
        <x:v>S4-ADMINUI-01 to S4-ADMINUI-08</x:v>
      </x:c>
      <x:c r="C12" s="28" t="str">
        <x:v>7.7,7.9</x:v>
      </x:c>
      <x:c r="D12" s="28" t="str">
        <x:v>Screenshots</x:v>
      </x:c>
      <x:c r="E12" s="28" t="str">
        <x:v>Admin Dashboard integration evidence</x:v>
      </x:c>
      <x:c r="F12" s="28" t="str">
        <x:v>docs/testing/evidence/sprint-4/</x:v>
      </x:c>
      <x:c r="G12" s="28" t="str">
        <x:v>All Members</x:v>
      </x:c>
      <x:c r="H12" s="28" t="str">
        <x:v>Blocked</x:v>
      </x:c>
      <x:c r="I12" s="28"/>
      <x:c r="J12" s="28" t="str">
        <x:v>WBS 7.7 remains in progress. Admin Dashboard UI evidence stays blocked.</x:v>
      </x:c>
    </x:row>
    <x:row r="13">
      <x:c r="A13" s="28" t="str">
        <x:v>S4-EV-PERM-001</x:v>
      </x:c>
      <x:c r="B13" s="28" t="str">
        <x:v>S4-PERM-01 to S4-PERM-06</x:v>
      </x:c>
      <x:c r="C13" s="28" t="str">
        <x:v>7.8,7.9</x:v>
      </x:c>
      <x:c r="D13" s="28" t="str">
        <x:v>API / automated output</x:v>
      </x:c>
      <x:c r="E13" s="28" t="str">
        <x:v>Role permission enforcement evidence</x:v>
      </x:c>
      <x:c r="F13" s="28" t="str">
        <x:v>docs/testing/evidence/sprint-4/</x:v>
      </x:c>
      <x:c r="G13" s="28" t="str">
        <x:v>All Members</x:v>
      </x:c>
      <x:c r="H13" s="28" t="str">
        <x:v>Planned</x:v>
      </x:c>
      <x:c r="I13" s="28"/>
      <x:c r="J13" s="28" t="str">
        <x:v>WBS 7.8 is integrated. Role Permission tests are ready for execution.</x:v>
      </x:c>
    </x:row>
    <x:row r="14">
      <x:c r="A14" s="28" t="str">
        <x:v>S4-EV-AUDIT-001</x:v>
      </x:c>
      <x:c r="B14" s="28" t="str">
        <x:v>S4-AUDIT-01 to S4-AUDIT-06</x:v>
      </x:c>
      <x:c r="C14" s="28" t="str">
        <x:v>7.8,7.9</x:v>
      </x:c>
      <x:c r="D14" s="28" t="str">
        <x:v>Database / API evidence</x:v>
      </x:c>
      <x:c r="E14" s="28" t="str">
        <x:v>Audit record creation, content and permission evidence</x:v>
      </x:c>
      <x:c r="F14" s="28" t="str">
        <x:v>docs/testing/evidence/sprint-4/</x:v>
      </x:c>
      <x:c r="G14" s="28" t="str">
        <x:v>All Members</x:v>
      </x:c>
      <x:c r="H14" s="28" t="str">
        <x:v>Planned</x:v>
      </x:c>
      <x:c r="I14" s="28"/>
      <x:c r="J14" s="28" t="str">
        <x:v>WBS 7.8 is integrated. Audit Record tests are ready for execution.</x:v>
      </x:c>
    </x:row>
    <x:row r="15">
      <x:c r="A15" s="28" t="str">
        <x:v>S4-EV-FE-001</x:v>
      </x:c>
      <x:c r="B15" s="28" t="str">
        <x:v>S4-FE-01 to S4-FE-08</x:v>
      </x:c>
      <x:c r="C15" s="28" t="str">
        <x:v>7.9</x:v>
      </x:c>
      <x:c r="D15" s="28" t="str">
        <x:v>Screenshots / browser checklist</x:v>
      </x:c>
      <x:c r="E15" s="28" t="str">
        <x:v>Responsive, keyboard and browser compatibility evidence</x:v>
      </x:c>
      <x:c r="F15" s="28" t="str">
        <x:v>docs/testing/evidence/sprint-4/</x:v>
      </x:c>
      <x:c r="G15" s="28" t="str">
        <x:v>All Members</x:v>
      </x:c>
      <x:c r="H15" s="28" t="str">
        <x:v>Planned</x:v>
      </x:c>
      <x:c r="I15" s="28" t="str"/>
      <x:c r="J15" s="28" t="str"/>
    </x:row>
    <x:row r="16">
      <x:c r="A16" s="28" t="str">
        <x:v>S4-EV-REG-001</x:v>
      </x:c>
      <x:c r="B16" s="28" t="str">
        <x:v>S4-REG-01 to S4-REG-06</x:v>
      </x:c>
      <x:c r="C16" s="28" t="str">
        <x:v>7.9</x:v>
      </x:c>
      <x:c r="D16" s="28" t="str">
        <x:v>Automated + smoke evidence</x:v>
      </x:c>
      <x:c r="E16" s="28" t="str">
        <x:v>Sprint 1 to Sprint 3 regression and final Sprint 4 smoke evidence</x:v>
      </x:c>
      <x:c r="F16" s="28" t="str">
        <x:v>docs/testing/evidence/sprint-4/</x:v>
      </x:c>
      <x:c r="G16" s="28" t="str">
        <x:v>All Members</x:v>
      </x:c>
      <x:c r="H16" s="28" t="str">
        <x:v>Blocked</x:v>
      </x:c>
      <x:c r="I16" s="28"/>
      <x:c r="J16" s="28" t="str">
        <x:v>Final integrated regression remains gated by unfinished WBS 7.7.</x:v>
      </x:c>
    </x:row>
    <x:row r="17">
      <x:c r="A17" t="str">
        <x:v>S4-EV-AUTH-001</x:v>
      </x:c>
      <x:c r="B17" s="28" t="str">
        <x:v>S4-AUTH-04; S4-AUTH-05</x:v>
      </x:c>
      <x:c r="C17" s="28" t="str">
        <x:v>7.9</x:v>
      </x:c>
      <x:c r="D17" s="28" t="str">
        <x:v>Postman screenshots</x:v>
      </x:c>
      <x:c r="E17" s="28" t="str">
        <x:v>Authentication rejection and authenticated current-user retrieval evidence</x:v>
      </x:c>
      <x:c r="F17" s="28" t="str">
        <x:v>docs/testing/evidence/sprint-4/S4-AUTH-04_JWT_Protected_API_Without_Token_PASS.png; docs/testing/evidence/sprint-4/S4-AUTH-05_Current_User_Retrieval_After_Login_PASS.png</x:v>
      </x:c>
      <x:c r="G17" s="28" t="str">
        <x:v>Jerald</x:v>
      </x:c>
      <x:c r="H17" s="28" t="str">
        <x:v>Captured</x:v>
      </x:c>
      <x:c r="I17" s="28" t="str">
        <x:v>2026-09-30</x:v>
      </x:c>
      <x:c r="J17" s="28" t="str">
        <x:v>Both executed tests passed.</x:v>
      </x:c>
    </x:row>
    <x:row r="18">
      <x:c r="A18" t="str">
        <x:v>S4-EV-PROFILE-001</x:v>
      </x:c>
      <x:c r="B18" s="28" t="str">
        <x:v>S4-PROFILE-04</x:v>
      </x:c>
      <x:c r="C18" s="28" t="str">
        <x:v>7.9</x:v>
      </x:c>
      <x:c r="D18" s="28" t="str">
        <x:v>Frontend screenshots</x:v>
      </x:c>
      <x:c r="E18" s="28" t="str">
        <x:v>Profile change propagates to downstream Job Matching and baseline is restored</x:v>
      </x:c>
      <x:c r="F18" s="28" t="str">
        <x:v>docs/testing/evidence/sprint-4/S4-PROFILE-04_Profile_Baseline_Before_Skill_Change.png; docs/testing/evidence/sprint-4/S4-PROFILE-04_Job_Matching_Baseline_React_In_Profile.png; docs/testing/evidence/sprint-4/S4-PROFILE-04_Job_Matching_After_React_Removal_PASS.png; docs/testing/evidence/sprint-4/S4-PROFILE-04_Profile_Restored_React_Proficient_Verified.png</x:v>
      </x:c>
      <x:c r="G18" s="28" t="str">
        <x:v>Jerald</x:v>
      </x:c>
      <x:c r="H18" s="28" t="str">
        <x:v>Captured</x:v>
      </x:c>
      <x:c r="I18" s="28" t="str">
        <x:v>2026-09-30</x:v>
      </x:c>
      <x:c r="J18" s="28" t="str">
        <x:v>Executed test passed and React was restored at Proficient.</x:v>
      </x:c>
    </x:row>
    <x:row r="19">
      <x:c r="A19" t="str">
        <x:v>S4-EV-REC-001</x:v>
      </x:c>
      <x:c r="B19" s="28" t="str">
        <x:v>S4-REC-01</x:v>
      </x:c>
      <x:c r="C19" s="28" t="str">
        <x:v>7.9</x:v>
      </x:c>
      <x:c r="D19" s="28" t="str">
        <x:v>Frontend screenshot</x:v>
      </x:c>
      <x:c r="E19" s="28" t="str">
        <x:v>Ranked Career Recommendations result</x:v>
      </x:c>
      <x:c r="F19" s="28" t="str">
        <x:v>docs/testing/evidence/sprint-4/S4-REC-01_Ranked_Career_Recommendations_PASS.png</x:v>
      </x:c>
      <x:c r="G19" s="28" t="str">
        <x:v>Jerald</x:v>
      </x:c>
      <x:c r="H19" s="28" t="str">
        <x:v>Captured</x:v>
      </x:c>
      <x:c r="I19" s="28" t="str">
        <x:v>2026-09-30</x:v>
      </x:c>
      <x:c r="J19" s="28" t="str">
        <x:v>Executed test passed.</x:v>
      </x:c>
    </x:row>
    <x:row r="20">
      <x:c r="A20" t="str">
        <x:v>S4-EV-REC-003</x:v>
      </x:c>
      <x:c r="B20" s="28" t="str">
        <x:v>S4-REC-03</x:v>
      </x:c>
      <x:c r="C20" s="28" t="str">
        <x:v>7.4,7.9</x:v>
      </x:c>
      <x:c r="D20" s="28" t="str">
        <x:v>Postman + frontend screenshots</x:v>
      </x:c>
      <x:c r="E20" s="28" t="str">
        <x:v>AI recommendation explanation plus unchanged deterministic rank and score</x:v>
      </x:c>
      <x:c r="F20" s="28" t="str">
        <x:v>docs/testing/evidence/sprint-4/S4-REC-03_AI_Recommendation_Explanation_200_OK.png; docs/testing/evidence/sprint-4/S4-REC-03_Recommendation_Rank_and_Score_Unchanged_PASS.png</x:v>
      </x:c>
      <x:c r="G20" s="28" t="str">
        <x:v>Jerald</x:v>
      </x:c>
      <x:c r="H20" s="28" t="str">
        <x:v>Captured</x:v>
      </x:c>
      <x:c r="I20" s="28" t="str">
        <x:v>2026-09-30</x:v>
      </x:c>
      <x:c r="J20" s="28" t="str">
        <x:v>Executed test passed.</x:v>
      </x:c>
    </x:row>
    <x:row r="21">
      <x:c r="A21" t="str">
        <x:v>S4-EV-REC-004</x:v>
      </x:c>
      <x:c r="B21" s="28" t="str">
        <x:v>S4-REC-04</x:v>
      </x:c>
      <x:c r="C21" s="28" t="str">
        <x:v>7.9</x:v>
      </x:c>
      <x:c r="D21" s="28" t="str">
        <x:v>Postman assertions</x:v>
      </x:c>
      <x:c r="E21" s="28" t="str">
        <x:v>Recommendation repeatability under unchanged Student Profile</x:v>
      </x:c>
      <x:c r="F21" s="28" t="str">
        <x:v>docs/testing/evidence/sprint-4/S4-REC-04_Recommendation_Repeatability_PASS.png</x:v>
      </x:c>
      <x:c r="G21" s="28" t="str">
        <x:v>Jerald</x:v>
      </x:c>
      <x:c r="H21" s="28" t="str">
        <x:v>Captured</x:v>
      </x:c>
      <x:c r="I21" s="28" t="str">
        <x:v>2026-09-30</x:v>
      </x:c>
      <x:c r="J21" s="28" t="str">
        <x:v>Postman full-array comparison passed 3/3.</x:v>
      </x:c>
    </x:row>
    <x:row r="22">
      <x:c r="A22" t="str">
        <x:v>S4-EV-REC-006</x:v>
      </x:c>
      <x:c r="B22" s="28" t="str">
        <x:v>S4-REC-06</x:v>
      </x:c>
      <x:c r="C22" s="28" t="str">
        <x:v>7.4,7.9</x:v>
      </x:c>
      <x:c r="D22" s="28" t="str">
        <x:v>Automated terminal output</x:v>
      </x:c>
      <x:c r="E22" s="28" t="str">
        <x:v>AI explanation failure preserves deterministic recommendation payload</x:v>
      </x:c>
      <x:c r="F22" s="28" t="str">
        <x:v>docs/testing/evidence/sprint-4/S4-REC-06_AI_Explanation_Failure_Preserves_Recommendation_PASS.png</x:v>
      </x:c>
      <x:c r="G22" s="28" t="str">
        <x:v>Jerald</x:v>
      </x:c>
      <x:c r="H22" s="28" t="str">
        <x:v>Captured</x:v>
      </x:c>
      <x:c r="I22" s="28" t="str">
        <x:v>2026-09-30</x:v>
      </x:c>
      <x:c r="J22" s="28" t="str">
        <x:v>Existing backend regression test passed.</x:v>
      </x:c>
    </x:row>
    <x:row r="23">
      <x:c r="A23" t="str">
        <x:v>S4-EV-GAP-003</x:v>
      </x:c>
      <x:c r="B23" s="28" t="str">
        <x:v>S4-GAP-03</x:v>
      </x:c>
      <x:c r="C23" s="28" t="str">
        <x:v>7.9</x:v>
      </x:c>
      <x:c r="D23" s="28" t="str">
        <x:v>Postman assertions</x:v>
      </x:c>
      <x:c r="E23" s="28" t="str">
        <x:v>Skill Gap and Career Readiness repeatability</x:v>
      </x:c>
      <x:c r="F23" s="28" t="str">
        <x:v>docs/testing/evidence/sprint-4/S4-GAP-03_Skill_Gap_Readiness_Repeatability_PASS.png</x:v>
      </x:c>
      <x:c r="G23" s="28" t="str">
        <x:v>Jerald</x:v>
      </x:c>
      <x:c r="H23" s="28" t="str">
        <x:v>Captured</x:v>
      </x:c>
      <x:c r="I23" s="28" t="str">
        <x:v>2026-09-30</x:v>
      </x:c>
      <x:c r="J23" s="28" t="str">
        <x:v>Postman deterministic comparison passed 4/4.</x:v>
      </x:c>
    </x:row>
    <x:row r="24">
      <x:c r="A24" t="str">
        <x:v>S4-EV-GAP-004</x:v>
      </x:c>
      <x:c r="B24" s="28" t="str">
        <x:v>S4-GAP-04</x:v>
      </x:c>
      <x:c r="C24" s="28" t="str">
        <x:v>7.4,7.9</x:v>
      </x:c>
      <x:c r="D24" s="28" t="str">
        <x:v>Automated terminal output</x:v>
      </x:c>
      <x:c r="E24" s="28" t="str">
        <x:v>AI summary failure preserves deterministic Skill Gap and readiness</x:v>
      </x:c>
      <x:c r="F24" s="28" t="str">
        <x:v>docs/testing/evidence/sprint-4/S4-GAP-04_AI_Summary_Failure_Preserves_Skill_Gap_Readiness_PASS.png</x:v>
      </x:c>
      <x:c r="G24" s="28" t="str">
        <x:v>Jerald</x:v>
      </x:c>
      <x:c r="H24" s="28" t="str">
        <x:v>Captured</x:v>
      </x:c>
      <x:c r="I24" s="28" t="str">
        <x:v>2026-09-30</x:v>
      </x:c>
      <x:c r="J24" s="28" t="str">
        <x:v>Existing backend regression test passed.</x:v>
      </x:c>
    </x:row>
    <x:row r="25">
      <x:c r="A25" t="str">
        <x:v>S4-EV-GAP-005</x:v>
      </x:c>
      <x:c r="B25" s="28" t="str">
        <x:v>S4-GAP-05</x:v>
      </x:c>
      <x:c r="C25" s="28" t="str">
        <x:v>7.4,7.9</x:v>
      </x:c>
      <x:c r="D25" s="28" t="str">
        <x:v>Automated terminal output</x:v>
      </x:c>
      <x:c r="E25" s="28" t="str">
        <x:v>Readiness remains independent of text AI provider</x:v>
      </x:c>
      <x:c r="F25" s="28" t="str">
        <x:v>docs/testing/evidence/sprint-4/S4-GAP-05_Readiness_Independent_of_Text_AI_Provider_PASS.png</x:v>
      </x:c>
      <x:c r="G25" s="28" t="str">
        <x:v>Jerald</x:v>
      </x:c>
      <x:c r="H25" s="28" t="str">
        <x:v>Captured</x:v>
      </x:c>
      <x:c r="I25" s="28" t="str">
        <x:v>2026-09-30</x:v>
      </x:c>
      <x:c r="J25" s="28" t="str">
        <x:v>Existing backend regression test passed.</x:v>
      </x:c>
    </x:row>
    <x:row r="26">
      <x:c r="A26" t="str">
        <x:v>S4-EV-JOB-002</x:v>
      </x:c>
      <x:c r="B26" s="28" t="str">
        <x:v>S4-JOB-02</x:v>
      </x:c>
      <x:c r="C26" s="28" t="str">
        <x:v>7.2,7.5,7.9</x:v>
      </x:c>
      <x:c r="D26" s="28" t="str">
        <x:v>Frontend screenshot</x:v>
      </x:c>
      <x:c r="E26" s="28" t="str">
        <x:v>Valid job description returns matched and missing requirements</x:v>
      </x:c>
      <x:c r="F26" s="28" t="str">
        <x:v>docs/testing/evidence/sprint-4/S4-JOB-02_Valid_Job_Description_Matched_Missing_Requirements_PASS.png</x:v>
      </x:c>
      <x:c r="G26" s="28" t="str">
        <x:v>Jerald</x:v>
      </x:c>
      <x:c r="H26" s="28" t="str">
        <x:v>Captured</x:v>
      </x:c>
      <x:c r="I26" s="28" t="str">
        <x:v>2026-09-30</x:v>
      </x:c>
      <x:c r="J26" s="28" t="str">
        <x:v>Executed test passed.</x:v>
      </x:c>
    </x:row>
    <x:row r="27">
      <x:c r="A27" t="str">
        <x:v>S4-EV-JOB-003</x:v>
      </x:c>
      <x:c r="B27" s="28" t="str">
        <x:v>S4-JOB-03</x:v>
      </x:c>
      <x:c r="C27" s="28" t="str">
        <x:v>7.2,7.5,7.9</x:v>
      </x:c>
      <x:c r="D27" s="28" t="str">
        <x:v>Frontend screenshot</x:v>
      </x:c>
      <x:c r="E27" s="28" t="str">
        <x:v>Blank job-description validation</x:v>
      </x:c>
      <x:c r="F27" s="28" t="str">
        <x:v>docs/testing/evidence/sprint-4/S4-JOB-03_Blank_Job_Description_Validation_PASS.png</x:v>
      </x:c>
      <x:c r="G27" s="28" t="str">
        <x:v>Jerald</x:v>
      </x:c>
      <x:c r="H27" s="28" t="str">
        <x:v>Captured</x:v>
      </x:c>
      <x:c r="I27" s="28" t="str">
        <x:v>2026-09-30</x:v>
      </x:c>
      <x:c r="J27" s="28" t="str">
        <x:v>Executed test passed.</x:v>
      </x:c>
    </x:row>
    <x:row r="28">
      <x:c r="A28" t="str">
        <x:v>S4-EV-JOB-004</x:v>
      </x:c>
      <x:c r="B28" s="28" t="str">
        <x:v>S4-JOB-04</x:v>
      </x:c>
      <x:c r="C28" s="28" t="str">
        <x:v>7.2,7.5,7.9</x:v>
      </x:c>
      <x:c r="D28" s="28" t="str">
        <x:v>Frontend screenshot</x:v>
      </x:c>
      <x:c r="E28" s="28" t="str">
        <x:v>Oversized job-description validation</x:v>
      </x:c>
      <x:c r="F28" s="28" t="str">
        <x:v>docs/testing/evidence/sprint-4/S4-JOB-04_Oversized_Job_Description_Validation_PASS.png</x:v>
      </x:c>
      <x:c r="G28" s="28" t="str">
        <x:v>Jerald</x:v>
      </x:c>
      <x:c r="H28" s="28" t="str">
        <x:v>Captured</x:v>
      </x:c>
      <x:c r="I28" s="28" t="str">
        <x:v>2026-09-30</x:v>
      </x:c>
      <x:c r="J28" s="28" t="str">
        <x:v>Executed test passed.</x:v>
      </x:c>
    </x:row>
    <x:row r="29">
      <x:c r="A29" t="str">
        <x:v>S4-EV-JOB-007</x:v>
      </x:c>
      <x:c r="B29" s="28" t="str">
        <x:v>S4-JOB-07</x:v>
      </x:c>
      <x:c r="C29" s="28" t="str">
        <x:v>7.2,7.9</x:v>
      </x:c>
      <x:c r="D29" s="28" t="str">
        <x:v>Frontend screenshot</x:v>
      </x:c>
      <x:c r="E29" s="28" t="str">
        <x:v>Canonical Skill matching for React</x:v>
      </x:c>
      <x:c r="F29" s="28" t="str">
        <x:v>docs/testing/evidence/sprint-4/S4-JOB-07_Canonical_Skill_Matching_React_PASS.png</x:v>
      </x:c>
      <x:c r="G29" s="28" t="str">
        <x:v>Jerald</x:v>
      </x:c>
      <x:c r="H29" s="28" t="str">
        <x:v>Captured</x:v>
      </x:c>
      <x:c r="I29" s="28" t="str">
        <x:v>2026-09-30</x:v>
      </x:c>
      <x:c r="J29" s="28" t="str">
        <x:v>Executed test passed.</x:v>
      </x:c>
    </x:row>
    <x:row r="30">
      <x:c r="A30" t="str">
        <x:v>S4-EV-JOB-008</x:v>
      </x:c>
      <x:c r="B30" s="28" t="str">
        <x:v>S4-JOB-08</x:v>
      </x:c>
      <x:c r="C30" s="28" t="str">
        <x:v>7.2,7.9</x:v>
      </x:c>
      <x:c r="D30" s="28" t="str">
        <x:v>Automated terminal output</x:v>
      </x:c>
      <x:c r="E30" s="28" t="str">
        <x:v>SkillAlias Py resolves to canonical Python Skill</x:v>
      </x:c>
      <x:c r="F30" s="28" t="str">
        <x:v>docs/testing/evidence/sprint-4/S4-JOB-08_Skill_Alias_Matching_Py_to_Python_PASS.png</x:v>
      </x:c>
      <x:c r="G30" s="28" t="str">
        <x:v>Jerald</x:v>
      </x:c>
      <x:c r="H30" s="28" t="str">
        <x:v>Captured</x:v>
      </x:c>
      <x:c r="I30" s="28" t="str">
        <x:v>2026-09-30</x:v>
      </x:c>
      <x:c r="J30" s="28" t="str">
        <x:v>Existing backend test passed.</x:v>
      </x:c>
    </x:row>
    <x:row r="31">
      <x:c r="A31" t="str">
        <x:v>S4-EV-JOB-009</x:v>
      </x:c>
      <x:c r="B31" s="28" t="str">
        <x:v>S4-JOB-09</x:v>
      </x:c>
      <x:c r="C31" s="28" t="str">
        <x:v>7.2,7.9</x:v>
      </x:c>
      <x:c r="D31" s="28" t="str">
        <x:v>Automated terminal output</x:v>
      </x:c>
      <x:c r="E31" s="28" t="str">
        <x:v>Unsupported related wording is not guessed</x:v>
      </x:c>
      <x:c r="F31" s="28" t="str">
        <x:v>docs/testing/evidence/sprint-4/S4-JOB-09_Unsupported_Synonym_Guessing_Not_Guessed_PASS.png</x:v>
      </x:c>
      <x:c r="G31" s="28" t="str">
        <x:v>Jerald</x:v>
      </x:c>
      <x:c r="H31" s="28" t="str">
        <x:v>Captured</x:v>
      </x:c>
      <x:c r="I31" s="28" t="str">
        <x:v>2026-09-30</x:v>
      </x:c>
      <x:c r="J31" s="28" t="str">
        <x:v>Existing backend test passed.</x:v>
      </x:c>
    </x:row>
    <x:row r="32">
      <x:c r="A32" t="str">
        <x:v>S4-EV-JOB-010</x:v>
      </x:c>
      <x:c r="B32" s="28" t="str">
        <x:v>S4-JOB-10</x:v>
      </x:c>
      <x:c r="C32" s="28" t="str">
        <x:v>7.2,7.9</x:v>
      </x:c>
      <x:c r="D32" s="28" t="str">
        <x:v>Automated terminal output</x:v>
      </x:c>
      <x:c r="E32" s="28" t="str">
        <x:v>Generic Design false positive is avoided</x:v>
      </x:c>
      <x:c r="F32" s="28" t="str">
        <x:v>docs/testing/evidence/sprint-4/S4-JOB-10_Generic_Design_False_Positive_Avoided_PASS.png</x:v>
      </x:c>
      <x:c r="G32" s="28" t="str">
        <x:v>Jerald</x:v>
      </x:c>
      <x:c r="H32" s="28" t="str">
        <x:v>Captured</x:v>
      </x:c>
      <x:c r="I32" s="28" t="str">
        <x:v>2026-09-30</x:v>
      </x:c>
      <x:c r="J32" s="28" t="str">
        <x:v>Existing backend test passed.</x:v>
      </x:c>
    </x:row>
    <x:row r="33">
      <x:c r="A33" t="str">
        <x:v>S4-EV-JOB-011</x:v>
      </x:c>
      <x:c r="B33" s="28" t="str">
        <x:v>S4-JOB-11</x:v>
      </x:c>
      <x:c r="C33" s="28" t="str">
        <x:v>7.2,7.9</x:v>
      </x:c>
      <x:c r="D33" s="28" t="str">
        <x:v>API contract + UI evidence</x:v>
      </x:c>
      <x:c r="E33" s="28" t="str">
        <x:v>Job Matching does not expose hiring probability or suitability score</x:v>
      </x:c>
      <x:c r="F33" s="28" t="str">
        <x:v>docs/testing/evidence/sprint-4/S4-JOB-11_No_Suitability_Score_API_Contract_PASS.png; docs/testing/evidence/sprint-4/S4-JOB-02_Valid_Job_Description_Matched_Missing_Requirements_PASS.png</x:v>
      </x:c>
      <x:c r="G33" s="28" t="str">
        <x:v>Jerald</x:v>
      </x:c>
      <x:c r="H33" s="28" t="str">
        <x:v>Captured</x:v>
      </x:c>
      <x:c r="I33" s="28" t="str">
        <x:v>2026-09-30</x:v>
      </x:c>
      <x:c r="J33" s="28" t="str">
        <x:v>API contract passed and UI states result is not an employment suitability score.</x:v>
      </x:c>
    </x:row>
    <x:row r="34">
      <x:c r="A34" t="str">
        <x:v>S4-EV-JOB-012</x:v>
      </x:c>
      <x:c r="B34" s="28" t="str">
        <x:v>S4-JOB-12</x:v>
      </x:c>
      <x:c r="C34" s="28" t="str">
        <x:v>7.2,7.9</x:v>
      </x:c>
      <x:c r="D34" s="28" t="str">
        <x:v>Automated terminal output</x:v>
      </x:c>
      <x:c r="E34" s="28" t="str">
        <x:v>Unsupported client ownership override is rejected</x:v>
      </x:c>
      <x:c r="F34" s="28" t="str">
        <x:v>docs/testing/evidence/sprint-4/S4-JOB-12_Reject_Client_Ownership_Override_PASS.png</x:v>
      </x:c>
      <x:c r="G34" s="28" t="str">
        <x:v>Jerald</x:v>
      </x:c>
      <x:c r="H34" s="28" t="str">
        <x:v>Captured</x:v>
      </x:c>
      <x:c r="I34" s="28" t="str">
        <x:v>2026-09-30</x:v>
      </x:c>
      <x:c r="J34" s="28" t="str">
        <x:v>Existing backend ownership test passed.</x:v>
      </x:c>
    </x:row>
    <x:row r="35">
      <x:c r="A35" t="str">
        <x:v>S4-EV-JOB-013</x:v>
      </x:c>
      <x:c r="B35" s="28" t="str">
        <x:v>S4-JOB-13</x:v>
      </x:c>
      <x:c r="C35" s="28" t="str">
        <x:v>7.2,7.9</x:v>
      </x:c>
      <x:c r="D35" s="28" t="str">
        <x:v>Frontend screenshot</x:v>
      </x:c>
      <x:c r="E35" s="28" t="str">
        <x:v>Job Matching does not mutate Student Profile</x:v>
      </x:c>
      <x:c r="F35" s="28" t="str">
        <x:v>docs/testing/evidence/sprint-4/S4-JOB-13_Job_Matching_Does_Not_Mutate_Profile_PASS.png</x:v>
      </x:c>
      <x:c r="G35" s="28" t="str">
        <x:v>Jerald</x:v>
      </x:c>
      <x:c r="H35" s="28" t="str">
        <x:v>Captured</x:v>
      </x:c>
      <x:c r="I35" s="28" t="str">
        <x:v>2026-09-30</x:v>
      </x:c>
      <x:c r="J35" s="28" t="str">
        <x:v>Profile baseline remained unchanged after Job Matching operations.</x:v>
      </x:c>
    </x:row>
    <x:row r="36">
      <x:c r="A36" t="str">
        <x:v>S4-EV-RESUME-005</x:v>
      </x:c>
      <x:c r="B36" s="28" t="str">
        <x:v>S4-RESUME-05</x:v>
      </x:c>
      <x:c r="C36" s="28" t="str">
        <x:v>7.4,7.9</x:v>
      </x:c>
      <x:c r="D36" s="28" t="str">
        <x:v>Automated terminal output</x:v>
      </x:c>
      <x:c r="E36" s="28" t="str">
        <x:v>Resume provider failure is controlled</x:v>
      </x:c>
      <x:c r="F36" s="28" t="str">
        <x:v>docs/testing/evidence/sprint-4/S4-RESUME-05_Resume_Provider_Failure_Controlled_PASS.png</x:v>
      </x:c>
      <x:c r="G36" s="28" t="str">
        <x:v>Jerald</x:v>
      </x:c>
      <x:c r="H36" s="28" t="str">
        <x:v>Captured</x:v>
      </x:c>
      <x:c r="I36" s="28" t="str">
        <x:v>2026-09-30</x:v>
      </x:c>
      <x:c r="J36" s="28" t="str">
        <x:v>Provider unavailable path returned controlled 503.</x:v>
      </x:c>
    </x:row>
    <x:row r="37">
      <x:c r="A37" t="str">
        <x:v>S4-EV-RESUME-006</x:v>
      </x:c>
      <x:c r="B37" s="28" t="str">
        <x:v>S4-RESUME-06</x:v>
      </x:c>
      <x:c r="C37" s="28" t="str">
        <x:v>7.4,7.9</x:v>
      </x:c>
      <x:c r="D37" s="28" t="str">
        <x:v>Automated terminal output</x:v>
      </x:c>
      <x:c r="E37" s="28" t="str">
        <x:v>Resume invalid AI response is rejected and sanitized</x:v>
      </x:c>
      <x:c r="F37" s="28" t="str">
        <x:v>docs/testing/evidence/sprint-4/S4-RESUME-06_Invalid_AI_Response_Rejected_PASS.png</x:v>
      </x:c>
      <x:c r="G37" s="28" t="str">
        <x:v>Jerald</x:v>
      </x:c>
      <x:c r="H37" s="28" t="str">
        <x:v>Captured</x:v>
      </x:c>
      <x:c r="I37" s="28" t="str">
        <x:v>2026-09-30</x:v>
      </x:c>
      <x:c r="J37" s="28" t="str">
        <x:v>Response-validation failure returned sanitized 503.</x:v>
      </x:c>
    </x:row>
    <x:row r="38">
      <x:c r="A38" t="str">
        <x:v>S4-EV-COVER-006</x:v>
      </x:c>
      <x:c r="B38" s="28" t="str">
        <x:v>S4-COVER-06</x:v>
      </x:c>
      <x:c r="C38" s="28" t="str">
        <x:v>7.4,7.9</x:v>
      </x:c>
      <x:c r="D38" s="28" t="str">
        <x:v>Automated terminal output</x:v>
      </x:c>
      <x:c r="E38" s="28" t="str">
        <x:v>Cover Letter provider failure is controlled</x:v>
      </x:c>
      <x:c r="F38" s="28" t="str">
        <x:v>docs/testing/evidence/sprint-4/S4-COVER-06_Cover_Letter_Provider_Failure_Controlled_PASS.png</x:v>
      </x:c>
      <x:c r="G38" s="28" t="str">
        <x:v>Jerald</x:v>
      </x:c>
      <x:c r="H38" s="28" t="str">
        <x:v>Captured</x:v>
      </x:c>
      <x:c r="I38" s="28" t="str">
        <x:v>2026-09-30</x:v>
      </x:c>
      <x:c r="J38" s="28" t="str">
        <x:v>Provider unavailable path returned controlled 503.</x:v>
      </x:c>
    </x:row>
    <x:row r="39">
      <x:c r="A39" t="str">
        <x:v>S4-EV-INT-002</x:v>
      </x:c>
      <x:c r="B39" s="28" t="str">
        <x:v>S4-INT-02</x:v>
      </x:c>
      <x:c r="C39" s="28" t="str">
        <x:v>7.3,7.9</x:v>
      </x:c>
      <x:c r="D39" s="28" t="str">
        <x:v>Postman screenshot</x:v>
      </x:c>
      <x:c r="E39" s="28" t="str">
        <x:v>Valid Interview Questions request returns structured questions</x:v>
      </x:c>
      <x:c r="F39" s="28" t="str">
        <x:v>docs/testing/evidence/sprint-4/S4-INT-02_Generate_Valid_Interview_Questions_PASS.png</x:v>
      </x:c>
      <x:c r="G39" s="28" t="str">
        <x:v>Jerald</x:v>
      </x:c>
      <x:c r="H39" s="28" t="str">
        <x:v>Captured</x:v>
      </x:c>
      <x:c r="I39" s="28" t="str">
        <x:v>2026-09-30</x:v>
      </x:c>
      <x:c r="J39" s="28" t="str">
        <x:v>Five role-relevant questions returned with HTTP 200.</x:v>
      </x:c>
    </x:row>
    <x:row r="40">
      <x:c r="A40" t="str">
        <x:v>S4-EV-INT-003</x:v>
      </x:c>
      <x:c r="B40" s="28" t="str">
        <x:v>S4-INT-03</x:v>
      </x:c>
      <x:c r="C40" s="28" t="str">
        <x:v>7.9</x:v>
      </x:c>
      <x:c r="D40" s="28" t="str">
        <x:v>Postman screenshot</x:v>
      </x:c>
      <x:c r="E40" s="28" t="str">
        <x:v>Question count below minimum is rejected</x:v>
      </x:c>
      <x:c r="F40" s="28" t="str">
        <x:v>docs/testing/evidence/sprint-4/S4-INT-03_Reject_Question_Count_Below_Range_PASS.png</x:v>
      </x:c>
      <x:c r="G40" s="28" t="str">
        <x:v>Jerald</x:v>
      </x:c>
      <x:c r="H40" s="28" t="str">
        <x:v>Captured</x:v>
      </x:c>
      <x:c r="I40" s="28" t="str">
        <x:v>2026-09-30</x:v>
      </x:c>
      <x:c r="J40" s="28" t="str">
        <x:v>question_count=0 returned controlled validation error.</x:v>
      </x:c>
    </x:row>
    <x:row r="41">
      <x:c r="A41" t="str">
        <x:v>S4-EV-INT-004</x:v>
      </x:c>
      <x:c r="B41" s="28" t="str">
        <x:v>S4-INT-04</x:v>
      </x:c>
      <x:c r="C41" s="28" t="str">
        <x:v>7.9</x:v>
      </x:c>
      <x:c r="D41" s="28" t="str">
        <x:v>Postman screenshot</x:v>
      </x:c>
      <x:c r="E41" s="28" t="str">
        <x:v>Question count above maximum is rejected</x:v>
      </x:c>
      <x:c r="F41" s="28" t="str">
        <x:v>docs/testing/evidence/sprint-4/S4-INT-04_Reject_Question_Count_Above_Range_PASS.png</x:v>
      </x:c>
      <x:c r="G41" s="28" t="str">
        <x:v>Jerald</x:v>
      </x:c>
      <x:c r="H41" s="28" t="str">
        <x:v>Captured</x:v>
      </x:c>
      <x:c r="I41" s="28" t="str">
        <x:v>2026-09-30</x:v>
      </x:c>
      <x:c r="J41" s="28" t="str">
        <x:v>question_count=11 returned controlled validation error.</x:v>
      </x:c>
    </x:row>
    <x:row r="42">
      <x:c r="A42" t="str">
        <x:v>S4-EV-INT-007</x:v>
      </x:c>
      <x:c r="B42" s="28" t="str">
        <x:v>S4-INT-07</x:v>
      </x:c>
      <x:c r="C42" s="28" t="str">
        <x:v>7.3,7.9</x:v>
      </x:c>
      <x:c r="D42" s="28" t="str">
        <x:v>Postman screenshot</x:v>
      </x:c>
      <x:c r="E42" s="28" t="str">
        <x:v>Structured Interview Feedback is generated</x:v>
      </x:c>
      <x:c r="F42" s="28" t="str">
        <x:v>docs/testing/evidence/sprint-4/S4-INT-07_Generate_Structured_Interview_Feedback_PASS.png</x:v>
      </x:c>
      <x:c r="G42" s="28" t="str">
        <x:v>Jerald</x:v>
      </x:c>
      <x:c r="H42" s="28" t="str">
        <x:v>Captured</x:v>
      </x:c>
      <x:c r="I42" s="28" t="str">
        <x:v>2026-09-30</x:v>
      </x:c>
      <x:c r="J42" s="28" t="str">
        <x:v>Structured strengths, improvements and suggested response returned.</x:v>
      </x:c>
    </x:row>
    <x:row r="43">
      <x:c r="A43" t="str">
        <x:v>S4-EV-INT-008</x:v>
      </x:c>
      <x:c r="B43" s="28" t="str">
        <x:v>S4-INT-08</x:v>
      </x:c>
      <x:c r="C43" s="28" t="str">
        <x:v>7.4,7.9</x:v>
      </x:c>
      <x:c r="D43" s="28" t="str">
        <x:v>Automated terminal output</x:v>
      </x:c>
      <x:c r="E43" s="28" t="str">
        <x:v>Semantically invalid focus areas are rejected</x:v>
      </x:c>
      <x:c r="F43" s="28" t="str">
        <x:v>docs/testing/evidence/sprint-4/S4-INT-08_Reject_Semantically_Invalid_Focus_Areas_PASS.png</x:v>
      </x:c>
      <x:c r="G43" s="28" t="str">
        <x:v>Jerald</x:v>
      </x:c>
      <x:c r="H43" s="28" t="str">
        <x:v>Captured</x:v>
      </x:c>
      <x:c r="I43" s="28" t="str">
        <x:v>2026-09-30</x:v>
      </x:c>
      <x:c r="J43" s="28" t="str">
        <x:v>Controlled 502 semantic validation path passed.</x:v>
      </x:c>
    </x:row>
    <x:row r="44">
      <x:c r="A44" t="str">
        <x:v>S4-EV-INT-009</x:v>
      </x:c>
      <x:c r="B44" s="28" t="str">
        <x:v>S4-INT-09</x:v>
      </x:c>
      <x:c r="C44" s="28" t="str">
        <x:v>7.9</x:v>
      </x:c>
      <x:c r="D44" s="28" t="str">
        <x:v>Automated terminal output</x:v>
      </x:c>
      <x:c r="E44" s="28" t="str">
        <x:v>Interview outputs exclude hiring probability and pass-fail classification</x:v>
      </x:c>
      <x:c r="F44" s="28" t="str">
        <x:v>docs/testing/evidence/sprint-4/S4-INT-09_Exclude_Hiring_Probability_Pass_Fail_PASS.png</x:v>
      </x:c>
      <x:c r="G44" s="28" t="str">
        <x:v>Jerald</x:v>
      </x:c>
      <x:c r="H44" s="28" t="str">
        <x:v>Captured</x:v>
      </x:c>
      <x:c r="I44" s="28" t="str">
        <x:v>2026-09-30</x:v>
      </x:c>
      <x:c r="J44" s="28" t="str">
        <x:v>Question and feedback response-contract tests both passed.</x:v>
      </x:c>
    </x:row>
    <x:row r="45">
      <x:c r="A45" t="str">
        <x:v>S4-EV-AI-CASE-001</x:v>
      </x:c>
      <x:c r="B45" s="28" t="str">
        <x:v>S4-AI-01</x:v>
      </x:c>
      <x:c r="C45" s="28" t="str">
        <x:v>7.4,7.9</x:v>
      </x:c>
      <x:c r="D45" s="28" t="str">
        <x:v>Automated terminal output</x:v>
      </x:c>
      <x:c r="E45" s="28" t="str">
        <x:v>Completed valid AI response is accepted</x:v>
      </x:c>
      <x:c r="F45" s="28" t="str">
        <x:v>docs/testing/evidence/sprint-4/S4-AI-01_Accept_Completed_AI_Response_PASS.png</x:v>
      </x:c>
      <x:c r="G45" s="28" t="str">
        <x:v>Jerald</x:v>
      </x:c>
      <x:c r="H45" s="28" t="str">
        <x:v>Captured</x:v>
      </x:c>
      <x:c r="I45" s="28" t="str">
        <x:v>2026-09-30</x:v>
      </x:c>
      <x:c r="J45" s="28" t="str">
        <x:v>Provider validation test passed.</x:v>
      </x:c>
    </x:row>
    <x:row r="46">
      <x:c r="A46" t="str">
        <x:v>S4-EV-AI-CASE-002</x:v>
      </x:c>
      <x:c r="B46" s="28" t="str">
        <x:v>S4-AI-02</x:v>
      </x:c>
      <x:c r="C46" s="28" t="str">
        <x:v>7.4,7.9</x:v>
      </x:c>
      <x:c r="D46" s="28" t="str">
        <x:v>Automated terminal output</x:v>
      </x:c>
      <x:c r="E46" s="28" t="str">
        <x:v>Incomplete AI response is rejected</x:v>
      </x:c>
      <x:c r="F46" s="28" t="str">
        <x:v>docs/testing/evidence/sprint-4/S4-AI-02_Reject_Incomplete_AI_Response_PASS.png</x:v>
      </x:c>
      <x:c r="G46" s="28" t="str">
        <x:v>Jerald</x:v>
      </x:c>
      <x:c r="H46" s="28" t="str">
        <x:v>Captured</x:v>
      </x:c>
      <x:c r="I46" s="28" t="str">
        <x:v>2026-09-30</x:v>
      </x:c>
      <x:c r="J46" s="28" t="str">
        <x:v>Provider validation test passed.</x:v>
      </x:c>
    </x:row>
    <x:row r="47">
      <x:c r="A47" t="str">
        <x:v>S4-EV-AI-CASE-003</x:v>
      </x:c>
      <x:c r="B47" s="28" t="str">
        <x:v>S4-AI-03</x:v>
      </x:c>
      <x:c r="C47" s="28" t="str">
        <x:v>7.4,7.9</x:v>
      </x:c>
      <x:c r="D47" s="28" t="str">
        <x:v>Automated terminal output</x:v>
      </x:c>
      <x:c r="E47" s="28" t="str">
        <x:v>Failed AI response state is rejected</x:v>
      </x:c>
      <x:c r="F47" s="28" t="str">
        <x:v>docs/testing/evidence/sprint-4/S4-AI-03-05_Reject_Non_Completed_AI_Response_States_PASS.png</x:v>
      </x:c>
      <x:c r="G47" s="28" t="str">
        <x:v>Jerald</x:v>
      </x:c>
      <x:c r="H47" s="28" t="str">
        <x:v>Captured</x:v>
      </x:c>
      <x:c r="I47" s="28" t="str">
        <x:v>2026-09-30</x:v>
      </x:c>
      <x:c r="J47" s="28" t="str">
        <x:v>Shared non-completed-state test passed.</x:v>
      </x:c>
    </x:row>
    <x:row r="48">
      <x:c r="A48" t="str">
        <x:v>S4-EV-AI-CASE-004</x:v>
      </x:c>
      <x:c r="B48" s="28" t="str">
        <x:v>S4-AI-04</x:v>
      </x:c>
      <x:c r="C48" s="28" t="str">
        <x:v>7.4,7.9</x:v>
      </x:c>
      <x:c r="D48" s="28" t="str">
        <x:v>Automated terminal output</x:v>
      </x:c>
      <x:c r="E48" s="28" t="str">
        <x:v>Cancelled AI response state is rejected</x:v>
      </x:c>
      <x:c r="F48" s="28" t="str">
        <x:v>docs/testing/evidence/sprint-4/S4-AI-03-05_Reject_Non_Completed_AI_Response_States_PASS.png</x:v>
      </x:c>
      <x:c r="G48" s="28" t="str">
        <x:v>Jerald</x:v>
      </x:c>
      <x:c r="H48" s="28" t="str">
        <x:v>Captured</x:v>
      </x:c>
      <x:c r="I48" s="28" t="str">
        <x:v>2026-09-30</x:v>
      </x:c>
      <x:c r="J48" s="28" t="str">
        <x:v>Shared non-completed-state test passed.</x:v>
      </x:c>
    </x:row>
    <x:row r="49">
      <x:c r="A49" t="str">
        <x:v>S4-EV-AI-CASE-005</x:v>
      </x:c>
      <x:c r="B49" s="28" t="str">
        <x:v>S4-AI-05</x:v>
      </x:c>
      <x:c r="C49" s="28" t="str">
        <x:v>7.4,7.9</x:v>
      </x:c>
      <x:c r="D49" s="28" t="str">
        <x:v>Automated terminal output</x:v>
      </x:c>
      <x:c r="E49" s="28" t="str">
        <x:v>Queued and in-progress AI response states are rejected</x:v>
      </x:c>
      <x:c r="F49" s="28" t="str">
        <x:v>docs/testing/evidence/sprint-4/S4-AI-03-05_Reject_Non_Completed_AI_Response_States_PASS.png</x:v>
      </x:c>
      <x:c r="G49" s="28" t="str">
        <x:v>Jerald</x:v>
      </x:c>
      <x:c r="H49" s="28" t="str">
        <x:v>Captured</x:v>
      </x:c>
      <x:c r="I49" s="28" t="str">
        <x:v>2026-09-30</x:v>
      </x:c>
      <x:c r="J49" s="28" t="str">
        <x:v>Shared non-completed-state test passed.</x:v>
      </x:c>
    </x:row>
    <x:row r="50">
      <x:c r="A50" t="str">
        <x:v>S4-EV-AI-CASE-006</x:v>
      </x:c>
      <x:c r="B50" s="28" t="str">
        <x:v>S4-AI-06</x:v>
      </x:c>
      <x:c r="C50" s="28" t="str">
        <x:v>7.4,7.9</x:v>
      </x:c>
      <x:c r="D50" s="28" t="str">
        <x:v>Automated terminal output</x:v>
      </x:c>
      <x:c r="E50" s="28" t="str">
        <x:v>Missing AI response status is rejected</x:v>
      </x:c>
      <x:c r="F50" s="28" t="str">
        <x:v>docs/testing/evidence/sprint-4/S4-AI-06_Reject_Missing_AI_Response_Status_PASS.png</x:v>
      </x:c>
      <x:c r="G50" s="28" t="str">
        <x:v>Jerald</x:v>
      </x:c>
      <x:c r="H50" s="28" t="str">
        <x:v>Captured</x:v>
      </x:c>
      <x:c r="I50" s="28" t="str">
        <x:v>2026-09-30</x:v>
      </x:c>
      <x:c r="J50" s="28" t="str">
        <x:v>Provider validation test passed.</x:v>
      </x:c>
    </x:row>
    <x:row r="51">
      <x:c r="A51" t="str">
        <x:v>S4-EV-AI-CASE-007</x:v>
      </x:c>
      <x:c r="B51" s="28" t="str">
        <x:v>S4-AI-07</x:v>
      </x:c>
      <x:c r="C51" s="28" t="str">
        <x:v>7.4,7.9</x:v>
      </x:c>
      <x:c r="D51" s="28" t="str">
        <x:v>Automated terminal output</x:v>
      </x:c>
      <x:c r="E51" s="28" t="str">
        <x:v>Completed AI response with empty output is rejected</x:v>
      </x:c>
      <x:c r="F51" s="28" t="str">
        <x:v>docs/testing/evidence/sprint-4/S4-AI-07_Reject_Empty_AI_Output_PASS.png</x:v>
      </x:c>
      <x:c r="G51" s="28" t="str">
        <x:v>Jerald</x:v>
      </x:c>
      <x:c r="H51" s="28" t="str">
        <x:v>Captured</x:v>
      </x:c>
      <x:c r="I51" s="28" t="str">
        <x:v>2026-09-30</x:v>
      </x:c>
      <x:c r="J51" s="28" t="str">
        <x:v>Structured-output validation test passed.</x:v>
      </x:c>
    </x:row>
    <x:row r="52">
      <x:c r="A52" t="str">
        <x:v>S4-EV-AI-CASE-008</x:v>
      </x:c>
      <x:c r="B52" s="28" t="str">
        <x:v>S4-AI-08</x:v>
      </x:c>
      <x:c r="C52" s="28" t="str">
        <x:v>7.4,7.9</x:v>
      </x:c>
      <x:c r="D52" s="28" t="str">
        <x:v>Automated terminal output</x:v>
      </x:c>
      <x:c r="E52" s="28" t="str">
        <x:v>Malformed AI JSON is rejected</x:v>
      </x:c>
      <x:c r="F52" s="28" t="str">
        <x:v>docs/testing/evidence/sprint-4/S4-AI-08_Reject_Malformed_AI_JSON_PASS.png</x:v>
      </x:c>
      <x:c r="G52" s="28" t="str">
        <x:v>Jerald</x:v>
      </x:c>
      <x:c r="H52" s="28" t="str">
        <x:v>Captured</x:v>
      </x:c>
      <x:c r="I52" s="28" t="str">
        <x:v>2026-09-30</x:v>
      </x:c>
      <x:c r="J52" s="28" t="str">
        <x:v>Structured-output validation test passed.</x:v>
      </x:c>
    </x:row>
    <x:row r="53">
      <x:c r="A53" t="str">
        <x:v>S4-EV-AI-CASE-009</x:v>
      </x:c>
      <x:c r="B53" s="28" t="str">
        <x:v>S4-AI-09</x:v>
      </x:c>
      <x:c r="C53" s="28" t="str">
        <x:v>7.4,7.9</x:v>
      </x:c>
      <x:c r="D53" s="28" t="str">
        <x:v>Automated terminal output</x:v>
      </x:c>
      <x:c r="E53" s="28" t="str">
        <x:v>Provider timeout is translated safely</x:v>
      </x:c>
      <x:c r="F53" s="28" t="str">
        <x:v>docs/testing/evidence/sprint-4/S4-AI-09_Translate_Provider_Timeout_Safely_PASS.png</x:v>
      </x:c>
      <x:c r="G53" s="28" t="str">
        <x:v>Jerald</x:v>
      </x:c>
      <x:c r="H53" s="28" t="str">
        <x:v>Captured</x:v>
      </x:c>
      <x:c r="I53" s="28" t="str">
        <x:v>2026-09-30</x:v>
      </x:c>
      <x:c r="J53" s="28" t="str">
        <x:v>Provider timeout details were not exposed.</x:v>
      </x:c>
    </x:row>
    <x:row r="54">
      <x:c r="A54" t="str">
        <x:v>S4-EV-AI-CASE-010</x:v>
      </x:c>
      <x:c r="B54" s="28" t="str">
        <x:v>S4-AI-10</x:v>
      </x:c>
      <x:c r="C54" s="28" t="str">
        <x:v>7.4,7.9</x:v>
      </x:c>
      <x:c r="D54" s="28" t="str">
        <x:v>Automated terminal output</x:v>
      </x:c>
      <x:c r="E54" s="28" t="str">
        <x:v>Provider connection failure is translated safely</x:v>
      </x:c>
      <x:c r="F54" s="28" t="str">
        <x:v>docs/testing/evidence/sprint-4/S4-AI-10_Translate_Connection_Failure_Safely_PASS.png</x:v>
      </x:c>
      <x:c r="G54" s="28" t="str">
        <x:v>Jerald</x:v>
      </x:c>
      <x:c r="H54" s="28" t="str">
        <x:v>Captured</x:v>
      </x:c>
      <x:c r="I54" s="28" t="str">
        <x:v>2026-09-30</x:v>
      </x:c>
      <x:c r="J54" s="28" t="str">
        <x:v>Connection failure details were sanitized.</x:v>
      </x:c>
    </x:row>
    <x:row r="55">
      <x:c r="A55" t="str">
        <x:v>S4-EV-AI-CASE-011</x:v>
      </x:c>
      <x:c r="B55" s="28" t="str">
        <x:v>S4-AI-11</x:v>
      </x:c>
      <x:c r="C55" s="28" t="str">
        <x:v>7.4,7.9</x:v>
      </x:c>
      <x:c r="D55" s="28" t="str">
        <x:v>Automated terminal output</x:v>
      </x:c>
      <x:c r="E55" s="28" t="str">
        <x:v>Rate-limit and HTTP provider failures are translated safely</x:v>
      </x:c>
      <x:c r="F55" s="28" t="str">
        <x:v>docs/testing/evidence/sprint-4/S4-AI-11_Translate_Rate_Limit_HTTP_Failure_Safely_PASS.png</x:v>
      </x:c>
      <x:c r="G55" s="28" t="str">
        <x:v>Jerald</x:v>
      </x:c>
      <x:c r="H55" s="28" t="str">
        <x:v>Captured</x:v>
      </x:c>
      <x:c r="I55" s="28" t="str">
        <x:v>2026-09-30</x:v>
      </x:c>
      <x:c r="J55" s="28" t="str">
        <x:v>Rate-limit and HTTP status failure tests passed.</x:v>
      </x:c>
    </x:row>
    <x:row r="56">
      <x:c r="A56" t="str">
        <x:v>S4-EV-AI-CASE-012</x:v>
      </x:c>
      <x:c r="B56" s="28" t="str">
        <x:v>S4-AI-12</x:v>
      </x:c>
      <x:c r="C56" s="28" t="str">
        <x:v>7.4,7.9</x:v>
      </x:c>
      <x:c r="D56" s="28" t="str">
        <x:v>Automated terminal output</x:v>
      </x:c>
      <x:c r="E56" s="28" t="str">
        <x:v>Deterministic results remain protected during AI failure</x:v>
      </x:c>
      <x:c r="F56" s="28" t="str">
        <x:v>docs/testing/evidence/sprint-4/S4-AI-12_Protect_Deterministic_Results_During_AI_Failure_PASS.png</x:v>
      </x:c>
      <x:c r="G56" s="28" t="str">
        <x:v>Jerald</x:v>
      </x:c>
      <x:c r="H56" s="28" t="str">
        <x:v>Captured</x:v>
      </x:c>
      <x:c r="I56" s="28" t="str">
        <x:v>2026-09-30</x:v>
      </x:c>
      <x:c r="J56" s="28" t="str">
        <x:v>Recommendation, Skill Gap, Readiness and Job Matching protection tests passed.</x:v>
      </x:c>
    </x:row>
  </x:sheetData>
  <x:mergeCells>
    <x:mergeCell ref="A1:J1"/>
    <x:mergeCell ref="A2:J2"/>
  </x:mergeCells>
  <x:dataValidations count="1">
    <x:dataValidation type="list" sqref="H6:H16">
      <x:formula1>"Planned,Blocked,Captured"</x:formula1>
    </x:dataValidation>
  </x:dataValidations>
  <x:pageMargins left="0.7" right="0.7" top="0.75" bottom="0.75" header="0.3" footer="0.3"/>
  <x:tableParts count="1">
    <x:tablePart xmlns:r="http://schemas.openxmlformats.org/officeDocument/2006/relationships" r:id="R9b60b38862b84acb"/>
  </x:tableParts>
</x:worksheet>
</file>