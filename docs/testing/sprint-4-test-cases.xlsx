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COIT20273\GradNavi\docs\testing\"/>
    </mc:Choice>
  </mc:AlternateContent>
  <xr:revisionPtr revIDLastSave="0" documentId="13_ncr:1_{4F085FC4-3DDA-4DA2-B475-F3D6C022B834}" xr6:coauthVersionLast="47" xr6:coauthVersionMax="47" xr10:uidLastSave="{00000000-0000-0000-0000-000000000000}"/>
  <bookViews>
    <workbookView xWindow="-120" yWindow="-120" windowWidth="29040" windowHeight="15720" activeTab="1" xr2:uid="{00000000-000D-0000-FFFF-FFFF00000000}"/>
  </bookViews>
  <sheets>
    <sheet name="Dashboard" sheetId="1" r:id="rId1"/>
    <sheet name="Test Cases" sheetId="2" r:id="rId2"/>
    <sheet name="Evidence Index"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8" i="1" l="1"/>
  <c r="B27" i="1"/>
  <c r="B26" i="1"/>
  <c r="B29" i="1" s="1"/>
  <c r="G22" i="1"/>
  <c r="F22" i="1"/>
  <c r="E22" i="1"/>
  <c r="G21" i="1"/>
  <c r="F21" i="1"/>
  <c r="E21" i="1"/>
  <c r="G20" i="1"/>
  <c r="F20" i="1"/>
  <c r="E20" i="1"/>
  <c r="G19" i="1"/>
  <c r="F19" i="1"/>
  <c r="E19" i="1"/>
  <c r="G18" i="1"/>
  <c r="F18" i="1"/>
  <c r="E18" i="1"/>
  <c r="G17" i="1"/>
  <c r="F17" i="1"/>
  <c r="E17" i="1"/>
  <c r="G16" i="1"/>
  <c r="F16" i="1"/>
  <c r="E16" i="1"/>
  <c r="G15" i="1"/>
  <c r="F15" i="1"/>
  <c r="E15" i="1"/>
  <c r="G14" i="1"/>
  <c r="F14" i="1"/>
  <c r="E14" i="1"/>
  <c r="G13" i="1"/>
  <c r="F13" i="1"/>
  <c r="E13" i="1"/>
  <c r="G12" i="1"/>
  <c r="F12" i="1"/>
  <c r="E12" i="1"/>
  <c r="G11" i="1"/>
  <c r="F11" i="1"/>
  <c r="E11" i="1"/>
  <c r="G10" i="1"/>
  <c r="F10" i="1"/>
  <c r="E10" i="1"/>
  <c r="B10" i="1"/>
  <c r="G9" i="1"/>
  <c r="F9" i="1"/>
  <c r="E9" i="1"/>
  <c r="B9" i="1"/>
  <c r="G8" i="1"/>
  <c r="F8" i="1"/>
  <c r="E8" i="1"/>
  <c r="B8" i="1"/>
  <c r="G7" i="1"/>
  <c r="F7" i="1"/>
  <c r="E7" i="1"/>
  <c r="B7" i="1"/>
  <c r="G6" i="1"/>
  <c r="F6" i="1"/>
  <c r="E6" i="1"/>
  <c r="B6" i="1"/>
  <c r="G5" i="1"/>
  <c r="F5" i="1"/>
  <c r="E5" i="1"/>
  <c r="B5" i="1"/>
  <c r="H12" i="1" l="1"/>
  <c r="H6" i="1"/>
  <c r="H7" i="1"/>
  <c r="H22" i="1"/>
  <c r="H17" i="1"/>
  <c r="H19" i="1"/>
  <c r="H5" i="1"/>
  <c r="H14" i="1"/>
  <c r="H9" i="1"/>
  <c r="H20" i="1"/>
  <c r="H15" i="1"/>
  <c r="H10" i="1"/>
  <c r="H21" i="1"/>
  <c r="H11" i="1"/>
  <c r="H8" i="1"/>
  <c r="H18" i="1"/>
  <c r="H13" i="1"/>
  <c r="H16" i="1"/>
</calcChain>
</file>

<file path=xl/sharedStrings.xml><?xml version="1.0" encoding="utf-8"?>
<sst xmlns="http://schemas.openxmlformats.org/spreadsheetml/2006/main" count="2011" uniqueCount="834">
  <si>
    <t>GradNavi Sprint 4 Testing Dashboard</t>
  </si>
  <si>
    <t>WBS 7.9 Sprint 4 Integration and Testing. Planning tracker only. Pass and Fail stay at zero until execution.</t>
  </si>
  <si>
    <t>Metric</t>
  </si>
  <si>
    <t>Count</t>
  </si>
  <si>
    <t>Area</t>
  </si>
  <si>
    <t>Total</t>
  </si>
  <si>
    <t>Blocked</t>
  </si>
  <si>
    <t>Not Run</t>
  </si>
  <si>
    <t>Executed</t>
  </si>
  <si>
    <t>Total Test Cases</t>
  </si>
  <si>
    <t>Environment</t>
  </si>
  <si>
    <t>Pass</t>
  </si>
  <si>
    <t>Authentication</t>
  </si>
  <si>
    <t>Fail</t>
  </si>
  <si>
    <t>Student Profile</t>
  </si>
  <si>
    <t>Career Recommendations</t>
  </si>
  <si>
    <t>Skill Gap and Readiness</t>
  </si>
  <si>
    <t>Retest</t>
  </si>
  <si>
    <t>Learning Suggestions</t>
  </si>
  <si>
    <t>Career Roadmap</t>
  </si>
  <si>
    <t>Job Matching</t>
  </si>
  <si>
    <t>Resume Builder</t>
  </si>
  <si>
    <t>Cover Letter Builder</t>
  </si>
  <si>
    <t>Interview Preparation</t>
  </si>
  <si>
    <t>AI Response Validation</t>
  </si>
  <si>
    <t>Admin API</t>
  </si>
  <si>
    <t>Admin Dashboard</t>
  </si>
  <si>
    <t>Role Permissions</t>
  </si>
  <si>
    <t>Audit Records</t>
  </si>
  <si>
    <t>Frontend Quality</t>
  </si>
  <si>
    <t>Cross-Sprint Regression</t>
  </si>
  <si>
    <t>Test Owner</t>
  </si>
  <si>
    <t>Assigned Tests</t>
  </si>
  <si>
    <t>Jerald</t>
  </si>
  <si>
    <t>MD</t>
  </si>
  <si>
    <t>Joyee</t>
  </si>
  <si>
    <t>GradNavi Sprint 4 Test Case Tracker</t>
  </si>
  <si>
    <t>WBS 7.9 planning baseline. Initial execution status uses Not Run or Blocked only. Do not mark Pass or Fail until the related test is executed.</t>
  </si>
  <si>
    <t>Test ID</t>
  </si>
  <si>
    <t>WBS</t>
  </si>
  <si>
    <t>Requirement</t>
  </si>
  <si>
    <t>Priority</t>
  </si>
  <si>
    <t>Test Level</t>
  </si>
  <si>
    <t>Test Case</t>
  </si>
  <si>
    <t>Preconditions</t>
  </si>
  <si>
    <t>Steps</t>
  </si>
  <si>
    <t>Expected Result</t>
  </si>
  <si>
    <t>Owner</t>
  </si>
  <si>
    <t>Status</t>
  </si>
  <si>
    <t>Blocked By</t>
  </si>
  <si>
    <t>Actual Result</t>
  </si>
  <si>
    <t>Evidence ID</t>
  </si>
  <si>
    <t>Defect Ref</t>
  </si>
  <si>
    <t>Automation</t>
  </si>
  <si>
    <t>Notes</t>
  </si>
  <si>
    <t>S4-ENV-01</t>
  </si>
  <si>
    <t>7.9</t>
  </si>
  <si>
    <t>NFR-12</t>
  </si>
  <si>
    <t>High</t>
  </si>
  <si>
    <t>Integration</t>
  </si>
  <si>
    <t>PostgreSQL connectivity</t>
  </si>
  <si>
    <t>Local Sprint 4 environment prepared</t>
  </si>
  <si>
    <t>Start PostgreSQL and run the approved database connectivity check.</t>
  </si>
  <si>
    <t>Backend reaches the configured PostgreSQL database without connection error.</t>
  </si>
  <si>
    <t>Hybrid</t>
  </si>
  <si>
    <t>S4-ENV-02</t>
  </si>
  <si>
    <t>Django system check</t>
  </si>
  <si>
    <t>Backend environment active</t>
  </si>
  <si>
    <t>Run Django system check.</t>
  </si>
  <si>
    <t>Django reports no system-check issues.</t>
  </si>
  <si>
    <t>Automated</t>
  </si>
  <si>
    <t>S4-ENV-03</t>
  </si>
  <si>
    <t>Migration drift check</t>
  </si>
  <si>
    <t>Run migration drift check.</t>
  </si>
  <si>
    <t>No uncommitted model changes require a new migration.</t>
  </si>
  <si>
    <t>S4-ENV-04</t>
  </si>
  <si>
    <t>Regression</t>
  </si>
  <si>
    <t>Full backend automated suite</t>
  </si>
  <si>
    <t>All required Sprint 4 predecessors merged</t>
  </si>
  <si>
    <t>Run the complete backend test suite.</t>
  </si>
  <si>
    <t>Full backend suite passes with no failures or errors.</t>
  </si>
  <si>
    <t>WBS 7.4, 7.6, 7.7, 7.8 integration gate</t>
  </si>
  <si>
    <t>S4-ENV-05</t>
  </si>
  <si>
    <t>Frontend</t>
  </si>
  <si>
    <t>Frontend lint</t>
  </si>
  <si>
    <t>Frontend dependencies installed</t>
  </si>
  <si>
    <t>Run npm lint command.</t>
  </si>
  <si>
    <t>Lint completes with no errors.</t>
  </si>
  <si>
    <t>S4-ENV-06</t>
  </si>
  <si>
    <t>Frontend production build</t>
  </si>
  <si>
    <t>Run production build.</t>
  </si>
  <si>
    <t>Production build completes successfully.</t>
  </si>
  <si>
    <t>S4-ENV-07</t>
  </si>
  <si>
    <t>NFR-07</t>
  </si>
  <si>
    <t>Medium</t>
  </si>
  <si>
    <t>Shared branch baseline verification</t>
  </si>
  <si>
    <t>All predecessor PRs ready for final integration</t>
  </si>
  <si>
    <t>Fetch feature/sprint-4 and compare local and remote heads.</t>
  </si>
  <si>
    <t>Local integration baseline matches origin/feature/sprint-4.</t>
  </si>
  <si>
    <t>S4-AUTH-01</t>
  </si>
  <si>
    <t>FR-01</t>
  </si>
  <si>
    <t>Login with valid Student credentials</t>
  </si>
  <si>
    <t>Valid Student account</t>
  </si>
  <si>
    <t>Sign in through the Student login flow.</t>
  </si>
  <si>
    <t>Student is authenticated and routed to the protected Student application.</t>
  </si>
  <si>
    <t>S4-AUTH-02</t>
  </si>
  <si>
    <t>Reject invalid Student credentials</t>
  </si>
  <si>
    <t>Student account exists</t>
  </si>
  <si>
    <t>Submit an invalid password.</t>
  </si>
  <si>
    <t>Login is rejected with a controlled validation or authentication message.</t>
  </si>
  <si>
    <t>S4-AUTH-03</t>
  </si>
  <si>
    <t>Protected Student route without authentication</t>
  </si>
  <si>
    <t>Signed out browser session</t>
  </si>
  <si>
    <t>Navigate directly to a protected Student route.</t>
  </si>
  <si>
    <t>Access is blocked and the user is directed to authentication.</t>
  </si>
  <si>
    <t>S4-AUTH-04</t>
  </si>
  <si>
    <t>NFR-05</t>
  </si>
  <si>
    <t>JWT-protected API without token</t>
  </si>
  <si>
    <t>No access token</t>
  </si>
  <si>
    <t>Call a protected Student API.</t>
  </si>
  <si>
    <t>API rejects the request with the approved unauthenticated response.</t>
  </si>
  <si>
    <t>S4-AUTH-05</t>
  </si>
  <si>
    <t>Current-user retrieval after login</t>
  </si>
  <si>
    <t>Authenticated Student</t>
  </si>
  <si>
    <t>Load the current-user/session endpoint or dependent UI state.</t>
  </si>
  <si>
    <t>Authenticated Student identity is returned without exposing sensitive fields.</t>
  </si>
  <si>
    <t>S4-PROFILE-01</t>
  </si>
  <si>
    <t>FR-02</t>
  </si>
  <si>
    <t>Load authenticated Student Profile</t>
  </si>
  <si>
    <t>Authenticated Student with profile</t>
  </si>
  <si>
    <t>Open Student Profile.</t>
  </si>
  <si>
    <t>Only the authenticated Student profile loads.</t>
  </si>
  <si>
    <t>S4-PROFILE-02</t>
  </si>
  <si>
    <t>Update approved Student Profile field</t>
  </si>
  <si>
    <t>Change an approved editable profile field and save.</t>
  </si>
  <si>
    <t>Update persists and reloads correctly.</t>
  </si>
  <si>
    <t>S4-PROFILE-03</t>
  </si>
  <si>
    <t>NFR-06</t>
  </si>
  <si>
    <t>Reject cross-student profile access</t>
  </si>
  <si>
    <t>Two Student accounts</t>
  </si>
  <si>
    <t>Attempt to access another Student record through direct API manipulation.</t>
  </si>
  <si>
    <t>Backend prevents cross-student access.</t>
  </si>
  <si>
    <t>S4-PROFILE-04</t>
  </si>
  <si>
    <t>Profile changes feed downstream career context</t>
  </si>
  <si>
    <t>Authenticated Student with editable Skills</t>
  </si>
  <si>
    <t>Change an approved Skill then reload a dependent career feature.</t>
  </si>
  <si>
    <t>Dependent feature uses the updated authenticated Student context.</t>
  </si>
  <si>
    <t>S4-REC-01</t>
  </si>
  <si>
    <t>FR-03</t>
  </si>
  <si>
    <t>Generate ranked Career Recommendations</t>
  </si>
  <si>
    <t>Student Profile contains required evidence</t>
  </si>
  <si>
    <t>Open Career Recommendations or request recommendations.</t>
  </si>
  <si>
    <t>Ranked deterministic recommendations are returned.</t>
  </si>
  <si>
    <t>S4-REC-02</t>
  </si>
  <si>
    <t>FR-04</t>
  </si>
  <si>
    <t>Recommendation score is visible</t>
  </si>
  <si>
    <t>Recommendation result exists</t>
  </si>
  <si>
    <t>Inspect recommendation result.</t>
  </si>
  <si>
    <t>Recommendation score is displayed with the result.</t>
  </si>
  <si>
    <t>S4-REC-03</t>
  </si>
  <si>
    <t>7.4,7.9</t>
  </si>
  <si>
    <t>Recommendation explanation is available</t>
  </si>
  <si>
    <t>Top recommendation exists and AI provider is available</t>
  </si>
  <si>
    <t>Request the approved recommendation explanation.</t>
  </si>
  <si>
    <t>Explanation is returned without changing deterministic score or rank.</t>
  </si>
  <si>
    <t>WBS 7.4</t>
  </si>
  <si>
    <t>S4-REC-04</t>
  </si>
  <si>
    <t>NFR-08</t>
  </si>
  <si>
    <t>Recommendation result repeats for same structured profile</t>
  </si>
  <si>
    <t>Profile is unchanged</t>
  </si>
  <si>
    <t>Request recommendations twice under the same controlled data.</t>
  </si>
  <si>
    <t>Deterministic recommendation order and scores repeat.</t>
  </si>
  <si>
    <t>S4-REC-05</t>
  </si>
  <si>
    <t>Recommendation data is isolated by Student</t>
  </si>
  <si>
    <t>Two Students have different profiles</t>
  </si>
  <si>
    <t>Request recommendations for both authenticated accounts.</t>
  </si>
  <si>
    <t>Each Student receives results from their own profile context.</t>
  </si>
  <si>
    <t>S4-REC-06</t>
  </si>
  <si>
    <t>FR-18</t>
  </si>
  <si>
    <t>AI explanation failure preserves deterministic recommendation</t>
  </si>
  <si>
    <t>Simulate or trigger controlled text-provider failure for explanation.</t>
  </si>
  <si>
    <t>Deterministic recommendation score and rank remain unchanged.</t>
  </si>
  <si>
    <t>S4-GAP-01</t>
  </si>
  <si>
    <t>FR-05</t>
  </si>
  <si>
    <t>Load Skill Gap for selected Career</t>
  </si>
  <si>
    <t>Authenticated Student and valid Career</t>
  </si>
  <si>
    <t>Open Skill Gap for the selected Career.</t>
  </si>
  <si>
    <t>Matched and missing requirements are shown for the selected Career.</t>
  </si>
  <si>
    <t>S4-GAP-02</t>
  </si>
  <si>
    <t>FR-06</t>
  </si>
  <si>
    <t>Load Career Readiness score</t>
  </si>
  <si>
    <t>Open readiness for the selected Career.</t>
  </si>
  <si>
    <t>Deterministic readiness score and factor details are returned.</t>
  </si>
  <si>
    <t>S4-GAP-03</t>
  </si>
  <si>
    <t>Repeat Skill Gap and readiness with unchanged profile</t>
  </si>
  <si>
    <t>Profile and Career unchanged</t>
  </si>
  <si>
    <t>Run the same Skill Gap and readiness request twice.</t>
  </si>
  <si>
    <t>Deterministic results repeat.</t>
  </si>
  <si>
    <t>S4-GAP-04</t>
  </si>
  <si>
    <t>Skill Gap AI summary failure preserves deterministic gap</t>
  </si>
  <si>
    <t>Skill Gap deterministic result exists</t>
  </si>
  <si>
    <t>Simulate controlled text-provider failure for summary.</t>
  </si>
  <si>
    <t>Deterministic matched and missing requirements remain unchanged.</t>
  </si>
  <si>
    <t>S4-GAP-05</t>
  </si>
  <si>
    <t>Readiness does not depend on text AI provider</t>
  </si>
  <si>
    <t>Valid Student and Career</t>
  </si>
  <si>
    <t>Disable or simulate unavailable text provider then request readiness.</t>
  </si>
  <si>
    <t>Readiness deterministic response remains available.</t>
  </si>
  <si>
    <t>S4-LEARN-01</t>
  </si>
  <si>
    <t>FR-11</t>
  </si>
  <si>
    <t>Load ranked Learning Resources</t>
  </si>
  <si>
    <t>Authenticated Student and selected Career</t>
  </si>
  <si>
    <t>Open Learning Resources.</t>
  </si>
  <si>
    <t>Ranked resources load for unresolved skill gaps.</t>
  </si>
  <si>
    <t>S4-LEARN-02</t>
  </si>
  <si>
    <t>Learning Resources match selected Career context</t>
  </si>
  <si>
    <t>Multiple Careers available</t>
  </si>
  <si>
    <t>Change selected Career and reload resources.</t>
  </si>
  <si>
    <t>Resources reflect the active selected Career context.</t>
  </si>
  <si>
    <t>S4-LEARN-03</t>
  </si>
  <si>
    <t>Learning Resource feedback action</t>
  </si>
  <si>
    <t>Feedback action is available</t>
  </si>
  <si>
    <t>Submit an approved Helpful or Not Useful action.</t>
  </si>
  <si>
    <t>Feedback request is handled without breaking the resource list.</t>
  </si>
  <si>
    <t>S4-LEARN-04</t>
  </si>
  <si>
    <t>Learning Resource issue report action</t>
  </si>
  <si>
    <t>Issue-report action is available</t>
  </si>
  <si>
    <t>Submit an approved report action.</t>
  </si>
  <si>
    <t>Report is handled through the approved backend flow.</t>
  </si>
  <si>
    <t>S4-ROAD-01</t>
  </si>
  <si>
    <t>FR-12</t>
  </si>
  <si>
    <t>Load Career Roadmap</t>
  </si>
  <si>
    <t>Open Career Roadmap.</t>
  </si>
  <si>
    <t>Ordered roadmap steps load for the selected Career.</t>
  </si>
  <si>
    <t>S4-ROAD-02</t>
  </si>
  <si>
    <t>Start roadmap step</t>
  </si>
  <si>
    <t>Roadmap step is available</t>
  </si>
  <si>
    <t>Start an eligible roadmap step.</t>
  </si>
  <si>
    <t>Progress state updates for the authenticated Student.</t>
  </si>
  <si>
    <t>S4-ROAD-03</t>
  </si>
  <si>
    <t>Mark roadmap step complete</t>
  </si>
  <si>
    <t>Started roadmap step exists</t>
  </si>
  <si>
    <t>Mark the step complete.</t>
  </si>
  <si>
    <t>Completion persists and progress updates.</t>
  </si>
  <si>
    <t>S4-ROAD-04</t>
  </si>
  <si>
    <t>Roadmap guidance remains Student-owned</t>
  </si>
  <si>
    <t>Two Students have roadmap data</t>
  </si>
  <si>
    <t>Attempt cross-student roadmap access.</t>
  </si>
  <si>
    <t>S4-JOB-01</t>
  </si>
  <si>
    <t>7.5,7.9</t>
  </si>
  <si>
    <t>FR-07</t>
  </si>
  <si>
    <t>Open protected Job Matching page</t>
  </si>
  <si>
    <t>Navigate to Job Matching.</t>
  </si>
  <si>
    <t>Job Matching page loads for the authenticated Student.</t>
  </si>
  <si>
    <t>S4-JOB-02</t>
  </si>
  <si>
    <t>7.2,7.5,7.9</t>
  </si>
  <si>
    <t>Submit valid job description</t>
  </si>
  <si>
    <t>Authenticated Student with Skills</t>
  </si>
  <si>
    <t>Paste a valid job description and submit.</t>
  </si>
  <si>
    <t>Structured matched and missing requirement result is displayed.</t>
  </si>
  <si>
    <t>S4-JOB-03</t>
  </si>
  <si>
    <t>Reject blank job description</t>
  </si>
  <si>
    <t>Submit blank job-description input.</t>
  </si>
  <si>
    <t>Validation prevents the request or API rejects the blank value.</t>
  </si>
  <si>
    <t>S4-JOB-04</t>
  </si>
  <si>
    <t>Reject oversized job description</t>
  </si>
  <si>
    <t>Submit text above the approved 20,000-character limit.</t>
  </si>
  <si>
    <t>Oversized input is rejected with controlled validation.</t>
  </si>
  <si>
    <t>S4-JOB-05</t>
  </si>
  <si>
    <t>Display matched requirements</t>
  </si>
  <si>
    <t>Job description contains known Student Skills</t>
  </si>
  <si>
    <t>Submit job description.</t>
  </si>
  <si>
    <t>Known requirements appear in the matched section.</t>
  </si>
  <si>
    <t>S4-JOB-06</t>
  </si>
  <si>
    <t>Display missing requirements</t>
  </si>
  <si>
    <t>Job description contains recognised Skills absent from profile</t>
  </si>
  <si>
    <t>Recognised absent requirements appear in the missing section.</t>
  </si>
  <si>
    <t>S4-JOB-07</t>
  </si>
  <si>
    <t>7.2,7.9</t>
  </si>
  <si>
    <t>Canonical skill matching</t>
  </si>
  <si>
    <t>Canonical Skill name appears in job description</t>
  </si>
  <si>
    <t>Canonical Skill is recognised correctly.</t>
  </si>
  <si>
    <t>S4-JOB-08</t>
  </si>
  <si>
    <t>Skill alias matching</t>
  </si>
  <si>
    <t>Approved SkillAlias appears in job description</t>
  </si>
  <si>
    <t>Alias resolves to the canonical Skill.</t>
  </si>
  <si>
    <t>S4-JOB-09</t>
  </si>
  <si>
    <t>Avoid unsupported synonym guessing</t>
  </si>
  <si>
    <t>Job description uses unsupported related wording</t>
  </si>
  <si>
    <t>Unsupported wording is not silently mapped to a different Skill.</t>
  </si>
  <si>
    <t>S4-JOB-10</t>
  </si>
  <si>
    <t>Avoid generic Design false positive</t>
  </si>
  <si>
    <t>Job description contains generic design wording without approved context</t>
  </si>
  <si>
    <t>Generic wording does not incorrectly map to the canonical Design concept.</t>
  </si>
  <si>
    <t>S4-JOB-11</t>
  </si>
  <si>
    <t>Do not expose suitability score</t>
  </si>
  <si>
    <t>Valid job match result exists</t>
  </si>
  <si>
    <t>Inspect result UI and API response.</t>
  </si>
  <si>
    <t>No hiring probability or employment suitability score is presented.</t>
  </si>
  <si>
    <t>S4-JOB-12</t>
  </si>
  <si>
    <t>Reject client ownership override</t>
  </si>
  <si>
    <t>Add unsupported ownership identifiers to the request.</t>
  </si>
  <si>
    <t>Request is rejected or ownership fields are ignored according to the approved contract.</t>
  </si>
  <si>
    <t>S4-JOB-13</t>
  </si>
  <si>
    <t>Job Matching is stateless for profile</t>
  </si>
  <si>
    <t>Valid job description</t>
  </si>
  <si>
    <t>Run job match then reload Student Profile.</t>
  </si>
  <si>
    <t>Student Profile is not mutated by the job-match operation.</t>
  </si>
  <si>
    <t>S4-JOB-14</t>
  </si>
  <si>
    <t>Handoff job description to Resume Builder</t>
  </si>
  <si>
    <t>Job Matching result exists</t>
  </si>
  <si>
    <t>Use Resume Builder next-step action.</t>
  </si>
  <si>
    <t>Resume Builder receives the current job description context where supported.</t>
  </si>
  <si>
    <t>S4-JOB-15</t>
  </si>
  <si>
    <t>Handoff job description to Cover Letter Builder</t>
  </si>
  <si>
    <t>Use Cover Letter Builder next-step action.</t>
  </si>
  <si>
    <t>Cover Letter Builder receives the current job description context.</t>
  </si>
  <si>
    <t>S4-RESUME-01</t>
  </si>
  <si>
    <t>FR-08</t>
  </si>
  <si>
    <t>Open protected Resume Builder</t>
  </si>
  <si>
    <t>Navigate to Resume Builder.</t>
  </si>
  <si>
    <t>Protected Resume Builder loads.</t>
  </si>
  <si>
    <t>S4-RESUME-02</t>
  </si>
  <si>
    <t>7.3,7.9</t>
  </si>
  <si>
    <t>Generate Resume from approved profile context</t>
  </si>
  <si>
    <t>Authenticated Student with approved Resume context</t>
  </si>
  <si>
    <t>Generate a Resume draft.</t>
  </si>
  <si>
    <t>Structured Resume draft is returned through the backend provider path.</t>
  </si>
  <si>
    <t>S4-RESUME-03</t>
  </si>
  <si>
    <t>Resume draft remains editable</t>
  </si>
  <si>
    <t>Generated Resume exists</t>
  </si>
  <si>
    <t>Edit generated Resume content.</t>
  </si>
  <si>
    <t>Student edits are accepted in the UI.</t>
  </si>
  <si>
    <t>S4-RESUME-04</t>
  </si>
  <si>
    <t>Resume output requires user review</t>
  </si>
  <si>
    <t>Inspect generated draft and review messaging.</t>
  </si>
  <si>
    <t>Draft is presented for user review before use.</t>
  </si>
  <si>
    <t>S4-RESUME-05</t>
  </si>
  <si>
    <t>Resume provider failure is controlled</t>
  </si>
  <si>
    <t>Simulate provider-unavailable condition and generate.</t>
  </si>
  <si>
    <t>Controlled error is returned without provider internals.</t>
  </si>
  <si>
    <t>S4-RESUME-06</t>
  </si>
  <si>
    <t>Resume invalid AI response is rejected</t>
  </si>
  <si>
    <t>Controlled invalid provider response is available</t>
  </si>
  <si>
    <t>Generate using invalid structured response.</t>
  </si>
  <si>
    <t>Invalid response is rejected and no invalid draft is accepted.</t>
  </si>
  <si>
    <t>S4-RESUME-07</t>
  </si>
  <si>
    <t>Job Matching handoff reaches Resume Builder</t>
  </si>
  <si>
    <t>Job Matching page contains a current job description</t>
  </si>
  <si>
    <t>Navigate to Resume Builder through the Job Matching action.</t>
  </si>
  <si>
    <t>Expected job-description context is retained where supported.</t>
  </si>
  <si>
    <t>S4-COVER-01</t>
  </si>
  <si>
    <t>FR-09</t>
  </si>
  <si>
    <t>Open protected Cover Letter Builder</t>
  </si>
  <si>
    <t>Navigate to Cover Letter Builder.</t>
  </si>
  <si>
    <t>Protected Cover Letter Builder loads.</t>
  </si>
  <si>
    <t>S4-COVER-02</t>
  </si>
  <si>
    <t>Require target job description</t>
  </si>
  <si>
    <t>Attempt generation without required job-description context.</t>
  </si>
  <si>
    <t>Generation is prevented with controlled validation.</t>
  </si>
  <si>
    <t>S4-COVER-03</t>
  </si>
  <si>
    <t>Generate Cover Letter from profile and job context</t>
  </si>
  <si>
    <t>Authenticated Student with approved profile and job description</t>
  </si>
  <si>
    <t>Generate a Cover Letter draft.</t>
  </si>
  <si>
    <t>Structured Cover Letter draft is returned.</t>
  </si>
  <si>
    <t>S4-COVER-04</t>
  </si>
  <si>
    <t>Cover Letter draft remains editable</t>
  </si>
  <si>
    <t>Generated Cover Letter exists</t>
  </si>
  <si>
    <t>Edit generated Cover Letter content.</t>
  </si>
  <si>
    <t>S4-COVER-05</t>
  </si>
  <si>
    <t>Cover Letter output requires user review</t>
  </si>
  <si>
    <t>S4-COVER-06</t>
  </si>
  <si>
    <t>Cover Letter provider failure is controlled</t>
  </si>
  <si>
    <t>S4-COVER-07</t>
  </si>
  <si>
    <t>Job Matching handoff reaches Cover Letter Builder</t>
  </si>
  <si>
    <t>Navigate through the Cover Letter next-step action.</t>
  </si>
  <si>
    <t>Current job-description context is carried into the builder.</t>
  </si>
  <si>
    <t>S4-INT-01</t>
  </si>
  <si>
    <t>FR-10</t>
  </si>
  <si>
    <t>Open protected Interview Preparation page</t>
  </si>
  <si>
    <t>Navigate to Interview Preparation.</t>
  </si>
  <si>
    <t>Protected Interview page loads.</t>
  </si>
  <si>
    <t>S4-INT-02</t>
  </si>
  <si>
    <t>Generate valid Interview Questions</t>
  </si>
  <si>
    <t>Authenticated Student and valid target role</t>
  </si>
  <si>
    <t>Request an approved question count.</t>
  </si>
  <si>
    <t>Structured Interview Questions are returned.</t>
  </si>
  <si>
    <t>S4-INT-03</t>
  </si>
  <si>
    <t>Reject invalid question count below range</t>
  </si>
  <si>
    <t>Request a count below the allowed minimum.</t>
  </si>
  <si>
    <t>Validation rejects the request.</t>
  </si>
  <si>
    <t>S4-INT-04</t>
  </si>
  <si>
    <t>Reject invalid question count above range</t>
  </si>
  <si>
    <t>Request a count above the allowed maximum.</t>
  </si>
  <si>
    <t>S4-INT-05</t>
  </si>
  <si>
    <t>Render returned Interview Questions</t>
  </si>
  <si>
    <t>Valid question set exists</t>
  </si>
  <si>
    <t>Inspect Interview page.</t>
  </si>
  <si>
    <t>Returned questions render correctly.</t>
  </si>
  <si>
    <t>S4-INT-06</t>
  </si>
  <si>
    <t>Submit typed Interview answer</t>
  </si>
  <si>
    <t>Question is selected</t>
  </si>
  <si>
    <t>Enter an answer and submit for feedback.</t>
  </si>
  <si>
    <t>Answer is accepted as untrusted user input.</t>
  </si>
  <si>
    <t>S4-INT-07</t>
  </si>
  <si>
    <t>Generate structured Interview Feedback</t>
  </si>
  <si>
    <t>Valid answer submitted</t>
  </si>
  <si>
    <t>Request feedback.</t>
  </si>
  <si>
    <t>Structured strengths and improvement feedback is returned.</t>
  </si>
  <si>
    <t>S4-INT-08</t>
  </si>
  <si>
    <t>Reject semantically invalid focus areas</t>
  </si>
  <si>
    <t>Return duplicate, blank, missing, or extra focus areas.</t>
  </si>
  <si>
    <t>Semantic validator rejects invalid question set.</t>
  </si>
  <si>
    <t>S4-INT-09</t>
  </si>
  <si>
    <t>Exclude hiring probability or pass-fail classification</t>
  </si>
  <si>
    <t>Questions or feedback generated</t>
  </si>
  <si>
    <t>Inspect returned output.</t>
  </si>
  <si>
    <t>No hiring probability or pass-fail hiring classification appears.</t>
  </si>
  <si>
    <t>S4-AI-01</t>
  </si>
  <si>
    <t>Accept completed AI response</t>
  </si>
  <si>
    <t>Controlled completed provider response</t>
  </si>
  <si>
    <t>Invoke approved AI operation.</t>
  </si>
  <si>
    <t>Completed response proceeds to structured validation.</t>
  </si>
  <si>
    <t>S4-AI-02</t>
  </si>
  <si>
    <t>Reject incomplete AI response</t>
  </si>
  <si>
    <t>Controlled incomplete provider response</t>
  </si>
  <si>
    <t>Incomplete response is rejected.</t>
  </si>
  <si>
    <t>S4-AI-03</t>
  </si>
  <si>
    <t>Reject failed AI response state</t>
  </si>
  <si>
    <t>Controlled failed provider response</t>
  </si>
  <si>
    <t>Failed response is rejected.</t>
  </si>
  <si>
    <t>S4-AI-04</t>
  </si>
  <si>
    <t>Reject cancelled AI response state</t>
  </si>
  <si>
    <t>Controlled cancelled provider response</t>
  </si>
  <si>
    <t>Cancelled response is rejected.</t>
  </si>
  <si>
    <t>S4-AI-05</t>
  </si>
  <si>
    <t>Reject queued or in-progress response state</t>
  </si>
  <si>
    <t>Controlled non-completed response</t>
  </si>
  <si>
    <t>Non-completed response is rejected.</t>
  </si>
  <si>
    <t>S4-AI-06</t>
  </si>
  <si>
    <t>Reject missing AI response status</t>
  </si>
  <si>
    <t>Controlled response without status</t>
  </si>
  <si>
    <t>Missing response status is rejected.</t>
  </si>
  <si>
    <t>S4-AI-07</t>
  </si>
  <si>
    <t>Reject empty AI output</t>
  </si>
  <si>
    <t>Controlled completed response with empty output</t>
  </si>
  <si>
    <t>Empty output is rejected.</t>
  </si>
  <si>
    <t>S4-AI-08</t>
  </si>
  <si>
    <t>Reject malformed AI JSON</t>
  </si>
  <si>
    <t>Controlled malformed structured output</t>
  </si>
  <si>
    <t>Malformed JSON is rejected.</t>
  </si>
  <si>
    <t>S4-AI-09</t>
  </si>
  <si>
    <t>Translate provider timeout safely</t>
  </si>
  <si>
    <t>Controlled timeout condition</t>
  </si>
  <si>
    <t>Controlled application error is returned without internal detail.</t>
  </si>
  <si>
    <t>S4-AI-10</t>
  </si>
  <si>
    <t>Translate connection or service-unavailable failure safely</t>
  </si>
  <si>
    <t>Controlled connection failure</t>
  </si>
  <si>
    <t>Controlled application error is returned without provider internals.</t>
  </si>
  <si>
    <t>S4-AI-11</t>
  </si>
  <si>
    <t>Translate rate-limit or provider HTTP failure safely</t>
  </si>
  <si>
    <t>Controlled provider failure</t>
  </si>
  <si>
    <t>S4-AI-12</t>
  </si>
  <si>
    <t>Protect deterministic results during AI failure</t>
  </si>
  <si>
    <t>Existing deterministic recommendation, gap, readiness, and job-match data</t>
  </si>
  <si>
    <t>Trigger controlled text-AI failure then compare deterministic outputs.</t>
  </si>
  <si>
    <t>Deterministic values remain unchanged.</t>
  </si>
  <si>
    <t>S4-ADMINAPI-01</t>
  </si>
  <si>
    <t>7.6,7.9</t>
  </si>
  <si>
    <t>FR-14</t>
  </si>
  <si>
    <t>API</t>
  </si>
  <si>
    <t>Reject unauthenticated admin API request</t>
  </si>
  <si>
    <t>No authentication</t>
  </si>
  <si>
    <t>Call an administrator collection endpoint.</t>
  </si>
  <si>
    <t>Request is rejected.</t>
  </si>
  <si>
    <t>WBS 7.6</t>
  </si>
  <si>
    <t>S4-ADMINAPI-02</t>
  </si>
  <si>
    <t>Reject Student-role admin API request</t>
  </si>
  <si>
    <t>Backend returns permission denial.</t>
  </si>
  <si>
    <t>S4-ADMINAPI-03</t>
  </si>
  <si>
    <t>Allow Administrator admin API request</t>
  </si>
  <si>
    <t>Authenticated Administrator</t>
  </si>
  <si>
    <t>Call an approved administrator collection endpoint.</t>
  </si>
  <si>
    <t>Approved administration data is returned.</t>
  </si>
  <si>
    <t>S4-ADMINAPI-04</t>
  </si>
  <si>
    <t>List users without exposing passwords</t>
  </si>
  <si>
    <t>Request administrator user list.</t>
  </si>
  <si>
    <t>User list excludes password values and unnecessary private profile data.</t>
  </si>
  <si>
    <t>S4-ADMINAPI-05</t>
  </si>
  <si>
    <t>Retrieve approved user administration detail</t>
  </si>
  <si>
    <t>Authenticated Administrator and target user</t>
  </si>
  <si>
    <t>Request user detail.</t>
  </si>
  <si>
    <t>Approved user administration fields are returned.</t>
  </si>
  <si>
    <t>S4-ADMINAPI-06</t>
  </si>
  <si>
    <t>Update approved user administration field</t>
  </si>
  <si>
    <t>Submit an approved user update.</t>
  </si>
  <si>
    <t>Update succeeds and persists.</t>
  </si>
  <si>
    <t>S4-ADMINAPI-07</t>
  </si>
  <si>
    <t>Career management CRUD contract</t>
  </si>
  <si>
    <t>Exercise approved Career create, retrieve, update, and delete operations.</t>
  </si>
  <si>
    <t>Career administration follows the approved API contract.</t>
  </si>
  <si>
    <t>S4-ADMINAPI-08</t>
  </si>
  <si>
    <t>Skill management CRUD contract</t>
  </si>
  <si>
    <t>Exercise approved Skill create, retrieve, update, and delete operations.</t>
  </si>
  <si>
    <t>Skill administration follows the approved API contract.</t>
  </si>
  <si>
    <t>S4-ADMINAPI-09</t>
  </si>
  <si>
    <t>Learning Resource management CRUD contract</t>
  </si>
  <si>
    <t>Exercise approved Learning Resource operations.</t>
  </si>
  <si>
    <t>Learning Resource administration follows the approved API contract.</t>
  </si>
  <si>
    <t>S4-ADMINAPI-10</t>
  </si>
  <si>
    <t>Learning Resource to Skill assignment</t>
  </si>
  <si>
    <t>Authenticated Administrator with existing Skill and resource</t>
  </si>
  <si>
    <t>Assign the approved Skill relation.</t>
  </si>
  <si>
    <t>Assignment persists and is returned correctly.</t>
  </si>
  <si>
    <t>S4-ADMINUI-01</t>
  </si>
  <si>
    <t>7.7,7.9</t>
  </si>
  <si>
    <t>Protect admin route</t>
  </si>
  <si>
    <t>Signed-out browser session</t>
  </si>
  <si>
    <t>Navigate directly to /admin.</t>
  </si>
  <si>
    <t>Unauthenticated access is blocked.</t>
  </si>
  <si>
    <t>WBS 7.7 and WBS 7.6</t>
  </si>
  <si>
    <t>Manual</t>
  </si>
  <si>
    <t>S4-ADMINUI-02</t>
  </si>
  <si>
    <t>Reject Student from admin dashboard</t>
  </si>
  <si>
    <t>Student cannot use the admin dashboard.</t>
  </si>
  <si>
    <t>S4-ADMINUI-03</t>
  </si>
  <si>
    <t>Load Admin Dashboard for Administrator</t>
  </si>
  <si>
    <t>Open /admin.</t>
  </si>
  <si>
    <t>Admin Dashboard loads.</t>
  </si>
  <si>
    <t>S4-ADMINUI-04</t>
  </si>
  <si>
    <t>Display admin loading state</t>
  </si>
  <si>
    <t>Admin API response is delayed</t>
  </si>
  <si>
    <t>Open Admin Dashboard.</t>
  </si>
  <si>
    <t>Loading state is visible while data is pending.</t>
  </si>
  <si>
    <t>S4-ADMINUI-05</t>
  </si>
  <si>
    <t>Display admin API error state</t>
  </si>
  <si>
    <t>Controlled admin API failure</t>
  </si>
  <si>
    <t>Controlled error state is shown.</t>
  </si>
  <si>
    <t>S4-ADMINUI-06</t>
  </si>
  <si>
    <t>Display approved summary information</t>
  </si>
  <si>
    <t>Authenticated Administrator and API data available</t>
  </si>
  <si>
    <t>Approved summary information is rendered.</t>
  </si>
  <si>
    <t>S4-ADMINUI-07</t>
  </si>
  <si>
    <t>Use approved management screen</t>
  </si>
  <si>
    <t>Open an available user, Career, Skill, or Learning Resource management screen.</t>
  </si>
  <si>
    <t>Screen loads and connects to the approved admin API.</t>
  </si>
  <si>
    <t>S4-ADMINUI-08</t>
  </si>
  <si>
    <t>Admin UI does not replace backend permission boundary</t>
  </si>
  <si>
    <t>Authenticated Student with manipulated frontend navigation</t>
  </si>
  <si>
    <t>Attempt direct admin API action.</t>
  </si>
  <si>
    <t>Backend still rejects the operation.</t>
  </si>
  <si>
    <t>S4-PERM-01</t>
  </si>
  <si>
    <t>7.8,7.9</t>
  </si>
  <si>
    <t>Permission</t>
  </si>
  <si>
    <t>Administrator role accesses approved admin operation</t>
  </si>
  <si>
    <t>Perform an approved administration request.</t>
  </si>
  <si>
    <t>Backend permits the approved role operation.</t>
  </si>
  <si>
    <t>WBS 7.8</t>
  </si>
  <si>
    <t>S4-PERM-02</t>
  </si>
  <si>
    <t>Critical</t>
  </si>
  <si>
    <t>Student role is denied admin collection access</t>
  </si>
  <si>
    <t>Call an administrator collection endpoint directly.</t>
  </si>
  <si>
    <t>Backend denies access.</t>
  </si>
  <si>
    <t>S4-PERM-03</t>
  </si>
  <si>
    <t>Student role is denied admin mutation</t>
  </si>
  <si>
    <t>Attempt an administrator create or update directly.</t>
  </si>
  <si>
    <t>Backend denies access and no mutation occurs.</t>
  </si>
  <si>
    <t>S4-PERM-04</t>
  </si>
  <si>
    <t>Unauthenticated user is denied admin access</t>
  </si>
  <si>
    <t>Call an admin endpoint.</t>
  </si>
  <si>
    <t>Request is rejected as unauthenticated.</t>
  </si>
  <si>
    <t>S4-PERM-05</t>
  </si>
  <si>
    <t>Frontend manipulation does not bypass admin permission</t>
  </si>
  <si>
    <t>Manually navigate or submit a direct admin request.</t>
  </si>
  <si>
    <t>Backend permission enforcement prevents access.</t>
  </si>
  <si>
    <t>S4-PERM-06</t>
  </si>
  <si>
    <t>Student-owned resource isolation remains active</t>
  </si>
  <si>
    <t>Attempt cross-student access after permission changes are integrated.</t>
  </si>
  <si>
    <t>Cross-student access remains denied.</t>
  </si>
  <si>
    <t>S4-AUDIT-01</t>
  </si>
  <si>
    <t>Security</t>
  </si>
  <si>
    <t>Approved critical admin action creates audit record</t>
  </si>
  <si>
    <t>WBS 7.8 integrated and Administrator authenticated</t>
  </si>
  <si>
    <t>Perform an approved critical administration action.</t>
  </si>
  <si>
    <t>Required audit record is created.</t>
  </si>
  <si>
    <t>S4-AUDIT-02</t>
  </si>
  <si>
    <t>Audit record identifies action</t>
  </si>
  <si>
    <t>Audit record exists</t>
  </si>
  <si>
    <t>Inspect the stored audit record.</t>
  </si>
  <si>
    <t>Record identifies the approved action using the required fields.</t>
  </si>
  <si>
    <t>S4-AUDIT-03</t>
  </si>
  <si>
    <t>Audit record excludes passwords</t>
  </si>
  <si>
    <t>Audit record exists after user administration action</t>
  </si>
  <si>
    <t>Inspect audit data.</t>
  </si>
  <si>
    <t>No password or password hash is stored in audit details.</t>
  </si>
  <si>
    <t>S4-AUDIT-04</t>
  </si>
  <si>
    <t>Audit record excludes JWT values and secrets</t>
  </si>
  <si>
    <t>No JWT, API key, or secret value is stored.</t>
  </si>
  <si>
    <t>S4-AUDIT-05</t>
  </si>
  <si>
    <t>Audit record avoids unnecessary Student private data</t>
  </si>
  <si>
    <t>Only approved audit data is retained.</t>
  </si>
  <si>
    <t>S4-AUDIT-06</t>
  </si>
  <si>
    <t>Audit access follows permission model</t>
  </si>
  <si>
    <t>Student and Administrator accounts available</t>
  </si>
  <si>
    <t>Attempt audit access with both roles.</t>
  </si>
  <si>
    <t>Only the approved role has audit access.</t>
  </si>
  <si>
    <t>S4-FE-01</t>
  </si>
  <si>
    <t>NFR-02,NFR-10,NFR-11</t>
  </si>
  <si>
    <t>Job Matching desktop layout</t>
  </si>
  <si>
    <t>Job Matching page available</t>
  </si>
  <si>
    <t>Check current desktop width.</t>
  </si>
  <si>
    <t>Content and actions remain readable and usable.</t>
  </si>
  <si>
    <t>S4-FE-02</t>
  </si>
  <si>
    <t>Job Matching tablet and mobile layout</t>
  </si>
  <si>
    <t>Check representative tablet and mobile widths.</t>
  </si>
  <si>
    <t>Core controls and results remain usable without unintended overflow.</t>
  </si>
  <si>
    <t>S4-FE-03</t>
  </si>
  <si>
    <t>Admin Dashboard responsive layout</t>
  </si>
  <si>
    <t>WBS 7.7 integrated</t>
  </si>
  <si>
    <t>Check desktop, tablet, and mobile widths.</t>
  </si>
  <si>
    <t>Approved admin dashboard remains usable across planned widths.</t>
  </si>
  <si>
    <t>WBS 7.7</t>
  </si>
  <si>
    <t>S4-FE-04</t>
  </si>
  <si>
    <t>Keyboard access for Sprint 4 forms</t>
  </si>
  <si>
    <t>Relevant Sprint 4 forms available</t>
  </si>
  <si>
    <t>Navigate controls using keyboard only.</t>
  </si>
  <si>
    <t>Interactive controls are reachable in a logical order.</t>
  </si>
  <si>
    <t>S4-FE-05</t>
  </si>
  <si>
    <t>Form labels and validation feedback</t>
  </si>
  <si>
    <t>Sprint 4 form available</t>
  </si>
  <si>
    <t>Inspect labels and trigger validation.</t>
  </si>
  <si>
    <t>Inputs have meaningful labels and useful validation feedback.</t>
  </si>
  <si>
    <t>S4-FE-06</t>
  </si>
  <si>
    <t>Current Chrome compatibility</t>
  </si>
  <si>
    <t>Integrated Sprint 4 baseline ready</t>
  </si>
  <si>
    <t>Execute core Sprint 4 smoke flow in Chrome.</t>
  </si>
  <si>
    <t>Core flow works in current Chrome.</t>
  </si>
  <si>
    <t>S4-FE-07</t>
  </si>
  <si>
    <t>Current Edge compatibility</t>
  </si>
  <si>
    <t>Execute core Sprint 4 smoke flow in Edge.</t>
  </si>
  <si>
    <t>Core flow works in current Edge.</t>
  </si>
  <si>
    <t>S4-FE-08</t>
  </si>
  <si>
    <t>Current Firefox compatibility</t>
  </si>
  <si>
    <t>Execute core Sprint 4 smoke flow in Firefox.</t>
  </si>
  <si>
    <t>Core flow works in current Firefox.</t>
  </si>
  <si>
    <t>S4-REG-01</t>
  </si>
  <si>
    <t>Sprint 1 authentication regression</t>
  </si>
  <si>
    <t>Execute approved Sprint 1 authentication smoke set.</t>
  </si>
  <si>
    <t>Core authentication remains working.</t>
  </si>
  <si>
    <t>S4-REG-02</t>
  </si>
  <si>
    <t>Sprint 1 Student Profile regression</t>
  </si>
  <si>
    <t>Execute approved Student Profile smoke set.</t>
  </si>
  <si>
    <t>Core Student Profile remains working.</t>
  </si>
  <si>
    <t>S4-REG-03</t>
  </si>
  <si>
    <t>Sprint 2 career-analysis regression</t>
  </si>
  <si>
    <t>Execute approved Career Recommendation, Skill Gap, Readiness, Learning, and Roadmap smoke set.</t>
  </si>
  <si>
    <t>Core Sprint 2 career-analysis functions remain working.</t>
  </si>
  <si>
    <t>S4-REG-04</t>
  </si>
  <si>
    <t>Sprint 3 document regression</t>
  </si>
  <si>
    <t>Execute approved Resume and Cover Letter smoke set.</t>
  </si>
  <si>
    <t>Core document flows remain working.</t>
  </si>
  <si>
    <t>S4-REG-05</t>
  </si>
  <si>
    <t>Sprint 3 Interview regression</t>
  </si>
  <si>
    <t>Execute approved Interview Question and Feedback smoke set.</t>
  </si>
  <si>
    <t>Core Interview flow remains working.</t>
  </si>
  <si>
    <t>S4-REG-06</t>
  </si>
  <si>
    <t>Feature-complete Sprint 4 end-to-end smoke</t>
  </si>
  <si>
    <t>All WBS 7.9 predecessors merged and no Critical blocker</t>
  </si>
  <si>
    <t>Run Student and Administrator core Sprint 4 flows from authentication through final result.</t>
  </si>
  <si>
    <t>Core Sprint 4 integrated increment works without unresolved Critical or High blocking defect.</t>
  </si>
  <si>
    <t>GradNavi Sprint 4 Evidence Index</t>
  </si>
  <si>
    <t>Planned evidence locations for WBS 7.9. Evidence is captured only after a related test is executed.</t>
  </si>
  <si>
    <t>Related Test IDs</t>
  </si>
  <si>
    <t>Evidence Type</t>
  </si>
  <si>
    <t>Description</t>
  </si>
  <si>
    <t>Repository Path / Planned File</t>
  </si>
  <si>
    <t>Captured Date</t>
  </si>
  <si>
    <t>S4-EV-ENV-001</t>
  </si>
  <si>
    <t>S4-ENV-01 to S4-ENV-07</t>
  </si>
  <si>
    <t>Terminal / automated output</t>
  </si>
  <si>
    <t>Environment, Django, migration, backend, lint, build and baseline verification evidence</t>
  </si>
  <si>
    <t>docs/testing/evidence/sprint-4/</t>
  </si>
  <si>
    <t>All Members</t>
  </si>
  <si>
    <t>Planned</t>
  </si>
  <si>
    <t>S4-EV-JOB-001</t>
  </si>
  <si>
    <t>S4-JOB-01 to S4-JOB-15</t>
  </si>
  <si>
    <t>Screenshots + API evidence</t>
  </si>
  <si>
    <t>Job Matching integration and handoff evidence</t>
  </si>
  <si>
    <t>S4-EV-AI-001</t>
  </si>
  <si>
    <t>S4-AI-01 to S4-AI-12</t>
  </si>
  <si>
    <t>Automated output</t>
  </si>
  <si>
    <t>AI response validation and controlled provider failure evidence</t>
  </si>
  <si>
    <t>S4-EV-DOC-001</t>
  </si>
  <si>
    <t>S4-RESUME-01 to S4-COVER-07</t>
  </si>
  <si>
    <t>Screenshots + automated output</t>
  </si>
  <si>
    <t>Resume and Cover Letter integration evidence</t>
  </si>
  <si>
    <t>S4-EV-INT-001</t>
  </si>
  <si>
    <t>S4-INT-01 to S4-INT-09</t>
  </si>
  <si>
    <t>Interview Questions and Feedback integration evidence</t>
  </si>
  <si>
    <t>S4-EV-ADMIN-001</t>
  </si>
  <si>
    <t>S4-ADMINAPI-01 to S4-ADMINAPI-10</t>
  </si>
  <si>
    <t>API / automated output</t>
  </si>
  <si>
    <t>Administration API integration evidence</t>
  </si>
  <si>
    <t>S4-EV-ADMINUI-001</t>
  </si>
  <si>
    <t>S4-ADMINUI-01 to S4-ADMINUI-08</t>
  </si>
  <si>
    <t>Screenshots</t>
  </si>
  <si>
    <t>Admin Dashboard integration evidence</t>
  </si>
  <si>
    <t>S4-EV-PERM-001</t>
  </si>
  <si>
    <t>S4-PERM-01 to S4-PERM-06</t>
  </si>
  <si>
    <t>Role permission enforcement evidence</t>
  </si>
  <si>
    <t>S4-EV-AUDIT-001</t>
  </si>
  <si>
    <t>S4-AUDIT-01 to S4-AUDIT-06</t>
  </si>
  <si>
    <t>Database / API evidence</t>
  </si>
  <si>
    <t>Audit record creation, content and permission evidence</t>
  </si>
  <si>
    <t>S4-EV-FE-001</t>
  </si>
  <si>
    <t>S4-FE-01 to S4-FE-08</t>
  </si>
  <si>
    <t>Screenshots / browser checklist</t>
  </si>
  <si>
    <t>Responsive, keyboard and browser compatibility evidence</t>
  </si>
  <si>
    <t>S4-EV-REG-001</t>
  </si>
  <si>
    <t>S4-REG-01 to S4-REG-06</t>
  </si>
  <si>
    <t>Automated + smoke evidence</t>
  </si>
  <si>
    <t>Sprint 1 to Sprint 3 regression and final Sprint 4 smoke evidence</t>
  </si>
  <si>
    <t>Final integration gate</t>
  </si>
  <si>
    <t>S4-ENV-01-EV-01</t>
  </si>
  <si>
    <t>S4-ENV-01-EV-02</t>
  </si>
  <si>
    <t>S4-ENV-01-EV-03</t>
  </si>
  <si>
    <t>PostgreSQL connectivity: PASS
Database: gradnavi_db</t>
  </si>
  <si>
    <t>System check identified no issues (0 silenced).</t>
  </si>
  <si>
    <t>No changes detected</t>
  </si>
  <si>
    <t>test_authenticated_user_cannot_patch_another_profile_with_query_parameters ... Ok
Ran 1 test in 0.907s
OK</t>
  </si>
  <si>
    <t>Verified using targeted StudentProfilePatchAPITests cross-student access regression test; 1/1 test passed.</t>
  </si>
  <si>
    <t>Verified using python manage.py makemigrations --check --dry-run.</t>
  </si>
  <si>
    <t>PostgreSQL connectivity verified through Django database connection.</t>
  </si>
  <si>
    <t>Recommendation data remained isolated by authenticated Student profile. Two Students received separate recommendation results and separate profile-specific recommendation snapshots.</t>
  </si>
  <si>
    <t>Verified using RecommendationCacheAPITests.test_snapshot_is_private_to_authenticated_profile; targeted test passed 1/1. External AI provider was mocked, so no live OpenAI API key was required.</t>
  </si>
  <si>
    <t>S4-REC-05-EV-005</t>
  </si>
  <si>
    <t>Verified with targeted feedback and learning-resource regression tests. Feedback endpoint accepted Helpful and Not Helpful actions, and the resource recommendation test confirmed ranked resources remained available. Both tests passed.</t>
  </si>
  <si>
    <t>Helpful and Not Helpful feedback actions were handled successfully, and the learning resource recommendation list remained available and returned ranked resources.</t>
  </si>
  <si>
    <t>S4-LEARN-03-EV-01</t>
  </si>
  <si>
    <t>S4-LEARN-04-EV-01</t>
  </si>
  <si>
    <t>Learning Resource issue report was successfully submitted through the approved backend flow. The report was created with open review status and the reported resource remained active.</t>
  </si>
  <si>
    <t>Verified using Sprint3LearningRoadmapAPITests.test_report_endpoint_creates_review_record; targeted test passed 1/1. Backend returned HTTP 201, created an open review record, and preserved the resource as active.</t>
  </si>
  <si>
    <t>S4-ROAD-02-EV-01</t>
  </si>
  <si>
    <t>Authenticated Student successfully started an eligible roadmap step. The backend returned HTTP 200 and updated the progress state to in_progress.</t>
  </si>
  <si>
    <t>Verified using Sprint3LearningRoadmapAPITests.test_start_and_complete_progress; targeted test passed 1/1. Start action updated the roadmap progress to in_progress and persisted the Student's progress record.</t>
  </si>
  <si>
    <t>Verified by the same targeted start-and-complete regression execution used for S4-ROAD-02: Sprint3LearningRoadmapAPITests.test_start_and_complete_progress passed 1/1. The started step transitioned from in_progress to completed and the RoadmapProgress record persisted.</t>
  </si>
  <si>
    <t>Started roadmap step was successfully marked complete. The backend returned HTTP 200, updated the progress state to completed, and persisted the progress record.</t>
  </si>
  <si>
    <t>Backend maintained Student-owned roadmap progress isolation. A second authenticated Student could not access or modify the first Student's roadmap progress, and each Student's roadmap state remained profile-specific.</t>
  </si>
  <si>
    <t>Verified using Sprint3LearningRoadmapAPITests.test_roadmap_student_progress_isolation; targeted test passed 1/1. Two authenticated Students remained isolated and Student B's roadmap operations did not alter Student A's persisted RoadmapProgress.</t>
  </si>
  <si>
    <t>Authenticated Student successfully generated a structured Resume draft through the backend provider path. The API returned HTTP 200 with the expected structured resume_draft response.</t>
  </si>
  <si>
    <t>Verified using ResumeGenerationAPITests.test_success_returns_structured_resume_draft; targeted test passed 1/1. The external provider was replaced with the test provider, so no live OpenAI API key was required. Structured Resume fields and draft/review flags were validated.</t>
  </si>
  <si>
    <t>S4-RESUME-02-EV-01</t>
  </si>
  <si>
    <t>Cover Letter generation without the required target job description was prevented by controlled backend validation for the authenticated Student.</t>
  </si>
  <si>
    <t>Verified using CoverLetterGenerationAPITests.test_request_requires_job_description; targeted test passed 1/1. The API enforced the required job_description field and prevented generation when the required context was missing.</t>
  </si>
  <si>
    <t>S4-COVER-02-EV-01</t>
  </si>
  <si>
    <t>S4-COVER-03-EV-01</t>
  </si>
  <si>
    <t>Authenticated Student successfully generated a structured Cover Letter draft using the approved profile and target job-description context. The API returned HTTP 200 with the expected structured Cover Letter response.</t>
  </si>
  <si>
    <t>Verified using CoverLetterGenerationAPITests.test_success_returns_structured_cover_letter_draft; targeted test passed 1/1. Structured Cover Letter generation was validated through the backend API using the test provider, so no live OpenAI API key was required.</t>
  </si>
  <si>
    <t>Unauthenticated requests to Administrator API endpoints were rejected with HTTP 401 Unauthorized as required.</t>
  </si>
  <si>
    <t>Verified using AdministrationPermissionTests.test_unauthenticated_users_cannot_access_admin_endpoints; targeted test passed 1/1. Administrator collection endpoints rejected unauthenticated requests with HTTP 401.</t>
  </si>
  <si>
    <t>S4-ADMINAPI-01-EV-01</t>
  </si>
  <si>
    <t>Authenticated Student-role requests to Administrator API endpoints were denied with HTTP 403 Forbidden, preventing Student access to Administrator functionality.</t>
  </si>
  <si>
    <t>Verified using AdministrationPermissionTests.test_students_cannot_access_admin_endpoints; targeted test passed 1/1. Authenticated Student-role requests to Administrator endpoints were rejected with HTTP 403 Forbidden.</t>
  </si>
  <si>
    <t>S4-ADMINAPI-02-EV-01</t>
  </si>
  <si>
    <t>S4-ADMINAPI-03-EV-01</t>
  </si>
  <si>
    <t>Authenticated Administrator successfully accessed the approved Administrator users collection endpoint and received HTTP 200 OK with administration data.</t>
  </si>
  <si>
    <t>Verified using AdminUserManagementTests.test_admin_can_list_users_with_safe_fields; targeted test passed 1/1. The Administrator users collection returned HTTP 200 and the response excluded sensitive fields such as passwords and internal permission data.</t>
  </si>
  <si>
    <t>S4-ADMINAPI-04-EV-01</t>
  </si>
  <si>
    <t>Administrator user list was returned successfully without exposing password fields, password values, or unnecessary internal permission data.</t>
  </si>
  <si>
    <t>Verified using the successful execution of AdminUserManagementTests.test_admin_can_list_users_with_safe_fields; targeted test passed 1/1. The response excluded password fields and values, is_superuser, groups, and user_permissions.</t>
  </si>
  <si>
    <t>S4-ADMINAPI-05-EV-01</t>
  </si>
  <si>
    <t>Verified using AdminUserManagementTests.test_admin_can_retrieve_user; targeted test passed 1/1. The Administrator user-detail endpoint returned HTTP 200 and the response contained the expected target user ID and email.</t>
  </si>
  <si>
    <t>Authenticated Administrator successfully retrieved the target user's administration detail. The API returned HTTP 200 OK with the correct approved user ID and email fields.</t>
  </si>
  <si>
    <t>S4-ADMINAPI-06-EV-01</t>
  </si>
  <si>
    <t>No defect found.</t>
  </si>
  <si>
    <t>Verified using AdminUserManagementTests.test_admin_can_update_user; targeted test passed 1/1. The Administrator successfully updated approved user fields through the user administration endpoint.</t>
  </si>
  <si>
    <t>Authenticated Administrator successfully submitted an approved user administration update. The API returned HTTP 200 OK and the user update was accepted.</t>
  </si>
  <si>
    <t>S4-ADMINAPI-07-EV-01</t>
  </si>
  <si>
    <t>Verified using AdminCareerManagementTests.test_admin_can_create_retrieve_update_and_delete_career; targeted test passed 1/1. Career CRUD followed the approved Administrator API contract and deletion persistence was verified.</t>
  </si>
  <si>
    <t>Authenticated Administrator successfully completed the approved Career create, retrieve, update, and delete operations. The API returned the expected HTTP 201, 200, 200, and 204 responses, and the deleted Career no longer existed.</t>
  </si>
  <si>
    <t>S4-ADMINAPI-08-EV-01</t>
  </si>
  <si>
    <t>Authenticated Administrator successfully completed the approved Skill create, retrieve, update, and delete operations, confirming the Skill administration API contract.</t>
  </si>
  <si>
    <t>Verified using AdminSkillManagementTests.test_admin_can_create_retrieve_update_and_delete_skill; targeted test passed 1/1. Skill CRUD operations completed successfully through the Administrator API.</t>
  </si>
  <si>
    <t>S4-ADMINAPI-09-EV-01</t>
  </si>
  <si>
    <t>Authenticated Administrator successfully completed the approved Learning Resource create, retrieve, update, and delete operations, confirming the Learning Resource administration API contract.</t>
  </si>
  <si>
    <t>Verified using AdminLearningResourceManagementTests.test_admin_can_create_retrieve_update_and_delete_resource; targeted test passed 1/1. Learning Resource CRUD operations completed successfully through the Administrator API.</t>
  </si>
  <si>
    <t>S4-ADMINAPI-10-EV-01</t>
  </si>
  <si>
    <t>Authenticated Administrator successfully assigned the approved Skill relation to a Learning Resource. The Skill relationship persisted in the database and the API returned the correct Skill ID.</t>
  </si>
  <si>
    <t>Verified using AdminLearningResourceManagementTests.test_admin_can_assign_skills_to_learning_resource; targeted test passed 1/1. The Learning Resource-to-Skill relationship persisted successfully and the response returned the assigned skill ID.</t>
  </si>
  <si>
    <t>S4-PERM-01-EV-01</t>
  </si>
  <si>
    <t>Verified using AdminUserRoleStatusAuditTests.test_admin_can_change_user_role_through_dedicated_endpoint; targeted test passed 1/1. Administrator permission was accepted, the updated role persisted, and an admin.user.role_changed audit record was verified.</t>
  </si>
  <si>
    <t>Authenticated Administrator successfully performed the approved protected role-management operation. The API returned HTTP 200 OK, the role change persisted, and the corresponding audit record was created.</t>
  </si>
  <si>
    <t>Verified using AdministrationPermissionTests.test_students_cannot_access_admin_endpoints; targeted test passed 1/1. Student-role access to protected Administrator endpoints was consistently rejected with HTTP 403 Forbidden.</t>
  </si>
  <si>
    <t>Authenticated Student-role requests to Administrator collection endpoints were denied by the backend with HTTP 403 Forbidden.</t>
  </si>
  <si>
    <t>S4-PERM-02-EV-01</t>
  </si>
  <si>
    <t>S4-PERM-03-EV-01</t>
  </si>
  <si>
    <t>Verified using AdministrationPermissionTests.test_student_cannot_create_career; targeted test passed 1/1. The Student mutation request was denied with HTTP 403 and the database assertion confirmed that the unauthorized Career did not exist.</t>
  </si>
  <si>
    <t>Authenticated Student attempted a protected Administrator Career creation operation. The backend returned HTTP 403 Forbidden and confirmed that no unauthorized Career record was created.</t>
  </si>
  <si>
    <t>S4-PERM-04-EV-01</t>
  </si>
  <si>
    <t>Verified using AdministrationPermissionTests.test_unauthenticated_users_cannot_access_admin_endpoints; targeted test passed 1/1. Unauthenticated access to protected Administrator endpoints was consistently rejected with HTTP 401 Unauthorized.</t>
  </si>
  <si>
    <t>Unauthenticated requests to protected Administrator endpoints were rejected with HTTP 401 Unauthorized as required.</t>
  </si>
  <si>
    <t>S4-PERM-05-EV-01</t>
  </si>
  <si>
    <t>Verified using AdminUserRoleStatusAuditTests.test_student_cannot_change_role_or_status; targeted test passed 1/1. Direct Student requests to protected role-change and account-status endpoints were rejected with HTTP 403, confirming permissions are enforced by the backend rather than relying on frontend restrictions.</t>
  </si>
  <si>
    <t>Authenticated Student directly submitted protected Administrator role and account-status requests. Backend permission enforcement rejected both requests with HTTP 403 Forbidden, preventing frontend bypass.</t>
  </si>
  <si>
    <t>S4-PERM-06-EV-01</t>
  </si>
  <si>
    <t>Verified using StudentProfilePatchAPITests.test_authenticated_user_cannot_patch_another_profile_with_query_parameters; targeted test passed 1/1. Cross-student profile modification remained prevented after WBS 7.8 permission integration.</t>
  </si>
  <si>
    <t>Cross-student resource isolation remained active after permission integration. An authenticated Student could not modify another Student's profile through direct API/query-parameter manipulation.</t>
  </si>
  <si>
    <t>S4-AUDIT-01-EV-01</t>
  </si>
  <si>
    <t>Verified using AdminUserRoleStatusAuditTests.test_admin_can_change_user_role_through_dedicated_endpoint; targeted test passed 1/1. The successful role change created the expected admin.user.role_changed audit record with the Administrator actor and role-change metadata.</t>
  </si>
  <si>
    <t>An authenticated Administrator successfully performed a critical user role-change action. The role change persisted and the required audit record was created for the action.</t>
  </si>
  <si>
    <t>S4-AUDIT-02-EV-01</t>
  </si>
  <si>
    <t>Verified using AdminAuditRecordTests.test_admin_can_list_and_retrieve_audit_records; targeted test passed 1/1. The Administrator could list and retrieve the stored audit record, confirming that approved audit information is available through the audit-record API.</t>
  </si>
  <si>
    <t>The stored audit record was successfully listed and retrieved through the Administrator audit API, identifying the approved audited action through the required audit-record fields.</t>
  </si>
  <si>
    <t>S4-AUDIT-03-EV-01</t>
  </si>
  <si>
    <t>Verified using AdminAuditRecordTests.test_audit_response_does_not_expose_user_email; targeted test passed 1/1. Audit API output did not expose password or token data, and the tested audit record used only approved safe metadata.</t>
  </si>
  <si>
    <t>Audit data for the user administration action contained only approved safe metadata and did not expose password information or authentication tokens through the audit API.</t>
  </si>
  <si>
    <t>S4-AUDIT-04-EV-01</t>
  </si>
  <si>
    <t>Verified using AdminAuditRecordTests.test_audit_data_excludes_jwt_tokens_api_keys_and_secrets; targeted test passed 1/1. Distinctive sentinel JWT/access-token, refresh-token, API-key, secret, and password values were used to verify that sensitive credential values were not persisted or exposed in audit data.</t>
  </si>
  <si>
    <t>Audit data excluded JWT/access-token values, refresh-token values, API-key values, secret values, and password information. No tested credential or secret value was persisted or exposed through the audit data.</t>
  </si>
  <si>
    <t>S4-AUDIT-05-EV-01</t>
  </si>
  <si>
    <t>Verified using AdminAuditRecordTests.test_audit_data_excludes_unnecessary_student_private_data; targeted test passed 1/1. Distinctive Student private/profile values were not persisted or exposed, while approved action, area, actor, target, and safe metadata remained available.</t>
  </si>
  <si>
    <t>Audit data retained only the approved information required to identify the administration action while excluding unnecessary Student private/profile values from persisted audit metadata and audit API responses.</t>
  </si>
  <si>
    <t>S4-AUDIT-06-EV-01</t>
  </si>
  <si>
    <t>Verified using AdministrationPermissionTests.test_students_cannot_access_admin_endpoints and test_admin_can_access_all_admin_endpoints; both targeted tests passed 2/2. Student access to the protected audit endpoint was denied with HTTP 403, while Administrator access was allowed with HTTP 200.</t>
  </si>
  <si>
    <t>Audit access followed the approved role-permission model. Authenticated Student access was denied with HTTP 403 Forbidden, while authenticated Administrator access was permitted with HTTP 200 OK.</t>
  </si>
  <si>
    <t>S4-REG-04-EV-01</t>
  </si>
  <si>
    <t>Verified using ResumeGenerationAPITests.test_success_returns_structured_resume_draft and CoverLetterGenerationAPITests.test_success_returns_structured_cover_letter_draft; both targeted regression tests passed 2/2. Core Resume and Cover Letter backend document flows remained working after Sprint 4 integration.</t>
  </si>
  <si>
    <t>Approved Sprint 3 document smoke regression completed successfully. Resume and Cover Letter structured draft generation both remained operational on the integrated Sprint 4 testing baseline; 2/2 targeted tests passed.</t>
  </si>
  <si>
    <t>S4-REG-02-EV-01</t>
  </si>
  <si>
    <t>Verified using StudentProfileReadAPITests.test_authenticated_profile_get_returns_success_structure and StudentProfilePatchAPITests.test_patch_returns_success_structure_and_persists_to_get; both targeted regression tests passed 2/2. Core Student Profile read, update, persistence, and read-back functionality remained working after Sprint 4 integration.</t>
  </si>
  <si>
    <t>Sprint 1 Student Profile smoke regression completed successfully. Authenticated profile retrieval and profile update/persistence remained operational on the integrated Sprint 4 testing baseline; 2/2 targeted tests passed.</t>
  </si>
  <si>
    <t>S4-ENV-04-EV-01</t>
  </si>
  <si>
    <t>Executed python manage.py test -v 2. Django discovered and ran 1000 backend tests in 583.152 seconds. Final result: OK, with 0 failures and 0 errors. Django system check also identified no issues. This is particularly useful evidence because the suite includes the three new WBS 7.9 regression/security tests we added during your testing: the roadmap Student-isolation test and both audit privacy tests; they are shown passing in the uploaded output as well. No defect was found, and S4-ENV-04 is fully satisfied.</t>
  </si>
  <si>
    <t>Complete backend automated regression suite executed successfully on the integrated Sprint 4 testing baseline. All 1000 tests passed with no failures or errors.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</si>
</sst>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6"/>
      <color rgb="FFFFFFFF"/>
      <name val="Carlito"/>
    </font>
    <font>
      <sz val="10"/>
      <color rgb="FF17324D"/>
      <name val="Carlito"/>
    </font>
    <font>
      <b/>
      <sz val="11"/>
      <color rgb="FFFFFFFF"/>
      <name val="Carlito"/>
    </font>
    <font>
      <sz val="10"/>
      <name val="Arial Unicode MS"/>
    </font>
  </fonts>
  <fills count="5">
    <fill>
      <patternFill patternType="none"/>
    </fill>
    <fill>
      <patternFill patternType="gray125"/>
    </fill>
    <fill>
      <patternFill patternType="solid">
        <fgColor rgb="FF17324D"/>
      </patternFill>
    </fill>
    <fill>
      <patternFill patternType="solid">
        <fgColor rgb="FFE7EEF5"/>
      </patternFill>
    </fill>
    <fill>
      <patternFill patternType="solid">
        <fgColor rgb="FF2F5D7E"/>
      </patternFill>
    </fill>
  </fills>
  <borders count="1">
    <border>
      <left/>
      <right/>
      <top/>
      <bottom/>
      <diagonal/>
    </border>
  </borders>
  <cellStyleXfs count="1">
    <xf numFmtId="0" fontId="0" fillId="0" borderId="0"/>
  </cellStyleXfs>
  <cellXfs count="10">
    <xf numFmtId="0" fontId="0" fillId="0" borderId="0" xfId="0"/>
    <xf numFmtId="0" fontId="3" fillId="4" borderId="0" xfId="0" applyFont="1" applyFill="1" applyAlignment="1">
      <alignment horizontal="center" vertical="center" wrapText="1"/>
    </xf>
    <xf numFmtId="0" fontId="0" fillId="0" borderId="0" xfId="0" applyAlignment="1">
      <alignment wrapText="1"/>
    </xf>
    <xf numFmtId="0" fontId="1" fillId="2" borderId="0" xfId="0" applyFont="1" applyFill="1" applyAlignment="1">
      <alignment horizontal="left" vertical="center"/>
    </xf>
    <xf numFmtId="0" fontId="2" fillId="3" borderId="0" xfId="0" applyFont="1" applyFill="1" applyAlignment="1">
      <alignment vertical="center" wrapTex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cellXfs>
  <cellStyles count="1">
    <cellStyle name="Normal" xfId="0" builtinId="0"/>
  </cellStyles>
  <dxfs count="5">
    <dxf>
      <fill>
        <patternFill>
          <bgColor rgb="FFFFF2CC"/>
        </patternFill>
      </fill>
    </dxf>
    <dxf>
      <fill>
        <patternFill>
          <bgColor rgb="FFEDEDED"/>
        </patternFill>
      </fill>
    </dxf>
    <dxf>
      <fill>
        <patternFill>
          <bgColor rgb="FFFCE5CD"/>
        </patternFill>
      </fill>
    </dxf>
    <dxf>
      <fill>
        <patternFill>
          <bgColor rgb="FFF4CC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Sprint 4 Test Status</a:t>
            </a:r>
          </a:p>
        </c:rich>
      </c:tx>
      <c:overlay val="1"/>
    </c:title>
    <c:autoTitleDeleted val="0"/>
    <c:plotArea>
      <c:layout/>
      <c:barChart>
        <c:barDir val="col"/>
        <c:grouping val="clustered"/>
        <c:varyColors val="0"/>
        <c:ser>
          <c:idx val="0"/>
          <c:order val="0"/>
          <c:tx>
            <c:v>Series 1</c:v>
          </c:tx>
          <c:invertIfNegative val="1"/>
          <c:cat>
            <c:strRef>
              <c:f>Dashboard!$A$5:$A$10</c:f>
              <c:strCache>
                <c:ptCount val="6"/>
                <c:pt idx="0">
                  <c:v>Total Test Cases</c:v>
                </c:pt>
                <c:pt idx="1">
                  <c:v>Pass</c:v>
                </c:pt>
                <c:pt idx="2">
                  <c:v>Fail</c:v>
                </c:pt>
                <c:pt idx="3">
                  <c:v>Blocked</c:v>
                </c:pt>
                <c:pt idx="4">
                  <c:v>Not Run</c:v>
                </c:pt>
                <c:pt idx="5">
                  <c:v>Retest</c:v>
                </c:pt>
              </c:strCache>
            </c:strRef>
          </c:cat>
          <c:val>
            <c:numRef>
              <c:f>Dashboard!$B$5:$B$10</c:f>
              <c:numCache>
                <c:formatCode>General</c:formatCode>
                <c:ptCount val="6"/>
                <c:pt idx="0">
                  <c:v>129</c:v>
                </c:pt>
                <c:pt idx="1">
                  <c:v>38</c:v>
                </c:pt>
                <c:pt idx="2">
                  <c:v>0</c:v>
                </c:pt>
                <c:pt idx="3">
                  <c:v>36</c:v>
                </c:pt>
                <c:pt idx="4">
                  <c:v>55</c:v>
                </c:pt>
                <c:pt idx="5">
                  <c:v>0</c:v>
                </c:pt>
              </c:numCache>
            </c:numRef>
          </c:val>
          <c:extLst>
            <c:ext xmlns:c16="http://schemas.microsoft.com/office/drawing/2014/chart" uri="{C3380CC4-5D6E-409C-BE32-E72D297353CC}">
              <c16:uniqueId val="{00000000-28B2-40E4-B54E-E51B5A7ABC8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3</xdr:row>
      <xdr:rowOff>0</xdr:rowOff>
    </xdr:from>
    <xdr:to>
      <xdr:col>16</xdr:col>
      <xdr:colOff>0</xdr:colOff>
      <xdr:row>18</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print4TestCasesTable" displayName="Sprint4TestCasesTable" ref="A5:R134" totalsRowShown="0">
  <tableColumns count="18">
    <tableColumn id="1" xr3:uid="{00000000-0010-0000-0000-000001000000}" name="Test ID"/>
    <tableColumn id="2" xr3:uid="{00000000-0010-0000-0000-000002000000}" name="WBS"/>
    <tableColumn id="3" xr3:uid="{00000000-0010-0000-0000-000003000000}" name="Area"/>
    <tableColumn id="4" xr3:uid="{00000000-0010-0000-0000-000004000000}" name="Requirement"/>
    <tableColumn id="5" xr3:uid="{00000000-0010-0000-0000-000005000000}" name="Priority"/>
    <tableColumn id="6" xr3:uid="{00000000-0010-0000-0000-000006000000}" name="Test Level"/>
    <tableColumn id="7" xr3:uid="{00000000-0010-0000-0000-000007000000}" name="Test Case"/>
    <tableColumn id="8" xr3:uid="{00000000-0010-0000-0000-000008000000}" name="Preconditions"/>
    <tableColumn id="9" xr3:uid="{00000000-0010-0000-0000-000009000000}" name="Steps"/>
    <tableColumn id="10" xr3:uid="{00000000-0010-0000-0000-00000A000000}" name="Expected Result"/>
    <tableColumn id="11" xr3:uid="{00000000-0010-0000-0000-00000B000000}" name="Owner"/>
    <tableColumn id="12" xr3:uid="{00000000-0010-0000-0000-00000C000000}" name="Status"/>
    <tableColumn id="13" xr3:uid="{00000000-0010-0000-0000-00000D000000}" name="Blocked By"/>
    <tableColumn id="14" xr3:uid="{00000000-0010-0000-0000-00000E000000}" name="Actual Result"/>
    <tableColumn id="15" xr3:uid="{00000000-0010-0000-0000-00000F000000}" name="Evidence ID"/>
    <tableColumn id="16" xr3:uid="{00000000-0010-0000-0000-000010000000}" name="Defect Ref"/>
    <tableColumn id="17" xr3:uid="{00000000-0010-0000-0000-000011000000}" name="Automation"/>
    <tableColumn id="18" xr3:uid="{00000000-0010-0000-0000-000012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print4EvidenceTable" displayName="Sprint4EvidenceTable" ref="A5:J16" totalsRowShown="0">
  <tableColumns count="10">
    <tableColumn id="1" xr3:uid="{00000000-0010-0000-0100-000001000000}" name="Evidence ID"/>
    <tableColumn id="2" xr3:uid="{00000000-0010-0000-0100-000002000000}" name="Related Test IDs"/>
    <tableColumn id="3" xr3:uid="{00000000-0010-0000-0100-000003000000}" name="WBS"/>
    <tableColumn id="4" xr3:uid="{00000000-0010-0000-0100-000004000000}" name="Evidence Type"/>
    <tableColumn id="5" xr3:uid="{00000000-0010-0000-0100-000005000000}" name="Description"/>
    <tableColumn id="6" xr3:uid="{00000000-0010-0000-0100-000006000000}" name="Repository Path / Planned File"/>
    <tableColumn id="7" xr3:uid="{00000000-0010-0000-0100-000007000000}" name="Owner"/>
    <tableColumn id="8" xr3:uid="{00000000-0010-0000-0100-000008000000}" name="Status"/>
    <tableColumn id="9" xr3:uid="{00000000-0010-0000-0100-000009000000}" name="Captured Date"/>
    <tableColumn id="10" xr3:uid="{00000000-0010-0000-0100-00000A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workbookViewId="0">
      <selection activeCell="B27" sqref="B27"/>
    </sheetView>
  </sheetViews>
  <sheetFormatPr defaultRowHeight="14.25"/>
  <cols>
    <col min="1" max="1" width="24" customWidth="1"/>
    <col min="2" max="2" width="12" customWidth="1"/>
    <col min="3" max="3" width="3" customWidth="1"/>
    <col min="4" max="4" width="28" customWidth="1"/>
    <col min="5" max="8" width="10" customWidth="1"/>
  </cols>
  <sheetData>
    <row r="1" spans="1:8" ht="20.25">
      <c r="A1" s="3" t="s">
        <v>0</v>
      </c>
      <c r="B1" s="3"/>
      <c r="C1" s="3"/>
      <c r="D1" s="3"/>
      <c r="E1" s="3"/>
      <c r="F1" s="3"/>
      <c r="G1" s="3"/>
      <c r="H1" s="3"/>
    </row>
    <row r="2" spans="1:8">
      <c r="A2" s="4" t="s">
        <v>1</v>
      </c>
      <c r="B2" s="4"/>
      <c r="C2" s="4"/>
      <c r="D2" s="4"/>
      <c r="E2" s="4"/>
      <c r="F2" s="4"/>
      <c r="G2" s="4"/>
      <c r="H2" s="4"/>
    </row>
    <row r="4" spans="1:8" ht="15">
      <c r="A4" s="1" t="s">
        <v>2</v>
      </c>
      <c r="B4" s="1" t="s">
        <v>3</v>
      </c>
      <c r="C4" s="2"/>
      <c r="D4" s="1" t="s">
        <v>4</v>
      </c>
      <c r="E4" s="1" t="s">
        <v>5</v>
      </c>
      <c r="F4" s="1" t="s">
        <v>6</v>
      </c>
      <c r="G4" s="1" t="s">
        <v>7</v>
      </c>
      <c r="H4" s="1" t="s">
        <v>8</v>
      </c>
    </row>
    <row r="5" spans="1:8">
      <c r="A5" s="2" t="s">
        <v>9</v>
      </c>
      <c r="B5" s="2">
        <f>COUNTA('Test Cases'!A6:A134)</f>
        <v>129</v>
      </c>
      <c r="C5" s="2"/>
      <c r="D5" s="2" t="s">
        <v>10</v>
      </c>
      <c r="E5" s="2">
        <f>COUNTIF('Test Cases'!C6:C134,D5)</f>
        <v>7</v>
      </c>
      <c r="F5" s="2">
        <f>COUNTIFS('Test Cases'!C6:C134,D5,'Test Cases'!L6:L134,"Blocked")</f>
        <v>1</v>
      </c>
      <c r="G5" s="2">
        <f>COUNTIFS('Test Cases'!C6:C134,D5,'Test Cases'!L6:L134,"Not Run")</f>
        <v>2</v>
      </c>
      <c r="H5" s="2">
        <f t="shared" ref="H5:H22" si="0">E5-F5-G5</f>
        <v>4</v>
      </c>
    </row>
    <row r="6" spans="1:8">
      <c r="A6" s="2" t="s">
        <v>11</v>
      </c>
      <c r="B6" s="2">
        <f>COUNTIF('Test Cases'!L6:L134,"Pass")</f>
        <v>38</v>
      </c>
      <c r="C6" s="2"/>
      <c r="D6" s="2" t="s">
        <v>12</v>
      </c>
      <c r="E6" s="2">
        <f>COUNTIF('Test Cases'!C6:C134,D6)</f>
        <v>5</v>
      </c>
      <c r="F6" s="2">
        <f>COUNTIFS('Test Cases'!C6:C134,D6,'Test Cases'!L6:L134,"Blocked")</f>
        <v>0</v>
      </c>
      <c r="G6" s="2">
        <f>COUNTIFS('Test Cases'!C6:C134,D6,'Test Cases'!L6:L134,"Not Run")</f>
        <v>5</v>
      </c>
      <c r="H6" s="2">
        <f t="shared" si="0"/>
        <v>0</v>
      </c>
    </row>
    <row r="7" spans="1:8">
      <c r="A7" s="2" t="s">
        <v>13</v>
      </c>
      <c r="B7" s="2">
        <f>COUNTIF('Test Cases'!L6:L134,"Fail")</f>
        <v>0</v>
      </c>
      <c r="C7" s="2"/>
      <c r="D7" s="2" t="s">
        <v>14</v>
      </c>
      <c r="E7" s="2">
        <f>COUNTIF('Test Cases'!C6:C134,D7)</f>
        <v>4</v>
      </c>
      <c r="F7" s="2">
        <f>COUNTIFS('Test Cases'!C6:C134,D7,'Test Cases'!L6:L134,"Blocked")</f>
        <v>0</v>
      </c>
      <c r="G7" s="2">
        <f>COUNTIFS('Test Cases'!C6:C134,D7,'Test Cases'!L6:L134,"Not Run")</f>
        <v>3</v>
      </c>
      <c r="H7" s="2">
        <f t="shared" si="0"/>
        <v>1</v>
      </c>
    </row>
    <row r="8" spans="1:8">
      <c r="A8" s="2" t="s">
        <v>6</v>
      </c>
      <c r="B8" s="2">
        <f>COUNTIF('Test Cases'!L6:L134,"Blocked")</f>
        <v>36</v>
      </c>
      <c r="C8" s="2"/>
      <c r="D8" s="2" t="s">
        <v>15</v>
      </c>
      <c r="E8" s="2">
        <f>COUNTIF('Test Cases'!C6:C134,D8)</f>
        <v>6</v>
      </c>
      <c r="F8" s="2">
        <f>COUNTIFS('Test Cases'!C6:C134,D8,'Test Cases'!L6:L134,"Blocked")</f>
        <v>2</v>
      </c>
      <c r="G8" s="2">
        <f>COUNTIFS('Test Cases'!C6:C134,D8,'Test Cases'!L6:L134,"Not Run")</f>
        <v>3</v>
      </c>
      <c r="H8" s="2">
        <f t="shared" si="0"/>
        <v>1</v>
      </c>
    </row>
    <row r="9" spans="1:8">
      <c r="A9" s="2" t="s">
        <v>7</v>
      </c>
      <c r="B9" s="2">
        <f>COUNTIF('Test Cases'!L6:L134,"Not Run")</f>
        <v>55</v>
      </c>
      <c r="C9" s="2"/>
      <c r="D9" s="2" t="s">
        <v>16</v>
      </c>
      <c r="E9" s="2">
        <f>COUNTIF('Test Cases'!C6:C134,D9)</f>
        <v>5</v>
      </c>
      <c r="F9" s="2">
        <f>COUNTIFS('Test Cases'!C6:C134,D9,'Test Cases'!L6:L134,"Blocked")</f>
        <v>1</v>
      </c>
      <c r="G9" s="2">
        <f>COUNTIFS('Test Cases'!C6:C134,D9,'Test Cases'!L6:L134,"Not Run")</f>
        <v>4</v>
      </c>
      <c r="H9" s="2">
        <f t="shared" si="0"/>
        <v>0</v>
      </c>
    </row>
    <row r="10" spans="1:8">
      <c r="A10" s="2" t="s">
        <v>17</v>
      </c>
      <c r="B10" s="2">
        <f>COUNTIF('Test Cases'!L6:L134,"Retest")</f>
        <v>0</v>
      </c>
      <c r="C10" s="2"/>
      <c r="D10" s="2" t="s">
        <v>18</v>
      </c>
      <c r="E10" s="2">
        <f>COUNTIF('Test Cases'!C6:C134,D10)</f>
        <v>4</v>
      </c>
      <c r="F10" s="2">
        <f>COUNTIFS('Test Cases'!C6:C134,D10,'Test Cases'!L6:L134,"Blocked")</f>
        <v>0</v>
      </c>
      <c r="G10" s="2">
        <f>COUNTIFS('Test Cases'!C6:C134,D10,'Test Cases'!L6:L134,"Not Run")</f>
        <v>2</v>
      </c>
      <c r="H10" s="2">
        <f t="shared" si="0"/>
        <v>2</v>
      </c>
    </row>
    <row r="11" spans="1:8">
      <c r="A11" s="2"/>
      <c r="B11" s="2"/>
      <c r="C11" s="2"/>
      <c r="D11" s="2" t="s">
        <v>19</v>
      </c>
      <c r="E11" s="2">
        <f>COUNTIF('Test Cases'!C6:C134,D11)</f>
        <v>4</v>
      </c>
      <c r="F11" s="2">
        <f>COUNTIFS('Test Cases'!C6:C134,D11,'Test Cases'!L6:L134,"Blocked")</f>
        <v>0</v>
      </c>
      <c r="G11" s="2">
        <f>COUNTIFS('Test Cases'!C6:C134,D11,'Test Cases'!L6:L134,"Not Run")</f>
        <v>1</v>
      </c>
      <c r="H11" s="2">
        <f t="shared" si="0"/>
        <v>3</v>
      </c>
    </row>
    <row r="12" spans="1:8">
      <c r="A12" s="2"/>
      <c r="B12" s="2"/>
      <c r="C12" s="2"/>
      <c r="D12" s="2" t="s">
        <v>20</v>
      </c>
      <c r="E12" s="2">
        <f>COUNTIF('Test Cases'!C6:C134,D12)</f>
        <v>15</v>
      </c>
      <c r="F12" s="2">
        <f>COUNTIFS('Test Cases'!C6:C134,D12,'Test Cases'!L6:L134,"Blocked")</f>
        <v>0</v>
      </c>
      <c r="G12" s="2">
        <f>COUNTIFS('Test Cases'!C6:C134,D12,'Test Cases'!L6:L134,"Not Run")</f>
        <v>15</v>
      </c>
      <c r="H12" s="2">
        <f t="shared" si="0"/>
        <v>0</v>
      </c>
    </row>
    <row r="13" spans="1:8">
      <c r="A13" s="2"/>
      <c r="B13" s="2"/>
      <c r="C13" s="2"/>
      <c r="D13" s="2" t="s">
        <v>21</v>
      </c>
      <c r="E13" s="2">
        <f>COUNTIF('Test Cases'!C6:C134,D13)</f>
        <v>7</v>
      </c>
      <c r="F13" s="2">
        <f>COUNTIFS('Test Cases'!C6:C134,D13,'Test Cases'!L6:L134,"Blocked")</f>
        <v>2</v>
      </c>
      <c r="G13" s="2">
        <f>COUNTIFS('Test Cases'!C6:C134,D13,'Test Cases'!L6:L134,"Not Run")</f>
        <v>4</v>
      </c>
      <c r="H13" s="2">
        <f t="shared" si="0"/>
        <v>1</v>
      </c>
    </row>
    <row r="14" spans="1:8">
      <c r="A14" s="2"/>
      <c r="B14" s="2"/>
      <c r="C14" s="2"/>
      <c r="D14" s="2" t="s">
        <v>22</v>
      </c>
      <c r="E14" s="2">
        <f>COUNTIF('Test Cases'!C6:C134,D14)</f>
        <v>7</v>
      </c>
      <c r="F14" s="2">
        <f>COUNTIFS('Test Cases'!C6:C134,D14,'Test Cases'!L6:L134,"Blocked")</f>
        <v>1</v>
      </c>
      <c r="G14" s="2">
        <f>COUNTIFS('Test Cases'!C6:C134,D14,'Test Cases'!L6:L134,"Not Run")</f>
        <v>4</v>
      </c>
      <c r="H14" s="2">
        <f t="shared" si="0"/>
        <v>2</v>
      </c>
    </row>
    <row r="15" spans="1:8">
      <c r="A15" s="2"/>
      <c r="B15" s="2"/>
      <c r="C15" s="2"/>
      <c r="D15" s="2" t="s">
        <v>23</v>
      </c>
      <c r="E15" s="2">
        <f>COUNTIF('Test Cases'!C6:C134,D15)</f>
        <v>9</v>
      </c>
      <c r="F15" s="2">
        <f>COUNTIFS('Test Cases'!C6:C134,D15,'Test Cases'!L6:L134,"Blocked")</f>
        <v>1</v>
      </c>
      <c r="G15" s="2">
        <f>COUNTIFS('Test Cases'!C6:C134,D15,'Test Cases'!L6:L134,"Not Run")</f>
        <v>8</v>
      </c>
      <c r="H15" s="2">
        <f t="shared" si="0"/>
        <v>0</v>
      </c>
    </row>
    <row r="16" spans="1:8">
      <c r="A16" s="2"/>
      <c r="B16" s="2"/>
      <c r="C16" s="2"/>
      <c r="D16" s="2" t="s">
        <v>24</v>
      </c>
      <c r="E16" s="2">
        <f>COUNTIF('Test Cases'!C6:C134,D16)</f>
        <v>12</v>
      </c>
      <c r="F16" s="2">
        <f>COUNTIFS('Test Cases'!C6:C134,D16,'Test Cases'!L6:L134,"Blocked")</f>
        <v>12</v>
      </c>
      <c r="G16" s="2">
        <f>COUNTIFS('Test Cases'!C6:C134,D16,'Test Cases'!L6:L134,"Not Run")</f>
        <v>0</v>
      </c>
      <c r="H16" s="2">
        <f t="shared" si="0"/>
        <v>0</v>
      </c>
    </row>
    <row r="17" spans="1:8">
      <c r="A17" s="2"/>
      <c r="B17" s="2"/>
      <c r="C17" s="2"/>
      <c r="D17" s="2" t="s">
        <v>25</v>
      </c>
      <c r="E17" s="2">
        <f>COUNTIF('Test Cases'!C6:C134,D17)</f>
        <v>10</v>
      </c>
      <c r="F17" s="2">
        <f>COUNTIFS('Test Cases'!C6:C134,D17,'Test Cases'!L6:L134,"Blocked")</f>
        <v>0</v>
      </c>
      <c r="G17" s="2">
        <f>COUNTIFS('Test Cases'!C6:C134,D17,'Test Cases'!L6:L134,"Not Run")</f>
        <v>0</v>
      </c>
      <c r="H17" s="2">
        <f t="shared" si="0"/>
        <v>10</v>
      </c>
    </row>
    <row r="18" spans="1:8">
      <c r="A18" s="2"/>
      <c r="B18" s="2"/>
      <c r="C18" s="2"/>
      <c r="D18" s="2" t="s">
        <v>26</v>
      </c>
      <c r="E18" s="2">
        <f>COUNTIF('Test Cases'!C6:C134,D18)</f>
        <v>8</v>
      </c>
      <c r="F18" s="2">
        <f>COUNTIFS('Test Cases'!C6:C134,D18,'Test Cases'!L6:L134,"Blocked")</f>
        <v>8</v>
      </c>
      <c r="G18" s="2">
        <f>COUNTIFS('Test Cases'!C6:C134,D18,'Test Cases'!L6:L134,"Not Run")</f>
        <v>0</v>
      </c>
      <c r="H18" s="2">
        <f t="shared" si="0"/>
        <v>0</v>
      </c>
    </row>
    <row r="19" spans="1:8">
      <c r="A19" s="2"/>
      <c r="B19" s="2"/>
      <c r="C19" s="2"/>
      <c r="D19" s="2" t="s">
        <v>27</v>
      </c>
      <c r="E19" s="2">
        <f>COUNTIF('Test Cases'!C6:C134,D19)</f>
        <v>6</v>
      </c>
      <c r="F19" s="2">
        <f>COUNTIFS('Test Cases'!C6:C134,D19,'Test Cases'!L6:L134,"Blocked")</f>
        <v>0</v>
      </c>
      <c r="G19" s="2">
        <f>COUNTIFS('Test Cases'!C6:C134,D19,'Test Cases'!L6:L134,"Not Run")</f>
        <v>0</v>
      </c>
      <c r="H19" s="2">
        <f t="shared" si="0"/>
        <v>6</v>
      </c>
    </row>
    <row r="20" spans="1:8">
      <c r="A20" s="2"/>
      <c r="B20" s="2"/>
      <c r="C20" s="2"/>
      <c r="D20" s="2" t="s">
        <v>28</v>
      </c>
      <c r="E20" s="2">
        <f>COUNTIF('Test Cases'!C6:C134,D20)</f>
        <v>6</v>
      </c>
      <c r="F20" s="2">
        <f>COUNTIFS('Test Cases'!C6:C134,D20,'Test Cases'!L6:L134,"Blocked")</f>
        <v>0</v>
      </c>
      <c r="G20" s="2">
        <f>COUNTIFS('Test Cases'!C6:C134,D20,'Test Cases'!L6:L134,"Not Run")</f>
        <v>0</v>
      </c>
      <c r="H20" s="2">
        <f t="shared" si="0"/>
        <v>6</v>
      </c>
    </row>
    <row r="21" spans="1:8">
      <c r="A21" s="2"/>
      <c r="B21" s="2"/>
      <c r="C21" s="2"/>
      <c r="D21" s="2" t="s">
        <v>29</v>
      </c>
      <c r="E21" s="2">
        <f>COUNTIF('Test Cases'!C6:C134,D21)</f>
        <v>8</v>
      </c>
      <c r="F21" s="2">
        <f>COUNTIFS('Test Cases'!C6:C134,D21,'Test Cases'!L6:L134,"Blocked")</f>
        <v>4</v>
      </c>
      <c r="G21" s="2">
        <f>COUNTIFS('Test Cases'!C6:C134,D21,'Test Cases'!L6:L134,"Not Run")</f>
        <v>4</v>
      </c>
      <c r="H21" s="2">
        <f t="shared" si="0"/>
        <v>0</v>
      </c>
    </row>
    <row r="22" spans="1:8">
      <c r="A22" s="2"/>
      <c r="B22" s="2"/>
      <c r="C22" s="2"/>
      <c r="D22" s="2" t="s">
        <v>30</v>
      </c>
      <c r="E22" s="2">
        <f>COUNTIF('Test Cases'!C6:C134,D22)</f>
        <v>6</v>
      </c>
      <c r="F22" s="2">
        <f>COUNTIFS('Test Cases'!C6:C134,D22,'Test Cases'!L6:L134,"Blocked")</f>
        <v>4</v>
      </c>
      <c r="G22" s="2">
        <f>COUNTIFS('Test Cases'!C6:C134,D22,'Test Cases'!L6:L134,"Not Run")</f>
        <v>0</v>
      </c>
      <c r="H22" s="2">
        <f t="shared" si="0"/>
        <v>2</v>
      </c>
    </row>
    <row r="25" spans="1:8">
      <c r="A25" t="s">
        <v>31</v>
      </c>
      <c r="B25" t="s">
        <v>32</v>
      </c>
    </row>
    <row r="26" spans="1:8">
      <c r="A26" t="s">
        <v>33</v>
      </c>
      <c r="B26">
        <f>COUNTIF('Test Cases'!$K$6:$K$134,A26)</f>
        <v>46</v>
      </c>
    </row>
    <row r="27" spans="1:8">
      <c r="A27" t="s">
        <v>34</v>
      </c>
      <c r="B27">
        <f>COUNTIF('Test Cases'!$K$6:$K$134,A27)</f>
        <v>38</v>
      </c>
    </row>
    <row r="28" spans="1:8">
      <c r="A28" t="s">
        <v>35</v>
      </c>
      <c r="B28">
        <f>COUNTIF('Test Cases'!$K$6:$K$134,A28)</f>
        <v>45</v>
      </c>
    </row>
    <row r="29" spans="1:8">
      <c r="A29" t="s">
        <v>5</v>
      </c>
      <c r="B29">
        <f>SUM(B26:B28)</f>
        <v>129</v>
      </c>
    </row>
  </sheetData>
  <mergeCells count="2">
    <mergeCell ref="A1:H1"/>
    <mergeCell ref="A2:H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34"/>
  <sheetViews>
    <sheetView tabSelected="1" topLeftCell="J1" workbookViewId="0">
      <selection activeCell="N15" sqref="N15"/>
    </sheetView>
  </sheetViews>
  <sheetFormatPr defaultRowHeight="14.25"/>
  <cols>
    <col min="1" max="1" width="14" customWidth="1"/>
    <col min="2" max="2" width="10" customWidth="1"/>
    <col min="3" max="3" width="24" customWidth="1"/>
    <col min="4" max="4" width="20" customWidth="1"/>
    <col min="5" max="5" width="12" customWidth="1"/>
    <col min="6" max="6" width="14" customWidth="1"/>
    <col min="7" max="8" width="34" customWidth="1"/>
    <col min="9" max="10" width="42" customWidth="1"/>
    <col min="11" max="11" width="16" customWidth="1"/>
    <col min="12" max="12" width="12" customWidth="1"/>
    <col min="13" max="13" width="28" customWidth="1"/>
    <col min="14" max="14" width="34" customWidth="1"/>
    <col min="15" max="16" width="16" customWidth="1"/>
    <col min="17" max="17" width="14" customWidth="1"/>
    <col min="18" max="18" width="30" customWidth="1"/>
  </cols>
  <sheetData>
    <row r="1" spans="1:18" ht="20.25">
      <c r="A1" s="3" t="s">
        <v>36</v>
      </c>
      <c r="B1" s="3"/>
      <c r="C1" s="3"/>
      <c r="D1" s="3"/>
      <c r="E1" s="3"/>
      <c r="F1" s="3"/>
      <c r="G1" s="3"/>
      <c r="H1" s="3"/>
      <c r="I1" s="3"/>
      <c r="J1" s="3"/>
      <c r="K1" s="3"/>
      <c r="L1" s="3"/>
      <c r="M1" s="3"/>
      <c r="N1" s="3"/>
      <c r="O1" s="3"/>
      <c r="P1" s="3"/>
      <c r="Q1" s="3"/>
      <c r="R1" s="3"/>
    </row>
    <row r="2" spans="1:18">
      <c r="A2" s="4" t="s">
        <v>37</v>
      </c>
      <c r="B2" s="4"/>
      <c r="C2" s="4"/>
      <c r="D2" s="4"/>
      <c r="E2" s="4"/>
      <c r="F2" s="4"/>
      <c r="G2" s="4"/>
      <c r="H2" s="4"/>
      <c r="I2" s="4"/>
      <c r="J2" s="4"/>
      <c r="K2" s="4"/>
      <c r="L2" s="4"/>
      <c r="M2" s="4"/>
      <c r="N2" s="4"/>
      <c r="O2" s="4"/>
      <c r="P2" s="4"/>
      <c r="Q2" s="4"/>
      <c r="R2" s="4"/>
    </row>
    <row r="5" spans="1:18" ht="15">
      <c r="A5" s="1" t="s">
        <v>38</v>
      </c>
      <c r="B5" s="1" t="s">
        <v>39</v>
      </c>
      <c r="C5" s="1" t="s">
        <v>4</v>
      </c>
      <c r="D5" s="1" t="s">
        <v>40</v>
      </c>
      <c r="E5" s="1" t="s">
        <v>41</v>
      </c>
      <c r="F5" s="1" t="s">
        <v>42</v>
      </c>
      <c r="G5" s="1" t="s">
        <v>43</v>
      </c>
      <c r="H5" s="1" t="s">
        <v>44</v>
      </c>
      <c r="I5" s="1" t="s">
        <v>45</v>
      </c>
      <c r="J5" s="1" t="s">
        <v>46</v>
      </c>
      <c r="K5" s="1" t="s">
        <v>47</v>
      </c>
      <c r="L5" s="1" t="s">
        <v>48</v>
      </c>
      <c r="M5" s="1" t="s">
        <v>49</v>
      </c>
      <c r="N5" s="1" t="s">
        <v>50</v>
      </c>
      <c r="O5" s="1" t="s">
        <v>51</v>
      </c>
      <c r="P5" s="1" t="s">
        <v>52</v>
      </c>
      <c r="Q5" s="1" t="s">
        <v>53</v>
      </c>
      <c r="R5" s="1" t="s">
        <v>54</v>
      </c>
    </row>
    <row r="6" spans="1:18" ht="28.5">
      <c r="A6" s="2" t="s">
        <v>55</v>
      </c>
      <c r="B6" s="2" t="s">
        <v>56</v>
      </c>
      <c r="C6" s="2" t="s">
        <v>10</v>
      </c>
      <c r="D6" s="2" t="s">
        <v>57</v>
      </c>
      <c r="E6" s="2" t="s">
        <v>58</v>
      </c>
      <c r="F6" s="2" t="s">
        <v>59</v>
      </c>
      <c r="G6" s="2" t="s">
        <v>60</v>
      </c>
      <c r="H6" s="2" t="s">
        <v>61</v>
      </c>
      <c r="I6" s="2" t="s">
        <v>62</v>
      </c>
      <c r="J6" s="2" t="s">
        <v>63</v>
      </c>
      <c r="K6" s="2" t="s">
        <v>34</v>
      </c>
      <c r="L6" s="2" t="s">
        <v>11</v>
      </c>
      <c r="M6" s="2"/>
      <c r="N6" s="2" t="s">
        <v>726</v>
      </c>
      <c r="O6" s="2" t="s">
        <v>723</v>
      </c>
      <c r="P6" s="2"/>
      <c r="Q6" s="2" t="s">
        <v>64</v>
      </c>
      <c r="R6" s="8" t="s">
        <v>732</v>
      </c>
    </row>
    <row r="7" spans="1:18" ht="28.5">
      <c r="A7" s="2" t="s">
        <v>65</v>
      </c>
      <c r="B7" s="2" t="s">
        <v>56</v>
      </c>
      <c r="C7" s="2" t="s">
        <v>10</v>
      </c>
      <c r="D7" s="2" t="s">
        <v>57</v>
      </c>
      <c r="E7" s="2" t="s">
        <v>58</v>
      </c>
      <c r="F7" s="2" t="s">
        <v>59</v>
      </c>
      <c r="G7" s="2" t="s">
        <v>66</v>
      </c>
      <c r="H7" s="2" t="s">
        <v>67</v>
      </c>
      <c r="I7" s="2" t="s">
        <v>68</v>
      </c>
      <c r="J7" s="2" t="s">
        <v>69</v>
      </c>
      <c r="K7" s="2" t="s">
        <v>34</v>
      </c>
      <c r="L7" s="2" t="s">
        <v>11</v>
      </c>
      <c r="M7" s="2"/>
      <c r="N7" s="2" t="s">
        <v>727</v>
      </c>
      <c r="O7" s="2" t="s">
        <v>724</v>
      </c>
      <c r="P7" s="2"/>
      <c r="Q7" s="2" t="s">
        <v>70</v>
      </c>
      <c r="R7" s="2"/>
    </row>
    <row r="8" spans="1:18" ht="28.5">
      <c r="A8" s="2" t="s">
        <v>71</v>
      </c>
      <c r="B8" s="2" t="s">
        <v>56</v>
      </c>
      <c r="C8" s="2" t="s">
        <v>10</v>
      </c>
      <c r="D8" s="2" t="s">
        <v>57</v>
      </c>
      <c r="E8" s="2" t="s">
        <v>58</v>
      </c>
      <c r="F8" s="2" t="s">
        <v>59</v>
      </c>
      <c r="G8" s="2" t="s">
        <v>72</v>
      </c>
      <c r="H8" s="2" t="s">
        <v>67</v>
      </c>
      <c r="I8" s="2" t="s">
        <v>73</v>
      </c>
      <c r="J8" s="2" t="s">
        <v>74</v>
      </c>
      <c r="K8" s="2" t="s">
        <v>34</v>
      </c>
      <c r="L8" s="2" t="s">
        <v>11</v>
      </c>
      <c r="M8" s="2"/>
      <c r="N8" s="2" t="s">
        <v>728</v>
      </c>
      <c r="O8" s="2" t="s">
        <v>725</v>
      </c>
      <c r="P8" s="2"/>
      <c r="Q8" s="2" t="s">
        <v>70</v>
      </c>
      <c r="R8" s="8" t="s">
        <v>731</v>
      </c>
    </row>
    <row r="9" spans="1:18" ht="28.5" customHeight="1">
      <c r="A9" s="2" t="s">
        <v>75</v>
      </c>
      <c r="B9" s="2" t="s">
        <v>56</v>
      </c>
      <c r="C9" s="2" t="s">
        <v>10</v>
      </c>
      <c r="D9" s="2" t="s">
        <v>57</v>
      </c>
      <c r="E9" s="2" t="s">
        <v>58</v>
      </c>
      <c r="F9" s="2" t="s">
        <v>76</v>
      </c>
      <c r="G9" s="2" t="s">
        <v>77</v>
      </c>
      <c r="H9" s="2" t="s">
        <v>78</v>
      </c>
      <c r="I9" s="2" t="s">
        <v>79</v>
      </c>
      <c r="J9" s="2" t="s">
        <v>80</v>
      </c>
      <c r="K9" s="2" t="s">
        <v>34</v>
      </c>
      <c r="L9" s="2" t="s">
        <v>11</v>
      </c>
      <c r="M9" s="2"/>
      <c r="N9" s="2" t="s">
        <v>833</v>
      </c>
      <c r="O9" s="2" t="s">
        <v>831</v>
      </c>
      <c r="P9" s="2"/>
      <c r="Q9" s="2" t="s">
        <v>70</v>
      </c>
      <c r="R9" s="2" t="s">
        <v>832</v>
      </c>
    </row>
    <row r="10" spans="1:18">
      <c r="A10" s="2" t="s">
        <v>82</v>
      </c>
      <c r="B10" s="2" t="s">
        <v>56</v>
      </c>
      <c r="C10" s="2" t="s">
        <v>10</v>
      </c>
      <c r="D10" s="2" t="s">
        <v>57</v>
      </c>
      <c r="E10" s="2" t="s">
        <v>58</v>
      </c>
      <c r="F10" s="2" t="s">
        <v>83</v>
      </c>
      <c r="G10" s="2" t="s">
        <v>84</v>
      </c>
      <c r="H10" s="2" t="s">
        <v>85</v>
      </c>
      <c r="I10" s="2" t="s">
        <v>86</v>
      </c>
      <c r="J10" s="2" t="s">
        <v>87</v>
      </c>
      <c r="K10" s="2" t="s">
        <v>35</v>
      </c>
      <c r="L10" s="2" t="s">
        <v>7</v>
      </c>
      <c r="M10" s="2"/>
      <c r="N10" s="2"/>
      <c r="O10" s="2"/>
      <c r="P10" s="2"/>
      <c r="Q10" s="2" t="s">
        <v>70</v>
      </c>
      <c r="R10" s="2"/>
    </row>
    <row r="11" spans="1:18">
      <c r="A11" s="2" t="s">
        <v>88</v>
      </c>
      <c r="B11" s="2" t="s">
        <v>56</v>
      </c>
      <c r="C11" s="2" t="s">
        <v>10</v>
      </c>
      <c r="D11" s="2" t="s">
        <v>57</v>
      </c>
      <c r="E11" s="2" t="s">
        <v>58</v>
      </c>
      <c r="F11" s="2" t="s">
        <v>83</v>
      </c>
      <c r="G11" s="2" t="s">
        <v>89</v>
      </c>
      <c r="H11" s="2" t="s">
        <v>85</v>
      </c>
      <c r="I11" s="2" t="s">
        <v>90</v>
      </c>
      <c r="J11" s="2" t="s">
        <v>91</v>
      </c>
      <c r="K11" s="2" t="s">
        <v>35</v>
      </c>
      <c r="L11" s="2" t="s">
        <v>7</v>
      </c>
      <c r="M11" s="2"/>
      <c r="N11" s="2"/>
      <c r="O11" s="2"/>
      <c r="P11" s="2"/>
      <c r="Q11" s="2" t="s">
        <v>70</v>
      </c>
      <c r="R11" s="2"/>
    </row>
    <row r="12" spans="1:18" ht="28.5">
      <c r="A12" s="2" t="s">
        <v>92</v>
      </c>
      <c r="B12" s="2" t="s">
        <v>56</v>
      </c>
      <c r="C12" s="2" t="s">
        <v>10</v>
      </c>
      <c r="D12" s="2" t="s">
        <v>93</v>
      </c>
      <c r="E12" s="2" t="s">
        <v>94</v>
      </c>
      <c r="F12" s="2" t="s">
        <v>59</v>
      </c>
      <c r="G12" s="2" t="s">
        <v>95</v>
      </c>
      <c r="H12" s="2" t="s">
        <v>96</v>
      </c>
      <c r="I12" s="2" t="s">
        <v>97</v>
      </c>
      <c r="J12" s="2" t="s">
        <v>98</v>
      </c>
      <c r="K12" s="2" t="s">
        <v>33</v>
      </c>
      <c r="L12" s="2" t="s">
        <v>6</v>
      </c>
      <c r="M12" s="2" t="s">
        <v>81</v>
      </c>
      <c r="N12" s="2"/>
      <c r="O12" s="2"/>
      <c r="P12" s="2"/>
      <c r="Q12" s="2" t="s">
        <v>70</v>
      </c>
      <c r="R12" s="2"/>
    </row>
    <row r="13" spans="1:18" ht="28.5">
      <c r="A13" s="2" t="s">
        <v>99</v>
      </c>
      <c r="B13" s="2" t="s">
        <v>56</v>
      </c>
      <c r="C13" s="2" t="s">
        <v>12</v>
      </c>
      <c r="D13" s="2" t="s">
        <v>100</v>
      </c>
      <c r="E13" s="2" t="s">
        <v>58</v>
      </c>
      <c r="F13" s="2" t="s">
        <v>76</v>
      </c>
      <c r="G13" s="2" t="s">
        <v>101</v>
      </c>
      <c r="H13" s="2" t="s">
        <v>102</v>
      </c>
      <c r="I13" s="2" t="s">
        <v>103</v>
      </c>
      <c r="J13" s="2" t="s">
        <v>104</v>
      </c>
      <c r="K13" s="2" t="s">
        <v>35</v>
      </c>
      <c r="L13" s="2" t="s">
        <v>7</v>
      </c>
      <c r="M13" s="2"/>
      <c r="N13" s="2"/>
      <c r="O13" s="2"/>
      <c r="P13" s="2"/>
      <c r="Q13" s="2" t="s">
        <v>64</v>
      </c>
      <c r="R13" s="2"/>
    </row>
    <row r="14" spans="1:18" ht="28.5">
      <c r="A14" s="2" t="s">
        <v>105</v>
      </c>
      <c r="B14" s="2" t="s">
        <v>56</v>
      </c>
      <c r="C14" s="2" t="s">
        <v>12</v>
      </c>
      <c r="D14" s="2" t="s">
        <v>100</v>
      </c>
      <c r="E14" s="2" t="s">
        <v>58</v>
      </c>
      <c r="F14" s="2" t="s">
        <v>76</v>
      </c>
      <c r="G14" s="2" t="s">
        <v>106</v>
      </c>
      <c r="H14" s="2" t="s">
        <v>107</v>
      </c>
      <c r="I14" s="2" t="s">
        <v>108</v>
      </c>
      <c r="J14" s="2" t="s">
        <v>109</v>
      </c>
      <c r="K14" s="2" t="s">
        <v>35</v>
      </c>
      <c r="L14" s="2" t="s">
        <v>7</v>
      </c>
      <c r="M14" s="2"/>
      <c r="N14" s="2"/>
      <c r="O14" s="2"/>
      <c r="P14" s="2"/>
      <c r="Q14" s="2" t="s">
        <v>64</v>
      </c>
      <c r="R14" s="2"/>
    </row>
    <row r="15" spans="1:18" ht="28.5">
      <c r="A15" s="2" t="s">
        <v>110</v>
      </c>
      <c r="B15" s="2" t="s">
        <v>56</v>
      </c>
      <c r="C15" s="2" t="s">
        <v>12</v>
      </c>
      <c r="D15" s="2" t="s">
        <v>100</v>
      </c>
      <c r="E15" s="2" t="s">
        <v>58</v>
      </c>
      <c r="F15" s="2" t="s">
        <v>76</v>
      </c>
      <c r="G15" s="2" t="s">
        <v>111</v>
      </c>
      <c r="H15" s="2" t="s">
        <v>112</v>
      </c>
      <c r="I15" s="2" t="s">
        <v>113</v>
      </c>
      <c r="J15" s="2" t="s">
        <v>114</v>
      </c>
      <c r="K15" s="2" t="s">
        <v>35</v>
      </c>
      <c r="L15" s="2" t="s">
        <v>7</v>
      </c>
      <c r="M15" s="2"/>
      <c r="N15" s="2"/>
      <c r="O15" s="2"/>
      <c r="P15" s="2"/>
      <c r="Q15" s="2" t="s">
        <v>64</v>
      </c>
      <c r="R15" s="2"/>
    </row>
    <row r="16" spans="1:18" ht="28.5">
      <c r="A16" s="2" t="s">
        <v>115</v>
      </c>
      <c r="B16" s="2" t="s">
        <v>56</v>
      </c>
      <c r="C16" s="2" t="s">
        <v>12</v>
      </c>
      <c r="D16" s="2" t="s">
        <v>116</v>
      </c>
      <c r="E16" s="2" t="s">
        <v>58</v>
      </c>
      <c r="F16" s="2" t="s">
        <v>76</v>
      </c>
      <c r="G16" s="2" t="s">
        <v>117</v>
      </c>
      <c r="H16" s="2" t="s">
        <v>118</v>
      </c>
      <c r="I16" s="2" t="s">
        <v>119</v>
      </c>
      <c r="J16" s="2" t="s">
        <v>120</v>
      </c>
      <c r="K16" s="2" t="s">
        <v>33</v>
      </c>
      <c r="L16" s="2" t="s">
        <v>7</v>
      </c>
      <c r="M16" s="2"/>
      <c r="N16" s="2"/>
      <c r="O16" s="2"/>
      <c r="P16" s="2"/>
      <c r="Q16" s="2" t="s">
        <v>64</v>
      </c>
      <c r="R16" s="2"/>
    </row>
    <row r="17" spans="1:18" ht="28.5">
      <c r="A17" s="2" t="s">
        <v>121</v>
      </c>
      <c r="B17" s="2" t="s">
        <v>56</v>
      </c>
      <c r="C17" s="2" t="s">
        <v>12</v>
      </c>
      <c r="D17" s="2" t="s">
        <v>100</v>
      </c>
      <c r="E17" s="2" t="s">
        <v>58</v>
      </c>
      <c r="F17" s="2" t="s">
        <v>76</v>
      </c>
      <c r="G17" s="2" t="s">
        <v>122</v>
      </c>
      <c r="H17" s="2" t="s">
        <v>123</v>
      </c>
      <c r="I17" s="2" t="s">
        <v>124</v>
      </c>
      <c r="J17" s="2" t="s">
        <v>125</v>
      </c>
      <c r="K17" s="2" t="s">
        <v>33</v>
      </c>
      <c r="L17" s="2" t="s">
        <v>7</v>
      </c>
      <c r="M17" s="2"/>
      <c r="N17" s="2"/>
      <c r="O17" s="2"/>
      <c r="P17" s="2"/>
      <c r="Q17" s="2" t="s">
        <v>64</v>
      </c>
      <c r="R17" s="2"/>
    </row>
    <row r="18" spans="1:18" ht="28.5">
      <c r="A18" s="2" t="s">
        <v>126</v>
      </c>
      <c r="B18" s="2" t="s">
        <v>56</v>
      </c>
      <c r="C18" s="2" t="s">
        <v>14</v>
      </c>
      <c r="D18" s="2" t="s">
        <v>127</v>
      </c>
      <c r="E18" s="2" t="s">
        <v>58</v>
      </c>
      <c r="F18" s="2" t="s">
        <v>76</v>
      </c>
      <c r="G18" s="2" t="s">
        <v>128</v>
      </c>
      <c r="H18" s="2" t="s">
        <v>129</v>
      </c>
      <c r="I18" s="2" t="s">
        <v>130</v>
      </c>
      <c r="J18" s="2" t="s">
        <v>131</v>
      </c>
      <c r="K18" s="2" t="s">
        <v>35</v>
      </c>
      <c r="L18" s="2" t="s">
        <v>7</v>
      </c>
      <c r="M18" s="2"/>
      <c r="N18" s="2"/>
      <c r="O18" s="2"/>
      <c r="P18" s="2"/>
      <c r="Q18" s="2" t="s">
        <v>64</v>
      </c>
      <c r="R18" s="2"/>
    </row>
    <row r="19" spans="1:18" ht="28.5">
      <c r="A19" s="2" t="s">
        <v>132</v>
      </c>
      <c r="B19" s="2" t="s">
        <v>56</v>
      </c>
      <c r="C19" s="2" t="s">
        <v>14</v>
      </c>
      <c r="D19" s="2" t="s">
        <v>127</v>
      </c>
      <c r="E19" s="2" t="s">
        <v>58</v>
      </c>
      <c r="F19" s="2" t="s">
        <v>76</v>
      </c>
      <c r="G19" s="2" t="s">
        <v>133</v>
      </c>
      <c r="H19" s="2" t="s">
        <v>123</v>
      </c>
      <c r="I19" s="2" t="s">
        <v>134</v>
      </c>
      <c r="J19" s="2" t="s">
        <v>135</v>
      </c>
      <c r="K19" s="2" t="s">
        <v>35</v>
      </c>
      <c r="L19" s="2" t="s">
        <v>7</v>
      </c>
      <c r="M19" s="2"/>
      <c r="N19" s="2"/>
      <c r="O19" s="2"/>
      <c r="P19" s="2"/>
      <c r="Q19" s="2" t="s">
        <v>64</v>
      </c>
      <c r="R19" s="2"/>
    </row>
    <row r="20" spans="1:18" ht="71.25">
      <c r="A20" s="2" t="s">
        <v>136</v>
      </c>
      <c r="B20" s="2" t="s">
        <v>56</v>
      </c>
      <c r="C20" s="2" t="s">
        <v>14</v>
      </c>
      <c r="D20" s="2" t="s">
        <v>137</v>
      </c>
      <c r="E20" s="2" t="s">
        <v>58</v>
      </c>
      <c r="F20" s="2" t="s">
        <v>76</v>
      </c>
      <c r="G20" s="2" t="s">
        <v>138</v>
      </c>
      <c r="H20" s="2" t="s">
        <v>139</v>
      </c>
      <c r="I20" s="2" t="s">
        <v>140</v>
      </c>
      <c r="J20" s="2" t="s">
        <v>141</v>
      </c>
      <c r="K20" s="2" t="s">
        <v>34</v>
      </c>
      <c r="L20" s="6" t="s">
        <v>11</v>
      </c>
      <c r="M20" s="2"/>
      <c r="N20" s="5" t="s">
        <v>729</v>
      </c>
      <c r="O20" s="2"/>
      <c r="P20" s="2"/>
      <c r="Q20" s="2" t="s">
        <v>64</v>
      </c>
      <c r="R20" s="7" t="s">
        <v>730</v>
      </c>
    </row>
    <row r="21" spans="1:18" ht="28.5">
      <c r="A21" s="2" t="s">
        <v>142</v>
      </c>
      <c r="B21" s="2" t="s">
        <v>56</v>
      </c>
      <c r="C21" s="2" t="s">
        <v>14</v>
      </c>
      <c r="D21" s="2" t="s">
        <v>127</v>
      </c>
      <c r="E21" s="2" t="s">
        <v>58</v>
      </c>
      <c r="F21" s="2" t="s">
        <v>76</v>
      </c>
      <c r="G21" s="2" t="s">
        <v>143</v>
      </c>
      <c r="H21" s="2" t="s">
        <v>144</v>
      </c>
      <c r="I21" s="2" t="s">
        <v>145</v>
      </c>
      <c r="J21" s="2" t="s">
        <v>146</v>
      </c>
      <c r="K21" s="2" t="s">
        <v>33</v>
      </c>
      <c r="L21" s="2" t="s">
        <v>7</v>
      </c>
      <c r="M21" s="2"/>
      <c r="N21" s="2"/>
      <c r="O21" s="2"/>
      <c r="P21" s="2"/>
      <c r="Q21" s="2" t="s">
        <v>64</v>
      </c>
      <c r="R21" s="2"/>
    </row>
    <row r="22" spans="1:18" ht="28.5">
      <c r="A22" s="2" t="s">
        <v>147</v>
      </c>
      <c r="B22" s="2" t="s">
        <v>56</v>
      </c>
      <c r="C22" s="2" t="s">
        <v>15</v>
      </c>
      <c r="D22" s="2" t="s">
        <v>148</v>
      </c>
      <c r="E22" s="2" t="s">
        <v>58</v>
      </c>
      <c r="F22" s="2" t="s">
        <v>76</v>
      </c>
      <c r="G22" s="2" t="s">
        <v>149</v>
      </c>
      <c r="H22" s="2" t="s">
        <v>150</v>
      </c>
      <c r="I22" s="2" t="s">
        <v>151</v>
      </c>
      <c r="J22" s="2" t="s">
        <v>152</v>
      </c>
      <c r="K22" s="2" t="s">
        <v>33</v>
      </c>
      <c r="L22" s="2" t="s">
        <v>7</v>
      </c>
      <c r="M22" s="2"/>
      <c r="N22" s="2"/>
      <c r="O22" s="2"/>
      <c r="P22" s="2"/>
      <c r="Q22" s="2" t="s">
        <v>64</v>
      </c>
      <c r="R22" s="2"/>
    </row>
    <row r="23" spans="1:18" ht="28.5">
      <c r="A23" s="2" t="s">
        <v>153</v>
      </c>
      <c r="B23" s="2" t="s">
        <v>56</v>
      </c>
      <c r="C23" s="2" t="s">
        <v>15</v>
      </c>
      <c r="D23" s="2" t="s">
        <v>154</v>
      </c>
      <c r="E23" s="2" t="s">
        <v>58</v>
      </c>
      <c r="F23" s="2" t="s">
        <v>76</v>
      </c>
      <c r="G23" s="2" t="s">
        <v>155</v>
      </c>
      <c r="H23" s="2" t="s">
        <v>156</v>
      </c>
      <c r="I23" s="2" t="s">
        <v>157</v>
      </c>
      <c r="J23" s="2" t="s">
        <v>158</v>
      </c>
      <c r="K23" s="2" t="s">
        <v>35</v>
      </c>
      <c r="L23" s="2" t="s">
        <v>7</v>
      </c>
      <c r="M23" s="2"/>
      <c r="N23" s="2"/>
      <c r="O23" s="2"/>
      <c r="P23" s="2"/>
      <c r="Q23" s="2" t="s">
        <v>64</v>
      </c>
      <c r="R23" s="2"/>
    </row>
    <row r="24" spans="1:18" ht="28.5">
      <c r="A24" s="2" t="s">
        <v>159</v>
      </c>
      <c r="B24" s="2" t="s">
        <v>160</v>
      </c>
      <c r="C24" s="2" t="s">
        <v>15</v>
      </c>
      <c r="D24" s="2" t="s">
        <v>154</v>
      </c>
      <c r="E24" s="2" t="s">
        <v>58</v>
      </c>
      <c r="F24" s="2" t="s">
        <v>76</v>
      </c>
      <c r="G24" s="2" t="s">
        <v>161</v>
      </c>
      <c r="H24" s="2" t="s">
        <v>162</v>
      </c>
      <c r="I24" s="2" t="s">
        <v>163</v>
      </c>
      <c r="J24" s="2" t="s">
        <v>164</v>
      </c>
      <c r="K24" s="2" t="s">
        <v>33</v>
      </c>
      <c r="L24" s="2" t="s">
        <v>6</v>
      </c>
      <c r="M24" s="2" t="s">
        <v>165</v>
      </c>
      <c r="N24" s="2"/>
      <c r="O24" s="2"/>
      <c r="P24" s="2"/>
      <c r="Q24" s="2" t="s">
        <v>64</v>
      </c>
      <c r="R24" s="2"/>
    </row>
    <row r="25" spans="1:18" ht="28.5">
      <c r="A25" s="2" t="s">
        <v>166</v>
      </c>
      <c r="B25" s="2" t="s">
        <v>56</v>
      </c>
      <c r="C25" s="2" t="s">
        <v>15</v>
      </c>
      <c r="D25" s="2" t="s">
        <v>167</v>
      </c>
      <c r="E25" s="2" t="s">
        <v>58</v>
      </c>
      <c r="F25" s="2" t="s">
        <v>76</v>
      </c>
      <c r="G25" s="2" t="s">
        <v>168</v>
      </c>
      <c r="H25" s="2" t="s">
        <v>169</v>
      </c>
      <c r="I25" s="2" t="s">
        <v>170</v>
      </c>
      <c r="J25" s="2" t="s">
        <v>171</v>
      </c>
      <c r="K25" s="2" t="s">
        <v>33</v>
      </c>
      <c r="L25" s="2" t="s">
        <v>7</v>
      </c>
      <c r="M25" s="2"/>
      <c r="N25" s="2"/>
      <c r="O25" s="2"/>
      <c r="P25" s="2"/>
      <c r="Q25" s="2" t="s">
        <v>64</v>
      </c>
      <c r="R25" s="2"/>
    </row>
    <row r="26" spans="1:18" ht="85.5" customHeight="1">
      <c r="A26" s="2" t="s">
        <v>172</v>
      </c>
      <c r="B26" s="2" t="s">
        <v>56</v>
      </c>
      <c r="C26" s="2" t="s">
        <v>15</v>
      </c>
      <c r="D26" s="2" t="s">
        <v>137</v>
      </c>
      <c r="E26" s="2" t="s">
        <v>58</v>
      </c>
      <c r="F26" s="2" t="s">
        <v>76</v>
      </c>
      <c r="G26" s="2" t="s">
        <v>173</v>
      </c>
      <c r="H26" s="2" t="s">
        <v>174</v>
      </c>
      <c r="I26" s="2" t="s">
        <v>175</v>
      </c>
      <c r="J26" s="2" t="s">
        <v>176</v>
      </c>
      <c r="K26" s="2" t="s">
        <v>34</v>
      </c>
      <c r="L26" s="9" t="s">
        <v>11</v>
      </c>
      <c r="M26" s="2"/>
      <c r="N26" s="2" t="s">
        <v>733</v>
      </c>
      <c r="O26" t="s">
        <v>735</v>
      </c>
      <c r="P26" s="2"/>
      <c r="Q26" s="2" t="s">
        <v>64</v>
      </c>
      <c r="R26" s="2" t="s">
        <v>734</v>
      </c>
    </row>
    <row r="27" spans="1:18" ht="28.5">
      <c r="A27" s="2" t="s">
        <v>177</v>
      </c>
      <c r="B27" s="2" t="s">
        <v>160</v>
      </c>
      <c r="C27" s="2" t="s">
        <v>15</v>
      </c>
      <c r="D27" s="2" t="s">
        <v>178</v>
      </c>
      <c r="E27" s="2" t="s">
        <v>58</v>
      </c>
      <c r="F27" s="2" t="s">
        <v>76</v>
      </c>
      <c r="G27" s="2" t="s">
        <v>179</v>
      </c>
      <c r="H27" s="2" t="s">
        <v>156</v>
      </c>
      <c r="I27" s="2" t="s">
        <v>180</v>
      </c>
      <c r="J27" s="2" t="s">
        <v>181</v>
      </c>
      <c r="K27" s="2" t="s">
        <v>33</v>
      </c>
      <c r="L27" s="2" t="s">
        <v>6</v>
      </c>
      <c r="M27" s="2" t="s">
        <v>165</v>
      </c>
      <c r="N27" s="2"/>
      <c r="O27" s="2"/>
      <c r="P27" s="2"/>
      <c r="Q27" s="2" t="s">
        <v>64</v>
      </c>
      <c r="R27" s="2"/>
    </row>
    <row r="28" spans="1:18" ht="28.5">
      <c r="A28" s="2" t="s">
        <v>182</v>
      </c>
      <c r="B28" s="2" t="s">
        <v>56</v>
      </c>
      <c r="C28" s="2" t="s">
        <v>16</v>
      </c>
      <c r="D28" s="2" t="s">
        <v>183</v>
      </c>
      <c r="E28" s="2" t="s">
        <v>58</v>
      </c>
      <c r="F28" s="2" t="s">
        <v>76</v>
      </c>
      <c r="G28" s="2" t="s">
        <v>184</v>
      </c>
      <c r="H28" s="2" t="s">
        <v>185</v>
      </c>
      <c r="I28" s="2" t="s">
        <v>186</v>
      </c>
      <c r="J28" s="2" t="s">
        <v>187</v>
      </c>
      <c r="K28" s="2" t="s">
        <v>35</v>
      </c>
      <c r="L28" s="2" t="s">
        <v>7</v>
      </c>
      <c r="M28" s="2"/>
      <c r="N28" s="2"/>
      <c r="O28" s="2"/>
      <c r="P28" s="2"/>
      <c r="Q28" s="2" t="s">
        <v>64</v>
      </c>
      <c r="R28" s="2"/>
    </row>
    <row r="29" spans="1:18" ht="28.5">
      <c r="A29" s="2" t="s">
        <v>188</v>
      </c>
      <c r="B29" s="2" t="s">
        <v>56</v>
      </c>
      <c r="C29" s="2" t="s">
        <v>16</v>
      </c>
      <c r="D29" s="2" t="s">
        <v>189</v>
      </c>
      <c r="E29" s="2" t="s">
        <v>58</v>
      </c>
      <c r="F29" s="2" t="s">
        <v>76</v>
      </c>
      <c r="G29" s="2" t="s">
        <v>190</v>
      </c>
      <c r="H29" s="2" t="s">
        <v>185</v>
      </c>
      <c r="I29" s="2" t="s">
        <v>191</v>
      </c>
      <c r="J29" s="2" t="s">
        <v>192</v>
      </c>
      <c r="K29" s="2" t="s">
        <v>35</v>
      </c>
      <c r="L29" s="2" t="s">
        <v>7</v>
      </c>
      <c r="M29" s="2"/>
      <c r="N29" s="2"/>
      <c r="O29" s="2"/>
      <c r="P29" s="2"/>
      <c r="Q29" s="2" t="s">
        <v>64</v>
      </c>
      <c r="R29" s="2"/>
    </row>
    <row r="30" spans="1:18" ht="28.5">
      <c r="A30" s="2" t="s">
        <v>193</v>
      </c>
      <c r="B30" s="2" t="s">
        <v>56</v>
      </c>
      <c r="C30" s="2" t="s">
        <v>16</v>
      </c>
      <c r="D30" s="2" t="s">
        <v>167</v>
      </c>
      <c r="E30" s="2" t="s">
        <v>58</v>
      </c>
      <c r="F30" s="2" t="s">
        <v>76</v>
      </c>
      <c r="G30" s="2" t="s">
        <v>194</v>
      </c>
      <c r="H30" s="2" t="s">
        <v>195</v>
      </c>
      <c r="I30" s="2" t="s">
        <v>196</v>
      </c>
      <c r="J30" s="2" t="s">
        <v>197</v>
      </c>
      <c r="K30" s="2" t="s">
        <v>33</v>
      </c>
      <c r="L30" s="2" t="s">
        <v>7</v>
      </c>
      <c r="M30" s="2"/>
      <c r="N30" s="2"/>
      <c r="O30" s="2"/>
      <c r="P30" s="2"/>
      <c r="Q30" s="2" t="s">
        <v>64</v>
      </c>
      <c r="R30" s="2"/>
    </row>
    <row r="31" spans="1:18" ht="28.5">
      <c r="A31" s="2" t="s">
        <v>198</v>
      </c>
      <c r="B31" s="2" t="s">
        <v>160</v>
      </c>
      <c r="C31" s="2" t="s">
        <v>16</v>
      </c>
      <c r="D31" s="2" t="s">
        <v>178</v>
      </c>
      <c r="E31" s="2" t="s">
        <v>58</v>
      </c>
      <c r="F31" s="2" t="s">
        <v>76</v>
      </c>
      <c r="G31" s="2" t="s">
        <v>199</v>
      </c>
      <c r="H31" s="2" t="s">
        <v>200</v>
      </c>
      <c r="I31" s="2" t="s">
        <v>201</v>
      </c>
      <c r="J31" s="2" t="s">
        <v>202</v>
      </c>
      <c r="K31" s="2" t="s">
        <v>33</v>
      </c>
      <c r="L31" s="2" t="s">
        <v>6</v>
      </c>
      <c r="M31" s="2" t="s">
        <v>165</v>
      </c>
      <c r="N31" s="2"/>
      <c r="O31" s="2"/>
      <c r="P31" s="2"/>
      <c r="Q31" s="2" t="s">
        <v>64</v>
      </c>
      <c r="R31" s="2"/>
    </row>
    <row r="32" spans="1:18" ht="28.5">
      <c r="A32" s="2" t="s">
        <v>203</v>
      </c>
      <c r="B32" s="2" t="s">
        <v>160</v>
      </c>
      <c r="C32" s="2" t="s">
        <v>16</v>
      </c>
      <c r="D32" s="2" t="s">
        <v>178</v>
      </c>
      <c r="E32" s="2" t="s">
        <v>58</v>
      </c>
      <c r="F32" s="2" t="s">
        <v>76</v>
      </c>
      <c r="G32" s="2" t="s">
        <v>204</v>
      </c>
      <c r="H32" s="2" t="s">
        <v>205</v>
      </c>
      <c r="I32" s="2" t="s">
        <v>206</v>
      </c>
      <c r="J32" s="2" t="s">
        <v>207</v>
      </c>
      <c r="K32" s="2" t="s">
        <v>33</v>
      </c>
      <c r="L32" s="2" t="s">
        <v>7</v>
      </c>
      <c r="M32" s="2"/>
      <c r="N32" s="2"/>
      <c r="O32" s="2"/>
      <c r="P32" s="2"/>
      <c r="Q32" s="2" t="s">
        <v>64</v>
      </c>
      <c r="R32" s="2"/>
    </row>
    <row r="33" spans="1:18" ht="28.5">
      <c r="A33" s="2" t="s">
        <v>208</v>
      </c>
      <c r="B33" s="2" t="s">
        <v>56</v>
      </c>
      <c r="C33" s="2" t="s">
        <v>18</v>
      </c>
      <c r="D33" s="2" t="s">
        <v>209</v>
      </c>
      <c r="E33" s="2" t="s">
        <v>94</v>
      </c>
      <c r="F33" s="2" t="s">
        <v>76</v>
      </c>
      <c r="G33" s="2" t="s">
        <v>210</v>
      </c>
      <c r="H33" s="2" t="s">
        <v>211</v>
      </c>
      <c r="I33" s="2" t="s">
        <v>212</v>
      </c>
      <c r="J33" s="2" t="s">
        <v>213</v>
      </c>
      <c r="K33" s="2" t="s">
        <v>35</v>
      </c>
      <c r="L33" s="2" t="s">
        <v>7</v>
      </c>
      <c r="M33" s="2"/>
      <c r="N33" s="2"/>
      <c r="O33" s="2"/>
      <c r="P33" s="2"/>
      <c r="Q33" s="2" t="s">
        <v>64</v>
      </c>
      <c r="R33" s="2"/>
    </row>
    <row r="34" spans="1:18" ht="28.5">
      <c r="A34" s="2" t="s">
        <v>214</v>
      </c>
      <c r="B34" s="2" t="s">
        <v>56</v>
      </c>
      <c r="C34" s="2" t="s">
        <v>18</v>
      </c>
      <c r="D34" s="2" t="s">
        <v>209</v>
      </c>
      <c r="E34" s="2" t="s">
        <v>94</v>
      </c>
      <c r="F34" s="2" t="s">
        <v>76</v>
      </c>
      <c r="G34" s="2" t="s">
        <v>215</v>
      </c>
      <c r="H34" s="2" t="s">
        <v>216</v>
      </c>
      <c r="I34" s="2" t="s">
        <v>217</v>
      </c>
      <c r="J34" s="2" t="s">
        <v>218</v>
      </c>
      <c r="K34" s="2" t="s">
        <v>35</v>
      </c>
      <c r="L34" s="2" t="s">
        <v>7</v>
      </c>
      <c r="M34" s="2"/>
      <c r="N34" s="2"/>
      <c r="O34" s="2"/>
      <c r="P34" s="2"/>
      <c r="Q34" s="2" t="s">
        <v>64</v>
      </c>
      <c r="R34" s="2"/>
    </row>
    <row r="35" spans="1:18" ht="75" customHeight="1">
      <c r="A35" s="2" t="s">
        <v>219</v>
      </c>
      <c r="B35" s="2" t="s">
        <v>56</v>
      </c>
      <c r="C35" s="2" t="s">
        <v>18</v>
      </c>
      <c r="D35" s="2" t="s">
        <v>209</v>
      </c>
      <c r="E35" s="2" t="s">
        <v>94</v>
      </c>
      <c r="F35" s="2" t="s">
        <v>76</v>
      </c>
      <c r="G35" s="2" t="s">
        <v>220</v>
      </c>
      <c r="H35" s="2" t="s">
        <v>221</v>
      </c>
      <c r="I35" s="2" t="s">
        <v>222</v>
      </c>
      <c r="J35" s="2" t="s">
        <v>223</v>
      </c>
      <c r="K35" s="2" t="s">
        <v>34</v>
      </c>
      <c r="L35" s="2" t="s">
        <v>11</v>
      </c>
      <c r="M35" s="2"/>
      <c r="N35" s="7" t="s">
        <v>737</v>
      </c>
      <c r="O35" s="7" t="s">
        <v>738</v>
      </c>
      <c r="P35" s="2"/>
      <c r="Q35" s="2" t="s">
        <v>64</v>
      </c>
      <c r="R35" s="2" t="s">
        <v>736</v>
      </c>
    </row>
    <row r="36" spans="1:18" ht="28.5" customHeight="1">
      <c r="A36" s="2" t="s">
        <v>224</v>
      </c>
      <c r="B36" s="2" t="s">
        <v>56</v>
      </c>
      <c r="C36" s="2" t="s">
        <v>18</v>
      </c>
      <c r="D36" s="2" t="s">
        <v>209</v>
      </c>
      <c r="E36" s="2" t="s">
        <v>94</v>
      </c>
      <c r="F36" s="2" t="s">
        <v>76</v>
      </c>
      <c r="G36" s="2" t="s">
        <v>225</v>
      </c>
      <c r="H36" s="2" t="s">
        <v>226</v>
      </c>
      <c r="I36" s="2" t="s">
        <v>227</v>
      </c>
      <c r="J36" s="2" t="s">
        <v>228</v>
      </c>
      <c r="K36" s="2" t="s">
        <v>34</v>
      </c>
      <c r="L36" s="2" t="s">
        <v>11</v>
      </c>
      <c r="M36" s="2"/>
      <c r="N36" s="2" t="s">
        <v>740</v>
      </c>
      <c r="O36" s="2" t="s">
        <v>739</v>
      </c>
      <c r="P36" s="2"/>
      <c r="Q36" s="2" t="s">
        <v>64</v>
      </c>
      <c r="R36" s="2" t="s">
        <v>741</v>
      </c>
    </row>
    <row r="37" spans="1:18" ht="28.5">
      <c r="A37" s="2" t="s">
        <v>229</v>
      </c>
      <c r="B37" s="2" t="s">
        <v>56</v>
      </c>
      <c r="C37" s="2" t="s">
        <v>19</v>
      </c>
      <c r="D37" s="2" t="s">
        <v>230</v>
      </c>
      <c r="E37" s="2" t="s">
        <v>94</v>
      </c>
      <c r="F37" s="2" t="s">
        <v>76</v>
      </c>
      <c r="G37" s="2" t="s">
        <v>231</v>
      </c>
      <c r="H37" s="2" t="s">
        <v>211</v>
      </c>
      <c r="I37" s="2" t="s">
        <v>232</v>
      </c>
      <c r="J37" s="2" t="s">
        <v>233</v>
      </c>
      <c r="K37" s="2" t="s">
        <v>35</v>
      </c>
      <c r="L37" s="2" t="s">
        <v>7</v>
      </c>
      <c r="M37" s="2"/>
      <c r="N37" s="2"/>
      <c r="O37" s="2"/>
      <c r="P37" s="2"/>
      <c r="Q37" s="2" t="s">
        <v>64</v>
      </c>
      <c r="R37" s="2"/>
    </row>
    <row r="38" spans="1:18" ht="28.5" customHeight="1">
      <c r="A38" s="2" t="s">
        <v>234</v>
      </c>
      <c r="B38" s="2" t="s">
        <v>56</v>
      </c>
      <c r="C38" s="2" t="s">
        <v>19</v>
      </c>
      <c r="D38" s="2" t="s">
        <v>230</v>
      </c>
      <c r="E38" s="2" t="s">
        <v>94</v>
      </c>
      <c r="F38" s="2" t="s">
        <v>76</v>
      </c>
      <c r="G38" s="2" t="s">
        <v>235</v>
      </c>
      <c r="H38" s="2" t="s">
        <v>236</v>
      </c>
      <c r="I38" s="2" t="s">
        <v>237</v>
      </c>
      <c r="J38" s="2" t="s">
        <v>238</v>
      </c>
      <c r="K38" s="2" t="s">
        <v>34</v>
      </c>
      <c r="L38" s="2" t="s">
        <v>11</v>
      </c>
      <c r="M38" s="2"/>
      <c r="N38" s="2" t="s">
        <v>743</v>
      </c>
      <c r="O38" s="2" t="s">
        <v>742</v>
      </c>
      <c r="P38" s="2"/>
      <c r="Q38" s="2" t="s">
        <v>64</v>
      </c>
      <c r="R38" s="2" t="s">
        <v>744</v>
      </c>
    </row>
    <row r="39" spans="1:18" ht="142.5">
      <c r="A39" s="2" t="s">
        <v>239</v>
      </c>
      <c r="B39" s="2" t="s">
        <v>56</v>
      </c>
      <c r="C39" s="2" t="s">
        <v>19</v>
      </c>
      <c r="D39" s="2" t="s">
        <v>230</v>
      </c>
      <c r="E39" s="2" t="s">
        <v>94</v>
      </c>
      <c r="F39" s="2" t="s">
        <v>76</v>
      </c>
      <c r="G39" s="2" t="s">
        <v>240</v>
      </c>
      <c r="H39" s="2" t="s">
        <v>241</v>
      </c>
      <c r="I39" s="2" t="s">
        <v>242</v>
      </c>
      <c r="J39" s="2" t="s">
        <v>243</v>
      </c>
      <c r="K39" s="2" t="s">
        <v>34</v>
      </c>
      <c r="L39" s="2" t="s">
        <v>11</v>
      </c>
      <c r="M39" s="2"/>
      <c r="N39" s="7" t="s">
        <v>746</v>
      </c>
      <c r="O39" s="2"/>
      <c r="P39" s="2"/>
      <c r="Q39" s="2" t="s">
        <v>64</v>
      </c>
      <c r="R39" s="2" t="s">
        <v>745</v>
      </c>
    </row>
    <row r="40" spans="1:18" ht="28.5" customHeight="1">
      <c r="A40" s="2" t="s">
        <v>244</v>
      </c>
      <c r="B40" s="2" t="s">
        <v>56</v>
      </c>
      <c r="C40" s="2" t="s">
        <v>19</v>
      </c>
      <c r="D40" s="2" t="s">
        <v>137</v>
      </c>
      <c r="E40" s="2" t="s">
        <v>94</v>
      </c>
      <c r="F40" s="2" t="s">
        <v>76</v>
      </c>
      <c r="G40" s="2" t="s">
        <v>245</v>
      </c>
      <c r="H40" s="2" t="s">
        <v>246</v>
      </c>
      <c r="I40" s="2" t="s">
        <v>247</v>
      </c>
      <c r="J40" s="2" t="s">
        <v>141</v>
      </c>
      <c r="K40" s="2" t="s">
        <v>34</v>
      </c>
      <c r="L40" s="2" t="s">
        <v>11</v>
      </c>
      <c r="M40" s="2"/>
      <c r="N40" s="2" t="s">
        <v>747</v>
      </c>
      <c r="O40" s="2"/>
      <c r="P40" s="2"/>
      <c r="Q40" s="2" t="s">
        <v>64</v>
      </c>
      <c r="R40" s="2" t="s">
        <v>748</v>
      </c>
    </row>
    <row r="41" spans="1:18" ht="28.5">
      <c r="A41" s="2" t="s">
        <v>248</v>
      </c>
      <c r="B41" s="2" t="s">
        <v>249</v>
      </c>
      <c r="C41" s="2" t="s">
        <v>20</v>
      </c>
      <c r="D41" s="2" t="s">
        <v>250</v>
      </c>
      <c r="E41" s="2" t="s">
        <v>58</v>
      </c>
      <c r="F41" s="2" t="s">
        <v>59</v>
      </c>
      <c r="G41" s="2" t="s">
        <v>251</v>
      </c>
      <c r="H41" s="2" t="s">
        <v>123</v>
      </c>
      <c r="I41" s="2" t="s">
        <v>252</v>
      </c>
      <c r="J41" s="2" t="s">
        <v>253</v>
      </c>
      <c r="K41" s="2" t="s">
        <v>35</v>
      </c>
      <c r="L41" s="2" t="s">
        <v>7</v>
      </c>
      <c r="M41" s="2"/>
      <c r="N41" s="2"/>
      <c r="O41" s="2"/>
      <c r="P41" s="2"/>
      <c r="Q41" s="2" t="s">
        <v>64</v>
      </c>
      <c r="R41" s="2"/>
    </row>
    <row r="42" spans="1:18" ht="28.5">
      <c r="A42" s="2" t="s">
        <v>254</v>
      </c>
      <c r="B42" s="2" t="s">
        <v>255</v>
      </c>
      <c r="C42" s="2" t="s">
        <v>20</v>
      </c>
      <c r="D42" s="2" t="s">
        <v>250</v>
      </c>
      <c r="E42" s="2" t="s">
        <v>58</v>
      </c>
      <c r="F42" s="2" t="s">
        <v>59</v>
      </c>
      <c r="G42" s="2" t="s">
        <v>256</v>
      </c>
      <c r="H42" s="2" t="s">
        <v>257</v>
      </c>
      <c r="I42" s="2" t="s">
        <v>258</v>
      </c>
      <c r="J42" s="2" t="s">
        <v>259</v>
      </c>
      <c r="K42" s="2" t="s">
        <v>33</v>
      </c>
      <c r="L42" s="2" t="s">
        <v>7</v>
      </c>
      <c r="M42" s="2"/>
      <c r="N42" s="2"/>
      <c r="O42" s="2"/>
      <c r="P42" s="2"/>
      <c r="Q42" s="2" t="s">
        <v>64</v>
      </c>
      <c r="R42" s="2"/>
    </row>
    <row r="43" spans="1:18" ht="28.5">
      <c r="A43" s="2" t="s">
        <v>260</v>
      </c>
      <c r="B43" s="2" t="s">
        <v>255</v>
      </c>
      <c r="C43" s="2" t="s">
        <v>20</v>
      </c>
      <c r="D43" s="2" t="s">
        <v>250</v>
      </c>
      <c r="E43" s="2" t="s">
        <v>58</v>
      </c>
      <c r="F43" s="2" t="s">
        <v>59</v>
      </c>
      <c r="G43" s="2" t="s">
        <v>261</v>
      </c>
      <c r="H43" s="2" t="s">
        <v>123</v>
      </c>
      <c r="I43" s="2" t="s">
        <v>262</v>
      </c>
      <c r="J43" s="2" t="s">
        <v>263</v>
      </c>
      <c r="K43" s="2" t="s">
        <v>33</v>
      </c>
      <c r="L43" s="2" t="s">
        <v>7</v>
      </c>
      <c r="M43" s="2"/>
      <c r="N43" s="2"/>
      <c r="O43" s="2"/>
      <c r="P43" s="2"/>
      <c r="Q43" s="2" t="s">
        <v>64</v>
      </c>
      <c r="R43" s="2"/>
    </row>
    <row r="44" spans="1:18" ht="28.5">
      <c r="A44" s="2" t="s">
        <v>264</v>
      </c>
      <c r="B44" s="2" t="s">
        <v>255</v>
      </c>
      <c r="C44" s="2" t="s">
        <v>20</v>
      </c>
      <c r="D44" s="2" t="s">
        <v>250</v>
      </c>
      <c r="E44" s="2" t="s">
        <v>58</v>
      </c>
      <c r="F44" s="2" t="s">
        <v>59</v>
      </c>
      <c r="G44" s="2" t="s">
        <v>265</v>
      </c>
      <c r="H44" s="2" t="s">
        <v>123</v>
      </c>
      <c r="I44" s="2" t="s">
        <v>266</v>
      </c>
      <c r="J44" s="2" t="s">
        <v>267</v>
      </c>
      <c r="K44" s="2" t="s">
        <v>33</v>
      </c>
      <c r="L44" s="2" t="s">
        <v>7</v>
      </c>
      <c r="M44" s="2"/>
      <c r="N44" s="2"/>
      <c r="O44" s="2"/>
      <c r="P44" s="2"/>
      <c r="Q44" s="2" t="s">
        <v>64</v>
      </c>
      <c r="R44" s="2"/>
    </row>
    <row r="45" spans="1:18" ht="28.5">
      <c r="A45" s="2" t="s">
        <v>268</v>
      </c>
      <c r="B45" s="2" t="s">
        <v>255</v>
      </c>
      <c r="C45" s="2" t="s">
        <v>20</v>
      </c>
      <c r="D45" s="2" t="s">
        <v>250</v>
      </c>
      <c r="E45" s="2" t="s">
        <v>58</v>
      </c>
      <c r="F45" s="2" t="s">
        <v>59</v>
      </c>
      <c r="G45" s="2" t="s">
        <v>269</v>
      </c>
      <c r="H45" s="2" t="s">
        <v>270</v>
      </c>
      <c r="I45" s="2" t="s">
        <v>271</v>
      </c>
      <c r="J45" s="2" t="s">
        <v>272</v>
      </c>
      <c r="K45" s="2" t="s">
        <v>35</v>
      </c>
      <c r="L45" s="2" t="s">
        <v>7</v>
      </c>
      <c r="M45" s="2"/>
      <c r="N45" s="2"/>
      <c r="O45" s="2"/>
      <c r="P45" s="2"/>
      <c r="Q45" s="2" t="s">
        <v>64</v>
      </c>
      <c r="R45" s="2"/>
    </row>
    <row r="46" spans="1:18" ht="28.5">
      <c r="A46" s="2" t="s">
        <v>273</v>
      </c>
      <c r="B46" s="2" t="s">
        <v>255</v>
      </c>
      <c r="C46" s="2" t="s">
        <v>20</v>
      </c>
      <c r="D46" s="2" t="s">
        <v>250</v>
      </c>
      <c r="E46" s="2" t="s">
        <v>58</v>
      </c>
      <c r="F46" s="2" t="s">
        <v>59</v>
      </c>
      <c r="G46" s="2" t="s">
        <v>274</v>
      </c>
      <c r="H46" s="2" t="s">
        <v>275</v>
      </c>
      <c r="I46" s="2" t="s">
        <v>271</v>
      </c>
      <c r="J46" s="2" t="s">
        <v>276</v>
      </c>
      <c r="K46" s="2" t="s">
        <v>35</v>
      </c>
      <c r="L46" s="2" t="s">
        <v>7</v>
      </c>
      <c r="M46" s="2"/>
      <c r="N46" s="2"/>
      <c r="O46" s="2"/>
      <c r="P46" s="2"/>
      <c r="Q46" s="2" t="s">
        <v>64</v>
      </c>
      <c r="R46" s="2"/>
    </row>
    <row r="47" spans="1:18" ht="28.5">
      <c r="A47" s="2" t="s">
        <v>277</v>
      </c>
      <c r="B47" s="2" t="s">
        <v>278</v>
      </c>
      <c r="C47" s="2" t="s">
        <v>20</v>
      </c>
      <c r="D47" s="2" t="s">
        <v>250</v>
      </c>
      <c r="E47" s="2" t="s">
        <v>58</v>
      </c>
      <c r="F47" s="2" t="s">
        <v>59</v>
      </c>
      <c r="G47" s="2" t="s">
        <v>279</v>
      </c>
      <c r="H47" s="2" t="s">
        <v>280</v>
      </c>
      <c r="I47" s="2" t="s">
        <v>271</v>
      </c>
      <c r="J47" s="2" t="s">
        <v>281</v>
      </c>
      <c r="K47" s="2" t="s">
        <v>33</v>
      </c>
      <c r="L47" s="2" t="s">
        <v>7</v>
      </c>
      <c r="M47" s="2"/>
      <c r="N47" s="2"/>
      <c r="O47" s="2"/>
      <c r="P47" s="2"/>
      <c r="Q47" s="2" t="s">
        <v>64</v>
      </c>
      <c r="R47" s="2"/>
    </row>
    <row r="48" spans="1:18" ht="28.5">
      <c r="A48" s="2" t="s">
        <v>282</v>
      </c>
      <c r="B48" s="2" t="s">
        <v>278</v>
      </c>
      <c r="C48" s="2" t="s">
        <v>20</v>
      </c>
      <c r="D48" s="2" t="s">
        <v>250</v>
      </c>
      <c r="E48" s="2" t="s">
        <v>58</v>
      </c>
      <c r="F48" s="2" t="s">
        <v>59</v>
      </c>
      <c r="G48" s="2" t="s">
        <v>283</v>
      </c>
      <c r="H48" s="2" t="s">
        <v>284</v>
      </c>
      <c r="I48" s="2" t="s">
        <v>271</v>
      </c>
      <c r="J48" s="2" t="s">
        <v>285</v>
      </c>
      <c r="K48" s="2" t="s">
        <v>33</v>
      </c>
      <c r="L48" s="2" t="s">
        <v>7</v>
      </c>
      <c r="M48" s="2"/>
      <c r="N48" s="2"/>
      <c r="O48" s="2"/>
      <c r="P48" s="2"/>
      <c r="Q48" s="2" t="s">
        <v>64</v>
      </c>
      <c r="R48" s="2"/>
    </row>
    <row r="49" spans="1:18" ht="28.5">
      <c r="A49" s="2" t="s">
        <v>286</v>
      </c>
      <c r="B49" s="2" t="s">
        <v>278</v>
      </c>
      <c r="C49" s="2" t="s">
        <v>20</v>
      </c>
      <c r="D49" s="2" t="s">
        <v>250</v>
      </c>
      <c r="E49" s="2" t="s">
        <v>58</v>
      </c>
      <c r="F49" s="2" t="s">
        <v>59</v>
      </c>
      <c r="G49" s="2" t="s">
        <v>287</v>
      </c>
      <c r="H49" s="2" t="s">
        <v>288</v>
      </c>
      <c r="I49" s="2" t="s">
        <v>271</v>
      </c>
      <c r="J49" s="2" t="s">
        <v>289</v>
      </c>
      <c r="K49" s="2" t="s">
        <v>33</v>
      </c>
      <c r="L49" s="2" t="s">
        <v>7</v>
      </c>
      <c r="M49" s="2"/>
      <c r="N49" s="2"/>
      <c r="O49" s="2"/>
      <c r="P49" s="2"/>
      <c r="Q49" s="2" t="s">
        <v>64</v>
      </c>
      <c r="R49" s="2"/>
    </row>
    <row r="50" spans="1:18" ht="28.5">
      <c r="A50" s="2" t="s">
        <v>290</v>
      </c>
      <c r="B50" s="2" t="s">
        <v>278</v>
      </c>
      <c r="C50" s="2" t="s">
        <v>20</v>
      </c>
      <c r="D50" s="2" t="s">
        <v>250</v>
      </c>
      <c r="E50" s="2" t="s">
        <v>58</v>
      </c>
      <c r="F50" s="2" t="s">
        <v>59</v>
      </c>
      <c r="G50" s="2" t="s">
        <v>291</v>
      </c>
      <c r="H50" s="2" t="s">
        <v>292</v>
      </c>
      <c r="I50" s="2" t="s">
        <v>271</v>
      </c>
      <c r="J50" s="2" t="s">
        <v>293</v>
      </c>
      <c r="K50" s="2" t="s">
        <v>33</v>
      </c>
      <c r="L50" s="2" t="s">
        <v>7</v>
      </c>
      <c r="M50" s="2"/>
      <c r="N50" s="2"/>
      <c r="O50" s="2"/>
      <c r="P50" s="2"/>
      <c r="Q50" s="2" t="s">
        <v>64</v>
      </c>
      <c r="R50" s="2"/>
    </row>
    <row r="51" spans="1:18" ht="28.5">
      <c r="A51" s="2" t="s">
        <v>294</v>
      </c>
      <c r="B51" s="2" t="s">
        <v>278</v>
      </c>
      <c r="C51" s="2" t="s">
        <v>20</v>
      </c>
      <c r="D51" s="2" t="s">
        <v>250</v>
      </c>
      <c r="E51" s="2" t="s">
        <v>58</v>
      </c>
      <c r="F51" s="2" t="s">
        <v>59</v>
      </c>
      <c r="G51" s="2" t="s">
        <v>295</v>
      </c>
      <c r="H51" s="2" t="s">
        <v>296</v>
      </c>
      <c r="I51" s="2" t="s">
        <v>297</v>
      </c>
      <c r="J51" s="2" t="s">
        <v>298</v>
      </c>
      <c r="K51" s="2" t="s">
        <v>33</v>
      </c>
      <c r="L51" s="2" t="s">
        <v>7</v>
      </c>
      <c r="M51" s="2"/>
      <c r="N51" s="2"/>
      <c r="O51" s="2"/>
      <c r="P51" s="2"/>
      <c r="Q51" s="2" t="s">
        <v>64</v>
      </c>
      <c r="R51" s="2"/>
    </row>
    <row r="52" spans="1:18" ht="28.5">
      <c r="A52" s="2" t="s">
        <v>299</v>
      </c>
      <c r="B52" s="2" t="s">
        <v>278</v>
      </c>
      <c r="C52" s="2" t="s">
        <v>20</v>
      </c>
      <c r="D52" s="2" t="s">
        <v>250</v>
      </c>
      <c r="E52" s="2" t="s">
        <v>58</v>
      </c>
      <c r="F52" s="2" t="s">
        <v>59</v>
      </c>
      <c r="G52" s="2" t="s">
        <v>300</v>
      </c>
      <c r="H52" s="2" t="s">
        <v>123</v>
      </c>
      <c r="I52" s="2" t="s">
        <v>301</v>
      </c>
      <c r="J52" s="2" t="s">
        <v>302</v>
      </c>
      <c r="K52" s="2" t="s">
        <v>33</v>
      </c>
      <c r="L52" s="2" t="s">
        <v>7</v>
      </c>
      <c r="M52" s="2"/>
      <c r="N52" s="2"/>
      <c r="O52" s="2"/>
      <c r="P52" s="2"/>
      <c r="Q52" s="2" t="s">
        <v>64</v>
      </c>
      <c r="R52" s="2"/>
    </row>
    <row r="53" spans="1:18" ht="28.5">
      <c r="A53" s="2" t="s">
        <v>303</v>
      </c>
      <c r="B53" s="2" t="s">
        <v>278</v>
      </c>
      <c r="C53" s="2" t="s">
        <v>20</v>
      </c>
      <c r="D53" s="2" t="s">
        <v>250</v>
      </c>
      <c r="E53" s="2" t="s">
        <v>58</v>
      </c>
      <c r="F53" s="2" t="s">
        <v>59</v>
      </c>
      <c r="G53" s="2" t="s">
        <v>304</v>
      </c>
      <c r="H53" s="2" t="s">
        <v>305</v>
      </c>
      <c r="I53" s="2" t="s">
        <v>306</v>
      </c>
      <c r="J53" s="2" t="s">
        <v>307</v>
      </c>
      <c r="K53" s="2" t="s">
        <v>33</v>
      </c>
      <c r="L53" s="2" t="s">
        <v>7</v>
      </c>
      <c r="M53" s="2"/>
      <c r="N53" s="2"/>
      <c r="O53" s="2"/>
      <c r="P53" s="2"/>
      <c r="Q53" s="2" t="s">
        <v>64</v>
      </c>
      <c r="R53" s="2"/>
    </row>
    <row r="54" spans="1:18" ht="28.5">
      <c r="A54" s="2" t="s">
        <v>308</v>
      </c>
      <c r="B54" s="2" t="s">
        <v>249</v>
      </c>
      <c r="C54" s="2" t="s">
        <v>20</v>
      </c>
      <c r="D54" s="2" t="s">
        <v>250</v>
      </c>
      <c r="E54" s="2" t="s">
        <v>58</v>
      </c>
      <c r="F54" s="2" t="s">
        <v>59</v>
      </c>
      <c r="G54" s="2" t="s">
        <v>309</v>
      </c>
      <c r="H54" s="2" t="s">
        <v>310</v>
      </c>
      <c r="I54" s="2" t="s">
        <v>311</v>
      </c>
      <c r="J54" s="2" t="s">
        <v>312</v>
      </c>
      <c r="K54" s="2" t="s">
        <v>35</v>
      </c>
      <c r="L54" s="2" t="s">
        <v>7</v>
      </c>
      <c r="M54" s="2"/>
      <c r="N54" s="2"/>
      <c r="O54" s="2"/>
      <c r="P54" s="2"/>
      <c r="Q54" s="2" t="s">
        <v>64</v>
      </c>
      <c r="R54" s="2"/>
    </row>
    <row r="55" spans="1:18" ht="28.5">
      <c r="A55" s="2" t="s">
        <v>313</v>
      </c>
      <c r="B55" s="2" t="s">
        <v>249</v>
      </c>
      <c r="C55" s="2" t="s">
        <v>20</v>
      </c>
      <c r="D55" s="2" t="s">
        <v>250</v>
      </c>
      <c r="E55" s="2" t="s">
        <v>58</v>
      </c>
      <c r="F55" s="2" t="s">
        <v>59</v>
      </c>
      <c r="G55" s="2" t="s">
        <v>314</v>
      </c>
      <c r="H55" s="2" t="s">
        <v>310</v>
      </c>
      <c r="I55" s="2" t="s">
        <v>315</v>
      </c>
      <c r="J55" s="2" t="s">
        <v>316</v>
      </c>
      <c r="K55" s="2" t="s">
        <v>35</v>
      </c>
      <c r="L55" s="2" t="s">
        <v>7</v>
      </c>
      <c r="M55" s="2"/>
      <c r="N55" s="2"/>
      <c r="O55" s="2"/>
      <c r="P55" s="2"/>
      <c r="Q55" s="2" t="s">
        <v>64</v>
      </c>
      <c r="R55" s="2"/>
    </row>
    <row r="56" spans="1:18" ht="28.5">
      <c r="A56" s="2" t="s">
        <v>317</v>
      </c>
      <c r="B56" s="2" t="s">
        <v>56</v>
      </c>
      <c r="C56" s="2" t="s">
        <v>21</v>
      </c>
      <c r="D56" s="2" t="s">
        <v>318</v>
      </c>
      <c r="E56" s="2" t="s">
        <v>58</v>
      </c>
      <c r="F56" s="2" t="s">
        <v>59</v>
      </c>
      <c r="G56" s="2" t="s">
        <v>319</v>
      </c>
      <c r="H56" s="2" t="s">
        <v>123</v>
      </c>
      <c r="I56" s="2" t="s">
        <v>320</v>
      </c>
      <c r="J56" s="2" t="s">
        <v>321</v>
      </c>
      <c r="K56" s="2" t="s">
        <v>35</v>
      </c>
      <c r="L56" s="2" t="s">
        <v>7</v>
      </c>
      <c r="M56" s="2"/>
      <c r="N56" s="2"/>
      <c r="O56" s="2"/>
      <c r="P56" s="2"/>
      <c r="Q56" s="2" t="s">
        <v>64</v>
      </c>
      <c r="R56" s="2"/>
    </row>
    <row r="57" spans="1:18" ht="28.5" customHeight="1">
      <c r="A57" s="2" t="s">
        <v>322</v>
      </c>
      <c r="B57" s="2" t="s">
        <v>323</v>
      </c>
      <c r="C57" s="2" t="s">
        <v>21</v>
      </c>
      <c r="D57" s="2" t="s">
        <v>318</v>
      </c>
      <c r="E57" s="2" t="s">
        <v>58</v>
      </c>
      <c r="F57" s="2" t="s">
        <v>59</v>
      </c>
      <c r="G57" s="2" t="s">
        <v>324</v>
      </c>
      <c r="H57" s="2" t="s">
        <v>325</v>
      </c>
      <c r="I57" s="2" t="s">
        <v>326</v>
      </c>
      <c r="J57" s="2" t="s">
        <v>327</v>
      </c>
      <c r="K57" s="2" t="s">
        <v>34</v>
      </c>
      <c r="L57" s="2" t="s">
        <v>11</v>
      </c>
      <c r="M57" s="2"/>
      <c r="N57" s="2" t="s">
        <v>749</v>
      </c>
      <c r="O57" s="2" t="s">
        <v>751</v>
      </c>
      <c r="P57" s="2"/>
      <c r="Q57" s="2" t="s">
        <v>64</v>
      </c>
      <c r="R57" s="2" t="s">
        <v>750</v>
      </c>
    </row>
    <row r="58" spans="1:18" ht="28.5">
      <c r="A58" s="2" t="s">
        <v>328</v>
      </c>
      <c r="B58" s="2" t="s">
        <v>56</v>
      </c>
      <c r="C58" s="2" t="s">
        <v>21</v>
      </c>
      <c r="D58" s="2" t="s">
        <v>318</v>
      </c>
      <c r="E58" s="2" t="s">
        <v>58</v>
      </c>
      <c r="F58" s="2" t="s">
        <v>59</v>
      </c>
      <c r="G58" s="2" t="s">
        <v>329</v>
      </c>
      <c r="H58" s="2" t="s">
        <v>330</v>
      </c>
      <c r="I58" s="2" t="s">
        <v>331</v>
      </c>
      <c r="J58" s="2" t="s">
        <v>332</v>
      </c>
      <c r="K58" s="2" t="s">
        <v>35</v>
      </c>
      <c r="L58" s="2" t="s">
        <v>7</v>
      </c>
      <c r="M58" s="2"/>
      <c r="N58" s="2"/>
      <c r="O58" s="2"/>
      <c r="P58" s="2"/>
      <c r="Q58" s="2" t="s">
        <v>64</v>
      </c>
      <c r="R58" s="2"/>
    </row>
    <row r="59" spans="1:18" ht="28.5">
      <c r="A59" s="2" t="s">
        <v>333</v>
      </c>
      <c r="B59" s="2" t="s">
        <v>56</v>
      </c>
      <c r="C59" s="2" t="s">
        <v>21</v>
      </c>
      <c r="D59" s="2" t="s">
        <v>318</v>
      </c>
      <c r="E59" s="2" t="s">
        <v>58</v>
      </c>
      <c r="F59" s="2" t="s">
        <v>59</v>
      </c>
      <c r="G59" s="2" t="s">
        <v>334</v>
      </c>
      <c r="H59" s="2" t="s">
        <v>330</v>
      </c>
      <c r="I59" s="2" t="s">
        <v>335</v>
      </c>
      <c r="J59" s="2" t="s">
        <v>336</v>
      </c>
      <c r="K59" s="2" t="s">
        <v>35</v>
      </c>
      <c r="L59" s="2" t="s">
        <v>7</v>
      </c>
      <c r="M59" s="2"/>
      <c r="N59" s="2"/>
      <c r="O59" s="2"/>
      <c r="P59" s="2"/>
      <c r="Q59" s="2" t="s">
        <v>64</v>
      </c>
      <c r="R59" s="2"/>
    </row>
    <row r="60" spans="1:18" ht="28.5">
      <c r="A60" s="2" t="s">
        <v>337</v>
      </c>
      <c r="B60" s="2" t="s">
        <v>160</v>
      </c>
      <c r="C60" s="2" t="s">
        <v>21</v>
      </c>
      <c r="D60" s="2" t="s">
        <v>318</v>
      </c>
      <c r="E60" s="2" t="s">
        <v>58</v>
      </c>
      <c r="F60" s="2" t="s">
        <v>59</v>
      </c>
      <c r="G60" s="2" t="s">
        <v>338</v>
      </c>
      <c r="H60" s="2" t="s">
        <v>123</v>
      </c>
      <c r="I60" s="2" t="s">
        <v>339</v>
      </c>
      <c r="J60" s="2" t="s">
        <v>340</v>
      </c>
      <c r="K60" s="2" t="s">
        <v>33</v>
      </c>
      <c r="L60" s="2" t="s">
        <v>6</v>
      </c>
      <c r="M60" s="2" t="s">
        <v>165</v>
      </c>
      <c r="N60" s="2"/>
      <c r="O60" s="2"/>
      <c r="P60" s="2"/>
      <c r="Q60" s="2" t="s">
        <v>64</v>
      </c>
      <c r="R60" s="2"/>
    </row>
    <row r="61" spans="1:18" ht="28.5">
      <c r="A61" s="2" t="s">
        <v>341</v>
      </c>
      <c r="B61" s="2" t="s">
        <v>160</v>
      </c>
      <c r="C61" s="2" t="s">
        <v>21</v>
      </c>
      <c r="D61" s="2" t="s">
        <v>318</v>
      </c>
      <c r="E61" s="2" t="s">
        <v>58</v>
      </c>
      <c r="F61" s="2" t="s">
        <v>59</v>
      </c>
      <c r="G61" s="2" t="s">
        <v>342</v>
      </c>
      <c r="H61" s="2" t="s">
        <v>343</v>
      </c>
      <c r="I61" s="2" t="s">
        <v>344</v>
      </c>
      <c r="J61" s="2" t="s">
        <v>345</v>
      </c>
      <c r="K61" s="2" t="s">
        <v>33</v>
      </c>
      <c r="L61" s="2" t="s">
        <v>6</v>
      </c>
      <c r="M61" s="2" t="s">
        <v>165</v>
      </c>
      <c r="N61" s="2"/>
      <c r="O61" s="2"/>
      <c r="P61" s="2"/>
      <c r="Q61" s="2" t="s">
        <v>64</v>
      </c>
      <c r="R61" s="2"/>
    </row>
    <row r="62" spans="1:18" ht="28.5">
      <c r="A62" s="2" t="s">
        <v>346</v>
      </c>
      <c r="B62" s="2" t="s">
        <v>249</v>
      </c>
      <c r="C62" s="2" t="s">
        <v>21</v>
      </c>
      <c r="D62" s="2" t="s">
        <v>318</v>
      </c>
      <c r="E62" s="2" t="s">
        <v>58</v>
      </c>
      <c r="F62" s="2" t="s">
        <v>59</v>
      </c>
      <c r="G62" s="2" t="s">
        <v>347</v>
      </c>
      <c r="H62" s="2" t="s">
        <v>348</v>
      </c>
      <c r="I62" s="2" t="s">
        <v>349</v>
      </c>
      <c r="J62" s="2" t="s">
        <v>350</v>
      </c>
      <c r="K62" s="2" t="s">
        <v>35</v>
      </c>
      <c r="L62" s="2" t="s">
        <v>7</v>
      </c>
      <c r="M62" s="2"/>
      <c r="N62" s="2"/>
      <c r="O62" s="2"/>
      <c r="P62" s="2"/>
      <c r="Q62" s="2" t="s">
        <v>64</v>
      </c>
      <c r="R62" s="2"/>
    </row>
    <row r="63" spans="1:18">
      <c r="A63" s="2" t="s">
        <v>351</v>
      </c>
      <c r="B63" s="2" t="s">
        <v>56</v>
      </c>
      <c r="C63" s="2" t="s">
        <v>22</v>
      </c>
      <c r="D63" s="2" t="s">
        <v>352</v>
      </c>
      <c r="E63" s="2" t="s">
        <v>58</v>
      </c>
      <c r="F63" s="2" t="s">
        <v>59</v>
      </c>
      <c r="G63" s="2" t="s">
        <v>353</v>
      </c>
      <c r="H63" s="2" t="s">
        <v>123</v>
      </c>
      <c r="I63" s="2" t="s">
        <v>354</v>
      </c>
      <c r="J63" s="2" t="s">
        <v>355</v>
      </c>
      <c r="K63" s="2" t="s">
        <v>35</v>
      </c>
      <c r="L63" s="2" t="s">
        <v>7</v>
      </c>
      <c r="M63" s="2"/>
      <c r="N63" s="2"/>
      <c r="O63" s="2"/>
      <c r="P63" s="2"/>
      <c r="Q63" s="2" t="s">
        <v>64</v>
      </c>
      <c r="R63" s="2"/>
    </row>
    <row r="64" spans="1:18" ht="28.5" customHeight="1">
      <c r="A64" s="2" t="s">
        <v>356</v>
      </c>
      <c r="B64" s="2" t="s">
        <v>56</v>
      </c>
      <c r="C64" s="2" t="s">
        <v>22</v>
      </c>
      <c r="D64" s="2" t="s">
        <v>352</v>
      </c>
      <c r="E64" s="2" t="s">
        <v>58</v>
      </c>
      <c r="F64" s="2" t="s">
        <v>59</v>
      </c>
      <c r="G64" s="2" t="s">
        <v>357</v>
      </c>
      <c r="H64" s="2" t="s">
        <v>123</v>
      </c>
      <c r="I64" s="2" t="s">
        <v>358</v>
      </c>
      <c r="J64" s="2" t="s">
        <v>359</v>
      </c>
      <c r="K64" s="2" t="s">
        <v>34</v>
      </c>
      <c r="L64" s="2" t="s">
        <v>11</v>
      </c>
      <c r="M64" s="2"/>
      <c r="N64" s="2" t="s">
        <v>752</v>
      </c>
      <c r="O64" s="2" t="s">
        <v>754</v>
      </c>
      <c r="P64" s="2"/>
      <c r="Q64" s="2" t="s">
        <v>64</v>
      </c>
      <c r="R64" s="2" t="s">
        <v>753</v>
      </c>
    </row>
    <row r="65" spans="1:18" ht="28.5" customHeight="1">
      <c r="A65" s="2" t="s">
        <v>360</v>
      </c>
      <c r="B65" s="2" t="s">
        <v>323</v>
      </c>
      <c r="C65" s="2" t="s">
        <v>22</v>
      </c>
      <c r="D65" s="2" t="s">
        <v>352</v>
      </c>
      <c r="E65" s="2" t="s">
        <v>58</v>
      </c>
      <c r="F65" s="2" t="s">
        <v>59</v>
      </c>
      <c r="G65" s="2" t="s">
        <v>361</v>
      </c>
      <c r="H65" s="2" t="s">
        <v>362</v>
      </c>
      <c r="I65" s="2" t="s">
        <v>363</v>
      </c>
      <c r="J65" s="2" t="s">
        <v>364</v>
      </c>
      <c r="K65" s="2" t="s">
        <v>34</v>
      </c>
      <c r="L65" s="2" t="s">
        <v>11</v>
      </c>
      <c r="M65" s="2"/>
      <c r="N65" s="2" t="s">
        <v>756</v>
      </c>
      <c r="O65" s="2" t="s">
        <v>755</v>
      </c>
      <c r="P65" s="2"/>
      <c r="Q65" s="2" t="s">
        <v>64</v>
      </c>
      <c r="R65" s="2" t="s">
        <v>757</v>
      </c>
    </row>
    <row r="66" spans="1:18">
      <c r="A66" s="2" t="s">
        <v>365</v>
      </c>
      <c r="B66" s="2" t="s">
        <v>56</v>
      </c>
      <c r="C66" s="2" t="s">
        <v>22</v>
      </c>
      <c r="D66" s="2" t="s">
        <v>352</v>
      </c>
      <c r="E66" s="2" t="s">
        <v>58</v>
      </c>
      <c r="F66" s="2" t="s">
        <v>59</v>
      </c>
      <c r="G66" s="2" t="s">
        <v>366</v>
      </c>
      <c r="H66" s="2" t="s">
        <v>367</v>
      </c>
      <c r="I66" s="2" t="s">
        <v>368</v>
      </c>
      <c r="J66" s="2" t="s">
        <v>332</v>
      </c>
      <c r="K66" s="2" t="s">
        <v>35</v>
      </c>
      <c r="L66" s="2" t="s">
        <v>7</v>
      </c>
      <c r="M66" s="2"/>
      <c r="N66" s="2"/>
      <c r="O66" s="2"/>
      <c r="P66" s="2"/>
      <c r="Q66" s="2" t="s">
        <v>64</v>
      </c>
      <c r="R66" s="2"/>
    </row>
    <row r="67" spans="1:18" ht="28.5">
      <c r="A67" s="2" t="s">
        <v>369</v>
      </c>
      <c r="B67" s="2" t="s">
        <v>56</v>
      </c>
      <c r="C67" s="2" t="s">
        <v>22</v>
      </c>
      <c r="D67" s="2" t="s">
        <v>352</v>
      </c>
      <c r="E67" s="2" t="s">
        <v>58</v>
      </c>
      <c r="F67" s="2" t="s">
        <v>59</v>
      </c>
      <c r="G67" s="2" t="s">
        <v>370</v>
      </c>
      <c r="H67" s="2" t="s">
        <v>367</v>
      </c>
      <c r="I67" s="2" t="s">
        <v>335</v>
      </c>
      <c r="J67" s="2" t="s">
        <v>336</v>
      </c>
      <c r="K67" s="2" t="s">
        <v>35</v>
      </c>
      <c r="L67" s="2" t="s">
        <v>7</v>
      </c>
      <c r="M67" s="2"/>
      <c r="N67" s="2"/>
      <c r="O67" s="2"/>
      <c r="P67" s="2"/>
      <c r="Q67" s="2" t="s">
        <v>64</v>
      </c>
      <c r="R67" s="2"/>
    </row>
    <row r="68" spans="1:18" ht="28.5">
      <c r="A68" s="2" t="s">
        <v>371</v>
      </c>
      <c r="B68" s="2" t="s">
        <v>160</v>
      </c>
      <c r="C68" s="2" t="s">
        <v>22</v>
      </c>
      <c r="D68" s="2" t="s">
        <v>352</v>
      </c>
      <c r="E68" s="2" t="s">
        <v>58</v>
      </c>
      <c r="F68" s="2" t="s">
        <v>59</v>
      </c>
      <c r="G68" s="2" t="s">
        <v>372</v>
      </c>
      <c r="H68" s="2" t="s">
        <v>123</v>
      </c>
      <c r="I68" s="2" t="s">
        <v>339</v>
      </c>
      <c r="J68" s="2" t="s">
        <v>340</v>
      </c>
      <c r="K68" s="2" t="s">
        <v>33</v>
      </c>
      <c r="L68" s="2" t="s">
        <v>6</v>
      </c>
      <c r="M68" s="2" t="s">
        <v>165</v>
      </c>
      <c r="N68" s="2"/>
      <c r="O68" s="2"/>
      <c r="P68" s="2"/>
      <c r="Q68" s="2" t="s">
        <v>64</v>
      </c>
      <c r="R68" s="2"/>
    </row>
    <row r="69" spans="1:18" ht="28.5">
      <c r="A69" s="2" t="s">
        <v>373</v>
      </c>
      <c r="B69" s="2" t="s">
        <v>249</v>
      </c>
      <c r="C69" s="2" t="s">
        <v>22</v>
      </c>
      <c r="D69" s="2" t="s">
        <v>352</v>
      </c>
      <c r="E69" s="2" t="s">
        <v>58</v>
      </c>
      <c r="F69" s="2" t="s">
        <v>59</v>
      </c>
      <c r="G69" s="2" t="s">
        <v>374</v>
      </c>
      <c r="H69" s="2" t="s">
        <v>348</v>
      </c>
      <c r="I69" s="2" t="s">
        <v>375</v>
      </c>
      <c r="J69" s="2" t="s">
        <v>376</v>
      </c>
      <c r="K69" s="2" t="s">
        <v>35</v>
      </c>
      <c r="L69" s="2" t="s">
        <v>7</v>
      </c>
      <c r="M69" s="2"/>
      <c r="N69" s="2"/>
      <c r="O69" s="2"/>
      <c r="P69" s="2"/>
      <c r="Q69" s="2" t="s">
        <v>64</v>
      </c>
      <c r="R69" s="2"/>
    </row>
    <row r="70" spans="1:18" ht="28.5">
      <c r="A70" s="2" t="s">
        <v>377</v>
      </c>
      <c r="B70" s="2" t="s">
        <v>56</v>
      </c>
      <c r="C70" s="2" t="s">
        <v>23</v>
      </c>
      <c r="D70" s="2" t="s">
        <v>378</v>
      </c>
      <c r="E70" s="2" t="s">
        <v>58</v>
      </c>
      <c r="F70" s="2" t="s">
        <v>59</v>
      </c>
      <c r="G70" s="2" t="s">
        <v>379</v>
      </c>
      <c r="H70" s="2" t="s">
        <v>123</v>
      </c>
      <c r="I70" s="2" t="s">
        <v>380</v>
      </c>
      <c r="J70" s="2" t="s">
        <v>381</v>
      </c>
      <c r="K70" s="2" t="s">
        <v>35</v>
      </c>
      <c r="L70" s="2" t="s">
        <v>7</v>
      </c>
      <c r="M70" s="2"/>
      <c r="N70" s="2"/>
      <c r="O70" s="2"/>
      <c r="P70" s="2"/>
      <c r="Q70" s="2" t="s">
        <v>64</v>
      </c>
      <c r="R70" s="2"/>
    </row>
    <row r="71" spans="1:18" ht="28.5">
      <c r="A71" s="2" t="s">
        <v>382</v>
      </c>
      <c r="B71" s="2" t="s">
        <v>323</v>
      </c>
      <c r="C71" s="2" t="s">
        <v>23</v>
      </c>
      <c r="D71" s="2" t="s">
        <v>378</v>
      </c>
      <c r="E71" s="2" t="s">
        <v>58</v>
      </c>
      <c r="F71" s="2" t="s">
        <v>59</v>
      </c>
      <c r="G71" s="2" t="s">
        <v>383</v>
      </c>
      <c r="H71" s="2" t="s">
        <v>384</v>
      </c>
      <c r="I71" s="2" t="s">
        <v>385</v>
      </c>
      <c r="J71" s="2" t="s">
        <v>386</v>
      </c>
      <c r="K71" s="2" t="s">
        <v>33</v>
      </c>
      <c r="L71" s="2" t="s">
        <v>7</v>
      </c>
      <c r="M71" s="2"/>
      <c r="N71" s="2"/>
      <c r="O71" s="2"/>
      <c r="P71" s="2"/>
      <c r="Q71" s="2" t="s">
        <v>64</v>
      </c>
      <c r="R71" s="2"/>
    </row>
    <row r="72" spans="1:18" ht="28.5">
      <c r="A72" s="2" t="s">
        <v>387</v>
      </c>
      <c r="B72" s="2" t="s">
        <v>56</v>
      </c>
      <c r="C72" s="2" t="s">
        <v>23</v>
      </c>
      <c r="D72" s="2" t="s">
        <v>378</v>
      </c>
      <c r="E72" s="2" t="s">
        <v>58</v>
      </c>
      <c r="F72" s="2" t="s">
        <v>59</v>
      </c>
      <c r="G72" s="2" t="s">
        <v>388</v>
      </c>
      <c r="H72" s="2" t="s">
        <v>123</v>
      </c>
      <c r="I72" s="2" t="s">
        <v>389</v>
      </c>
      <c r="J72" s="2" t="s">
        <v>390</v>
      </c>
      <c r="K72" s="2" t="s">
        <v>33</v>
      </c>
      <c r="L72" s="2" t="s">
        <v>7</v>
      </c>
      <c r="M72" s="2"/>
      <c r="N72" s="2"/>
      <c r="O72" s="2"/>
      <c r="P72" s="2"/>
      <c r="Q72" s="2" t="s">
        <v>64</v>
      </c>
      <c r="R72" s="2"/>
    </row>
    <row r="73" spans="1:18" ht="28.5">
      <c r="A73" s="2" t="s">
        <v>391</v>
      </c>
      <c r="B73" s="2" t="s">
        <v>56</v>
      </c>
      <c r="C73" s="2" t="s">
        <v>23</v>
      </c>
      <c r="D73" s="2" t="s">
        <v>378</v>
      </c>
      <c r="E73" s="2" t="s">
        <v>58</v>
      </c>
      <c r="F73" s="2" t="s">
        <v>59</v>
      </c>
      <c r="G73" s="2" t="s">
        <v>392</v>
      </c>
      <c r="H73" s="2" t="s">
        <v>123</v>
      </c>
      <c r="I73" s="2" t="s">
        <v>393</v>
      </c>
      <c r="J73" s="2" t="s">
        <v>390</v>
      </c>
      <c r="K73" s="2" t="s">
        <v>33</v>
      </c>
      <c r="L73" s="2" t="s">
        <v>7</v>
      </c>
      <c r="M73" s="2"/>
      <c r="N73" s="2"/>
      <c r="O73" s="2"/>
      <c r="P73" s="2"/>
      <c r="Q73" s="2" t="s">
        <v>64</v>
      </c>
      <c r="R73" s="2"/>
    </row>
    <row r="74" spans="1:18">
      <c r="A74" s="2" t="s">
        <v>394</v>
      </c>
      <c r="B74" s="2" t="s">
        <v>56</v>
      </c>
      <c r="C74" s="2" t="s">
        <v>23</v>
      </c>
      <c r="D74" s="2" t="s">
        <v>378</v>
      </c>
      <c r="E74" s="2" t="s">
        <v>58</v>
      </c>
      <c r="F74" s="2" t="s">
        <v>59</v>
      </c>
      <c r="G74" s="2" t="s">
        <v>395</v>
      </c>
      <c r="H74" s="2" t="s">
        <v>396</v>
      </c>
      <c r="I74" s="2" t="s">
        <v>397</v>
      </c>
      <c r="J74" s="2" t="s">
        <v>398</v>
      </c>
      <c r="K74" s="2" t="s">
        <v>35</v>
      </c>
      <c r="L74" s="2" t="s">
        <v>7</v>
      </c>
      <c r="M74" s="2"/>
      <c r="N74" s="2"/>
      <c r="O74" s="2"/>
      <c r="P74" s="2"/>
      <c r="Q74" s="2" t="s">
        <v>64</v>
      </c>
      <c r="R74" s="2"/>
    </row>
    <row r="75" spans="1:18">
      <c r="A75" s="2" t="s">
        <v>399</v>
      </c>
      <c r="B75" s="2" t="s">
        <v>56</v>
      </c>
      <c r="C75" s="2" t="s">
        <v>23</v>
      </c>
      <c r="D75" s="2" t="s">
        <v>378</v>
      </c>
      <c r="E75" s="2" t="s">
        <v>58</v>
      </c>
      <c r="F75" s="2" t="s">
        <v>59</v>
      </c>
      <c r="G75" s="2" t="s">
        <v>400</v>
      </c>
      <c r="H75" s="2" t="s">
        <v>401</v>
      </c>
      <c r="I75" s="2" t="s">
        <v>402</v>
      </c>
      <c r="J75" s="2" t="s">
        <v>403</v>
      </c>
      <c r="K75" s="2" t="s">
        <v>35</v>
      </c>
      <c r="L75" s="2" t="s">
        <v>7</v>
      </c>
      <c r="M75" s="2"/>
      <c r="N75" s="2"/>
      <c r="O75" s="2"/>
      <c r="P75" s="2"/>
      <c r="Q75" s="2" t="s">
        <v>64</v>
      </c>
      <c r="R75" s="2"/>
    </row>
    <row r="76" spans="1:18" ht="28.5">
      <c r="A76" s="2" t="s">
        <v>404</v>
      </c>
      <c r="B76" s="2" t="s">
        <v>323</v>
      </c>
      <c r="C76" s="2" t="s">
        <v>23</v>
      </c>
      <c r="D76" s="2" t="s">
        <v>378</v>
      </c>
      <c r="E76" s="2" t="s">
        <v>58</v>
      </c>
      <c r="F76" s="2" t="s">
        <v>59</v>
      </c>
      <c r="G76" s="2" t="s">
        <v>405</v>
      </c>
      <c r="H76" s="2" t="s">
        <v>406</v>
      </c>
      <c r="I76" s="2" t="s">
        <v>407</v>
      </c>
      <c r="J76" s="2" t="s">
        <v>408</v>
      </c>
      <c r="K76" s="2" t="s">
        <v>33</v>
      </c>
      <c r="L76" s="2" t="s">
        <v>7</v>
      </c>
      <c r="M76" s="2"/>
      <c r="N76" s="2"/>
      <c r="O76" s="2"/>
      <c r="P76" s="2"/>
      <c r="Q76" s="2" t="s">
        <v>64</v>
      </c>
      <c r="R76" s="2"/>
    </row>
    <row r="77" spans="1:18" ht="28.5">
      <c r="A77" s="2" t="s">
        <v>409</v>
      </c>
      <c r="B77" s="2" t="s">
        <v>160</v>
      </c>
      <c r="C77" s="2" t="s">
        <v>23</v>
      </c>
      <c r="D77" s="2" t="s">
        <v>378</v>
      </c>
      <c r="E77" s="2" t="s">
        <v>58</v>
      </c>
      <c r="F77" s="2" t="s">
        <v>59</v>
      </c>
      <c r="G77" s="2" t="s">
        <v>410</v>
      </c>
      <c r="H77" s="2" t="s">
        <v>343</v>
      </c>
      <c r="I77" s="2" t="s">
        <v>411</v>
      </c>
      <c r="J77" s="2" t="s">
        <v>412</v>
      </c>
      <c r="K77" s="2" t="s">
        <v>33</v>
      </c>
      <c r="L77" s="2" t="s">
        <v>6</v>
      </c>
      <c r="M77" s="2" t="s">
        <v>165</v>
      </c>
      <c r="N77" s="2"/>
      <c r="O77" s="2"/>
      <c r="P77" s="2"/>
      <c r="Q77" s="2" t="s">
        <v>64</v>
      </c>
      <c r="R77" s="2"/>
    </row>
    <row r="78" spans="1:18" ht="28.5">
      <c r="A78" s="2" t="s">
        <v>413</v>
      </c>
      <c r="B78" s="2" t="s">
        <v>56</v>
      </c>
      <c r="C78" s="2" t="s">
        <v>23</v>
      </c>
      <c r="D78" s="2" t="s">
        <v>378</v>
      </c>
      <c r="E78" s="2" t="s">
        <v>58</v>
      </c>
      <c r="F78" s="2" t="s">
        <v>59</v>
      </c>
      <c r="G78" s="2" t="s">
        <v>414</v>
      </c>
      <c r="H78" s="2" t="s">
        <v>415</v>
      </c>
      <c r="I78" s="2" t="s">
        <v>416</v>
      </c>
      <c r="J78" s="2" t="s">
        <v>417</v>
      </c>
      <c r="K78" s="2" t="s">
        <v>33</v>
      </c>
      <c r="L78" s="2" t="s">
        <v>7</v>
      </c>
      <c r="M78" s="2"/>
      <c r="N78" s="2"/>
      <c r="O78" s="2"/>
      <c r="P78" s="2"/>
      <c r="Q78" s="2" t="s">
        <v>64</v>
      </c>
      <c r="R78" s="2"/>
    </row>
    <row r="79" spans="1:18" ht="28.5">
      <c r="A79" s="2" t="s">
        <v>418</v>
      </c>
      <c r="B79" s="2" t="s">
        <v>160</v>
      </c>
      <c r="C79" s="2" t="s">
        <v>24</v>
      </c>
      <c r="D79" s="2" t="s">
        <v>178</v>
      </c>
      <c r="E79" s="2" t="s">
        <v>58</v>
      </c>
      <c r="F79" s="2" t="s">
        <v>59</v>
      </c>
      <c r="G79" s="2" t="s">
        <v>419</v>
      </c>
      <c r="H79" s="2" t="s">
        <v>420</v>
      </c>
      <c r="I79" s="2" t="s">
        <v>421</v>
      </c>
      <c r="J79" s="2" t="s">
        <v>422</v>
      </c>
      <c r="K79" s="2" t="s">
        <v>33</v>
      </c>
      <c r="L79" s="2" t="s">
        <v>6</v>
      </c>
      <c r="M79" s="2" t="s">
        <v>165</v>
      </c>
      <c r="N79" s="2"/>
      <c r="O79" s="2"/>
      <c r="P79" s="2"/>
      <c r="Q79" s="2" t="s">
        <v>70</v>
      </c>
      <c r="R79" s="2"/>
    </row>
    <row r="80" spans="1:18" ht="28.5">
      <c r="A80" s="2" t="s">
        <v>423</v>
      </c>
      <c r="B80" s="2" t="s">
        <v>160</v>
      </c>
      <c r="C80" s="2" t="s">
        <v>24</v>
      </c>
      <c r="D80" s="2" t="s">
        <v>178</v>
      </c>
      <c r="E80" s="2" t="s">
        <v>58</v>
      </c>
      <c r="F80" s="2" t="s">
        <v>59</v>
      </c>
      <c r="G80" s="2" t="s">
        <v>424</v>
      </c>
      <c r="H80" s="2" t="s">
        <v>425</v>
      </c>
      <c r="I80" s="2" t="s">
        <v>421</v>
      </c>
      <c r="J80" s="2" t="s">
        <v>426</v>
      </c>
      <c r="K80" s="2" t="s">
        <v>33</v>
      </c>
      <c r="L80" s="2" t="s">
        <v>6</v>
      </c>
      <c r="M80" s="2" t="s">
        <v>165</v>
      </c>
      <c r="N80" s="2"/>
      <c r="O80" s="2"/>
      <c r="P80" s="2"/>
      <c r="Q80" s="2" t="s">
        <v>70</v>
      </c>
      <c r="R80" s="2"/>
    </row>
    <row r="81" spans="1:18">
      <c r="A81" s="2" t="s">
        <v>427</v>
      </c>
      <c r="B81" s="2" t="s">
        <v>160</v>
      </c>
      <c r="C81" s="2" t="s">
        <v>24</v>
      </c>
      <c r="D81" s="2" t="s">
        <v>178</v>
      </c>
      <c r="E81" s="2" t="s">
        <v>58</v>
      </c>
      <c r="F81" s="2" t="s">
        <v>59</v>
      </c>
      <c r="G81" s="2" t="s">
        <v>428</v>
      </c>
      <c r="H81" s="2" t="s">
        <v>429</v>
      </c>
      <c r="I81" s="2" t="s">
        <v>421</v>
      </c>
      <c r="J81" s="2" t="s">
        <v>430</v>
      </c>
      <c r="K81" s="2" t="s">
        <v>33</v>
      </c>
      <c r="L81" s="2" t="s">
        <v>6</v>
      </c>
      <c r="M81" s="2" t="s">
        <v>165</v>
      </c>
      <c r="N81" s="2"/>
      <c r="O81" s="2"/>
      <c r="P81" s="2"/>
      <c r="Q81" s="2" t="s">
        <v>70</v>
      </c>
      <c r="R81" s="2"/>
    </row>
    <row r="82" spans="1:18">
      <c r="A82" s="2" t="s">
        <v>431</v>
      </c>
      <c r="B82" s="2" t="s">
        <v>160</v>
      </c>
      <c r="C82" s="2" t="s">
        <v>24</v>
      </c>
      <c r="D82" s="2" t="s">
        <v>178</v>
      </c>
      <c r="E82" s="2" t="s">
        <v>58</v>
      </c>
      <c r="F82" s="2" t="s">
        <v>59</v>
      </c>
      <c r="G82" s="2" t="s">
        <v>432</v>
      </c>
      <c r="H82" s="2" t="s">
        <v>433</v>
      </c>
      <c r="I82" s="2" t="s">
        <v>421</v>
      </c>
      <c r="J82" s="2" t="s">
        <v>434</v>
      </c>
      <c r="K82" s="2" t="s">
        <v>33</v>
      </c>
      <c r="L82" s="2" t="s">
        <v>6</v>
      </c>
      <c r="M82" s="2" t="s">
        <v>165</v>
      </c>
      <c r="N82" s="2"/>
      <c r="O82" s="2"/>
      <c r="P82" s="2"/>
      <c r="Q82" s="2" t="s">
        <v>70</v>
      </c>
      <c r="R82" s="2"/>
    </row>
    <row r="83" spans="1:18" ht="28.5">
      <c r="A83" s="2" t="s">
        <v>435</v>
      </c>
      <c r="B83" s="2" t="s">
        <v>160</v>
      </c>
      <c r="C83" s="2" t="s">
        <v>24</v>
      </c>
      <c r="D83" s="2" t="s">
        <v>178</v>
      </c>
      <c r="E83" s="2" t="s">
        <v>58</v>
      </c>
      <c r="F83" s="2" t="s">
        <v>59</v>
      </c>
      <c r="G83" s="2" t="s">
        <v>436</v>
      </c>
      <c r="H83" s="2" t="s">
        <v>437</v>
      </c>
      <c r="I83" s="2" t="s">
        <v>421</v>
      </c>
      <c r="J83" s="2" t="s">
        <v>438</v>
      </c>
      <c r="K83" s="2" t="s">
        <v>33</v>
      </c>
      <c r="L83" s="2" t="s">
        <v>6</v>
      </c>
      <c r="M83" s="2" t="s">
        <v>165</v>
      </c>
      <c r="N83" s="2"/>
      <c r="O83" s="2"/>
      <c r="P83" s="2"/>
      <c r="Q83" s="2" t="s">
        <v>70</v>
      </c>
      <c r="R83" s="2"/>
    </row>
    <row r="84" spans="1:18">
      <c r="A84" s="2" t="s">
        <v>439</v>
      </c>
      <c r="B84" s="2" t="s">
        <v>160</v>
      </c>
      <c r="C84" s="2" t="s">
        <v>24</v>
      </c>
      <c r="D84" s="2" t="s">
        <v>178</v>
      </c>
      <c r="E84" s="2" t="s">
        <v>58</v>
      </c>
      <c r="F84" s="2" t="s">
        <v>59</v>
      </c>
      <c r="G84" s="2" t="s">
        <v>440</v>
      </c>
      <c r="H84" s="2" t="s">
        <v>441</v>
      </c>
      <c r="I84" s="2" t="s">
        <v>421</v>
      </c>
      <c r="J84" s="2" t="s">
        <v>442</v>
      </c>
      <c r="K84" s="2" t="s">
        <v>33</v>
      </c>
      <c r="L84" s="2" t="s">
        <v>6</v>
      </c>
      <c r="M84" s="2" t="s">
        <v>165</v>
      </c>
      <c r="N84" s="2"/>
      <c r="O84" s="2"/>
      <c r="P84" s="2"/>
      <c r="Q84" s="2" t="s">
        <v>70</v>
      </c>
      <c r="R84" s="2"/>
    </row>
    <row r="85" spans="1:18" ht="28.5">
      <c r="A85" s="2" t="s">
        <v>443</v>
      </c>
      <c r="B85" s="2" t="s">
        <v>160</v>
      </c>
      <c r="C85" s="2" t="s">
        <v>24</v>
      </c>
      <c r="D85" s="2" t="s">
        <v>178</v>
      </c>
      <c r="E85" s="2" t="s">
        <v>58</v>
      </c>
      <c r="F85" s="2" t="s">
        <v>59</v>
      </c>
      <c r="G85" s="2" t="s">
        <v>444</v>
      </c>
      <c r="H85" s="2" t="s">
        <v>445</v>
      </c>
      <c r="I85" s="2" t="s">
        <v>421</v>
      </c>
      <c r="J85" s="2" t="s">
        <v>446</v>
      </c>
      <c r="K85" s="2" t="s">
        <v>33</v>
      </c>
      <c r="L85" s="2" t="s">
        <v>6</v>
      </c>
      <c r="M85" s="2" t="s">
        <v>165</v>
      </c>
      <c r="N85" s="2"/>
      <c r="O85" s="2"/>
      <c r="P85" s="2"/>
      <c r="Q85" s="2" t="s">
        <v>70</v>
      </c>
      <c r="R85" s="2"/>
    </row>
    <row r="86" spans="1:18">
      <c r="A86" s="2" t="s">
        <v>447</v>
      </c>
      <c r="B86" s="2" t="s">
        <v>160</v>
      </c>
      <c r="C86" s="2" t="s">
        <v>24</v>
      </c>
      <c r="D86" s="2" t="s">
        <v>178</v>
      </c>
      <c r="E86" s="2" t="s">
        <v>58</v>
      </c>
      <c r="F86" s="2" t="s">
        <v>59</v>
      </c>
      <c r="G86" s="2" t="s">
        <v>448</v>
      </c>
      <c r="H86" s="2" t="s">
        <v>449</v>
      </c>
      <c r="I86" s="2" t="s">
        <v>421</v>
      </c>
      <c r="J86" s="2" t="s">
        <v>450</v>
      </c>
      <c r="K86" s="2" t="s">
        <v>33</v>
      </c>
      <c r="L86" s="2" t="s">
        <v>6</v>
      </c>
      <c r="M86" s="2" t="s">
        <v>165</v>
      </c>
      <c r="N86" s="2"/>
      <c r="O86" s="2"/>
      <c r="P86" s="2"/>
      <c r="Q86" s="2" t="s">
        <v>70</v>
      </c>
      <c r="R86" s="2"/>
    </row>
    <row r="87" spans="1:18" ht="28.5">
      <c r="A87" s="2" t="s">
        <v>451</v>
      </c>
      <c r="B87" s="2" t="s">
        <v>160</v>
      </c>
      <c r="C87" s="2" t="s">
        <v>24</v>
      </c>
      <c r="D87" s="2" t="s">
        <v>178</v>
      </c>
      <c r="E87" s="2" t="s">
        <v>58</v>
      </c>
      <c r="F87" s="2" t="s">
        <v>59</v>
      </c>
      <c r="G87" s="2" t="s">
        <v>452</v>
      </c>
      <c r="H87" s="2" t="s">
        <v>453</v>
      </c>
      <c r="I87" s="2" t="s">
        <v>421</v>
      </c>
      <c r="J87" s="2" t="s">
        <v>454</v>
      </c>
      <c r="K87" s="2" t="s">
        <v>33</v>
      </c>
      <c r="L87" s="2" t="s">
        <v>6</v>
      </c>
      <c r="M87" s="2" t="s">
        <v>165</v>
      </c>
      <c r="N87" s="2"/>
      <c r="O87" s="2"/>
      <c r="P87" s="2"/>
      <c r="Q87" s="2" t="s">
        <v>70</v>
      </c>
      <c r="R87" s="2"/>
    </row>
    <row r="88" spans="1:18" ht="28.5">
      <c r="A88" s="2" t="s">
        <v>455</v>
      </c>
      <c r="B88" s="2" t="s">
        <v>160</v>
      </c>
      <c r="C88" s="2" t="s">
        <v>24</v>
      </c>
      <c r="D88" s="2" t="s">
        <v>178</v>
      </c>
      <c r="E88" s="2" t="s">
        <v>58</v>
      </c>
      <c r="F88" s="2" t="s">
        <v>59</v>
      </c>
      <c r="G88" s="2" t="s">
        <v>456</v>
      </c>
      <c r="H88" s="2" t="s">
        <v>457</v>
      </c>
      <c r="I88" s="2" t="s">
        <v>421</v>
      </c>
      <c r="J88" s="2" t="s">
        <v>458</v>
      </c>
      <c r="K88" s="2" t="s">
        <v>33</v>
      </c>
      <c r="L88" s="2" t="s">
        <v>6</v>
      </c>
      <c r="M88" s="2" t="s">
        <v>165</v>
      </c>
      <c r="N88" s="2"/>
      <c r="O88" s="2"/>
      <c r="P88" s="2"/>
      <c r="Q88" s="2" t="s">
        <v>70</v>
      </c>
      <c r="R88" s="2"/>
    </row>
    <row r="89" spans="1:18" ht="28.5">
      <c r="A89" s="2" t="s">
        <v>459</v>
      </c>
      <c r="B89" s="2" t="s">
        <v>160</v>
      </c>
      <c r="C89" s="2" t="s">
        <v>24</v>
      </c>
      <c r="D89" s="2" t="s">
        <v>178</v>
      </c>
      <c r="E89" s="2" t="s">
        <v>58</v>
      </c>
      <c r="F89" s="2" t="s">
        <v>59</v>
      </c>
      <c r="G89" s="2" t="s">
        <v>460</v>
      </c>
      <c r="H89" s="2" t="s">
        <v>461</v>
      </c>
      <c r="I89" s="2" t="s">
        <v>421</v>
      </c>
      <c r="J89" s="2" t="s">
        <v>458</v>
      </c>
      <c r="K89" s="2" t="s">
        <v>33</v>
      </c>
      <c r="L89" s="2" t="s">
        <v>6</v>
      </c>
      <c r="M89" s="2" t="s">
        <v>165</v>
      </c>
      <c r="N89" s="2"/>
      <c r="O89" s="2"/>
      <c r="P89" s="2"/>
      <c r="Q89" s="2" t="s">
        <v>70</v>
      </c>
      <c r="R89" s="2"/>
    </row>
    <row r="90" spans="1:18" ht="28.5">
      <c r="A90" s="2" t="s">
        <v>462</v>
      </c>
      <c r="B90" s="2" t="s">
        <v>160</v>
      </c>
      <c r="C90" s="2" t="s">
        <v>24</v>
      </c>
      <c r="D90" s="2" t="s">
        <v>178</v>
      </c>
      <c r="E90" s="2" t="s">
        <v>58</v>
      </c>
      <c r="F90" s="2" t="s">
        <v>59</v>
      </c>
      <c r="G90" s="2" t="s">
        <v>463</v>
      </c>
      <c r="H90" s="2" t="s">
        <v>464</v>
      </c>
      <c r="I90" s="2" t="s">
        <v>465</v>
      </c>
      <c r="J90" s="2" t="s">
        <v>466</v>
      </c>
      <c r="K90" s="2" t="s">
        <v>33</v>
      </c>
      <c r="L90" s="2" t="s">
        <v>6</v>
      </c>
      <c r="M90" s="2" t="s">
        <v>165</v>
      </c>
      <c r="N90" s="2"/>
      <c r="O90" s="2"/>
      <c r="P90" s="2"/>
      <c r="Q90" s="2" t="s">
        <v>70</v>
      </c>
      <c r="R90" s="2"/>
    </row>
    <row r="91" spans="1:18" ht="114">
      <c r="A91" s="2" t="s">
        <v>467</v>
      </c>
      <c r="B91" s="2" t="s">
        <v>468</v>
      </c>
      <c r="C91" s="2" t="s">
        <v>25</v>
      </c>
      <c r="D91" s="2" t="s">
        <v>469</v>
      </c>
      <c r="E91" s="2" t="s">
        <v>58</v>
      </c>
      <c r="F91" s="2" t="s">
        <v>470</v>
      </c>
      <c r="G91" s="2" t="s">
        <v>471</v>
      </c>
      <c r="H91" s="2" t="s">
        <v>472</v>
      </c>
      <c r="I91" s="2" t="s">
        <v>473</v>
      </c>
      <c r="J91" s="2" t="s">
        <v>474</v>
      </c>
      <c r="K91" s="2" t="s">
        <v>34</v>
      </c>
      <c r="L91" s="2" t="s">
        <v>11</v>
      </c>
      <c r="M91" s="2"/>
      <c r="N91" s="2" t="s">
        <v>758</v>
      </c>
      <c r="O91" s="2" t="s">
        <v>760</v>
      </c>
      <c r="P91" s="2" t="s">
        <v>774</v>
      </c>
      <c r="Q91" s="2" t="s">
        <v>64</v>
      </c>
      <c r="R91" s="2" t="s">
        <v>759</v>
      </c>
    </row>
    <row r="92" spans="1:18" ht="28.5" customHeight="1">
      <c r="A92" s="2" t="s">
        <v>476</v>
      </c>
      <c r="B92" s="2" t="s">
        <v>468</v>
      </c>
      <c r="C92" s="2" t="s">
        <v>25</v>
      </c>
      <c r="D92" s="2" t="s">
        <v>469</v>
      </c>
      <c r="E92" s="2" t="s">
        <v>58</v>
      </c>
      <c r="F92" s="2" t="s">
        <v>470</v>
      </c>
      <c r="G92" s="2" t="s">
        <v>477</v>
      </c>
      <c r="H92" s="2" t="s">
        <v>123</v>
      </c>
      <c r="I92" s="2" t="s">
        <v>473</v>
      </c>
      <c r="J92" s="2" t="s">
        <v>478</v>
      </c>
      <c r="K92" s="2" t="s">
        <v>34</v>
      </c>
      <c r="L92" s="2" t="s">
        <v>11</v>
      </c>
      <c r="M92" s="2"/>
      <c r="N92" s="2" t="s">
        <v>761</v>
      </c>
      <c r="O92" s="2" t="s">
        <v>763</v>
      </c>
      <c r="P92" s="2" t="s">
        <v>774</v>
      </c>
      <c r="Q92" s="2" t="s">
        <v>64</v>
      </c>
      <c r="R92" s="2" t="s">
        <v>762</v>
      </c>
    </row>
    <row r="93" spans="1:18" ht="28.5" customHeight="1">
      <c r="A93" s="2" t="s">
        <v>479</v>
      </c>
      <c r="B93" s="2" t="s">
        <v>468</v>
      </c>
      <c r="C93" s="2" t="s">
        <v>25</v>
      </c>
      <c r="D93" s="2" t="s">
        <v>469</v>
      </c>
      <c r="E93" s="2" t="s">
        <v>58</v>
      </c>
      <c r="F93" s="2" t="s">
        <v>470</v>
      </c>
      <c r="G93" s="2" t="s">
        <v>480</v>
      </c>
      <c r="H93" s="2" t="s">
        <v>481</v>
      </c>
      <c r="I93" s="2" t="s">
        <v>482</v>
      </c>
      <c r="J93" s="2" t="s">
        <v>483</v>
      </c>
      <c r="K93" s="2" t="s">
        <v>34</v>
      </c>
      <c r="L93" s="2" t="s">
        <v>11</v>
      </c>
      <c r="M93" s="2"/>
      <c r="N93" s="2" t="s">
        <v>765</v>
      </c>
      <c r="O93" s="2" t="s">
        <v>764</v>
      </c>
      <c r="P93" s="2" t="s">
        <v>774</v>
      </c>
      <c r="Q93" s="2" t="s">
        <v>64</v>
      </c>
      <c r="R93" s="2" t="s">
        <v>766</v>
      </c>
    </row>
    <row r="94" spans="1:18" ht="114">
      <c r="A94" s="2" t="s">
        <v>484</v>
      </c>
      <c r="B94" s="2" t="s">
        <v>468</v>
      </c>
      <c r="C94" s="2" t="s">
        <v>25</v>
      </c>
      <c r="D94" s="2" t="s">
        <v>469</v>
      </c>
      <c r="E94" s="2" t="s">
        <v>58</v>
      </c>
      <c r="F94" s="2" t="s">
        <v>470</v>
      </c>
      <c r="G94" s="2" t="s">
        <v>485</v>
      </c>
      <c r="H94" s="2" t="s">
        <v>481</v>
      </c>
      <c r="I94" s="2" t="s">
        <v>486</v>
      </c>
      <c r="J94" s="2" t="s">
        <v>487</v>
      </c>
      <c r="K94" s="2" t="s">
        <v>34</v>
      </c>
      <c r="L94" s="2" t="s">
        <v>11</v>
      </c>
      <c r="M94" s="2"/>
      <c r="N94" s="2" t="s">
        <v>768</v>
      </c>
      <c r="O94" s="2" t="s">
        <v>767</v>
      </c>
      <c r="P94" s="2" t="s">
        <v>774</v>
      </c>
      <c r="Q94" s="2" t="s">
        <v>64</v>
      </c>
      <c r="R94" s="2" t="s">
        <v>769</v>
      </c>
    </row>
    <row r="95" spans="1:18" ht="28.5" customHeight="1">
      <c r="A95" s="2" t="s">
        <v>488</v>
      </c>
      <c r="B95" s="2" t="s">
        <v>468</v>
      </c>
      <c r="C95" s="2" t="s">
        <v>25</v>
      </c>
      <c r="D95" s="2" t="s">
        <v>469</v>
      </c>
      <c r="E95" s="2" t="s">
        <v>58</v>
      </c>
      <c r="F95" s="2" t="s">
        <v>470</v>
      </c>
      <c r="G95" s="2" t="s">
        <v>489</v>
      </c>
      <c r="H95" s="2" t="s">
        <v>490</v>
      </c>
      <c r="I95" s="2" t="s">
        <v>491</v>
      </c>
      <c r="J95" s="2" t="s">
        <v>492</v>
      </c>
      <c r="K95" s="2" t="s">
        <v>34</v>
      </c>
      <c r="L95" s="2" t="s">
        <v>11</v>
      </c>
      <c r="M95" s="2"/>
      <c r="N95" s="2" t="s">
        <v>772</v>
      </c>
      <c r="O95" s="2" t="s">
        <v>770</v>
      </c>
      <c r="P95" s="2" t="s">
        <v>774</v>
      </c>
      <c r="Q95" s="2" t="s">
        <v>64</v>
      </c>
      <c r="R95" s="2" t="s">
        <v>771</v>
      </c>
    </row>
    <row r="96" spans="1:18" ht="28.5" customHeight="1">
      <c r="A96" s="2" t="s">
        <v>493</v>
      </c>
      <c r="B96" s="2" t="s">
        <v>468</v>
      </c>
      <c r="C96" s="2" t="s">
        <v>25</v>
      </c>
      <c r="D96" s="2" t="s">
        <v>469</v>
      </c>
      <c r="E96" s="2" t="s">
        <v>58</v>
      </c>
      <c r="F96" s="2" t="s">
        <v>470</v>
      </c>
      <c r="G96" s="2" t="s">
        <v>494</v>
      </c>
      <c r="H96" s="2" t="s">
        <v>481</v>
      </c>
      <c r="I96" s="2" t="s">
        <v>495</v>
      </c>
      <c r="J96" s="2" t="s">
        <v>496</v>
      </c>
      <c r="K96" s="2" t="s">
        <v>34</v>
      </c>
      <c r="L96" s="2" t="s">
        <v>11</v>
      </c>
      <c r="M96" s="2"/>
      <c r="N96" s="2" t="s">
        <v>776</v>
      </c>
      <c r="O96" s="2" t="s">
        <v>773</v>
      </c>
      <c r="P96" s="2" t="s">
        <v>774</v>
      </c>
      <c r="Q96" s="2" t="s">
        <v>64</v>
      </c>
      <c r="R96" s="2" t="s">
        <v>775</v>
      </c>
    </row>
    <row r="97" spans="1:18" ht="28.5" customHeight="1">
      <c r="A97" s="2" t="s">
        <v>497</v>
      </c>
      <c r="B97" s="2" t="s">
        <v>468</v>
      </c>
      <c r="C97" s="2" t="s">
        <v>25</v>
      </c>
      <c r="D97" s="2" t="s">
        <v>469</v>
      </c>
      <c r="E97" s="2" t="s">
        <v>58</v>
      </c>
      <c r="F97" s="2" t="s">
        <v>470</v>
      </c>
      <c r="G97" s="2" t="s">
        <v>498</v>
      </c>
      <c r="H97" s="2" t="s">
        <v>481</v>
      </c>
      <c r="I97" s="2" t="s">
        <v>499</v>
      </c>
      <c r="J97" s="2" t="s">
        <v>500</v>
      </c>
      <c r="K97" s="2" t="s">
        <v>34</v>
      </c>
      <c r="L97" s="2" t="s">
        <v>11</v>
      </c>
      <c r="M97" s="2"/>
      <c r="N97" s="2" t="s">
        <v>779</v>
      </c>
      <c r="O97" s="2" t="s">
        <v>777</v>
      </c>
      <c r="P97" s="2" t="s">
        <v>774</v>
      </c>
      <c r="Q97" s="2" t="s">
        <v>64</v>
      </c>
      <c r="R97" s="2" t="s">
        <v>778</v>
      </c>
    </row>
    <row r="98" spans="1:18" ht="99.75">
      <c r="A98" s="2" t="s">
        <v>501</v>
      </c>
      <c r="B98" s="2" t="s">
        <v>468</v>
      </c>
      <c r="C98" s="2" t="s">
        <v>25</v>
      </c>
      <c r="D98" s="2" t="s">
        <v>469</v>
      </c>
      <c r="E98" s="2" t="s">
        <v>58</v>
      </c>
      <c r="F98" s="2" t="s">
        <v>470</v>
      </c>
      <c r="G98" s="2" t="s">
        <v>502</v>
      </c>
      <c r="H98" s="2" t="s">
        <v>481</v>
      </c>
      <c r="I98" s="2" t="s">
        <v>503</v>
      </c>
      <c r="J98" s="2" t="s">
        <v>504</v>
      </c>
      <c r="K98" s="2" t="s">
        <v>34</v>
      </c>
      <c r="L98" s="2" t="s">
        <v>11</v>
      </c>
      <c r="M98" s="2"/>
      <c r="N98" s="2" t="s">
        <v>781</v>
      </c>
      <c r="O98" s="2" t="s">
        <v>780</v>
      </c>
      <c r="P98" s="2" t="s">
        <v>774</v>
      </c>
      <c r="Q98" s="2" t="s">
        <v>64</v>
      </c>
      <c r="R98" s="2" t="s">
        <v>782</v>
      </c>
    </row>
    <row r="99" spans="1:18" ht="28.5" customHeight="1">
      <c r="A99" s="2" t="s">
        <v>505</v>
      </c>
      <c r="B99" s="2" t="s">
        <v>468</v>
      </c>
      <c r="C99" s="2" t="s">
        <v>25</v>
      </c>
      <c r="D99" s="2" t="s">
        <v>469</v>
      </c>
      <c r="E99" s="2" t="s">
        <v>58</v>
      </c>
      <c r="F99" s="2" t="s">
        <v>470</v>
      </c>
      <c r="G99" s="2" t="s">
        <v>506</v>
      </c>
      <c r="H99" s="2" t="s">
        <v>481</v>
      </c>
      <c r="I99" s="2" t="s">
        <v>507</v>
      </c>
      <c r="J99" s="2" t="s">
        <v>508</v>
      </c>
      <c r="K99" s="2" t="s">
        <v>34</v>
      </c>
      <c r="L99" s="2" t="s">
        <v>11</v>
      </c>
      <c r="M99" s="2"/>
      <c r="N99" s="2" t="s">
        <v>784</v>
      </c>
      <c r="O99" s="2" t="s">
        <v>783</v>
      </c>
      <c r="P99" s="2" t="s">
        <v>774</v>
      </c>
      <c r="Q99" s="2" t="s">
        <v>64</v>
      </c>
      <c r="R99" s="2" t="s">
        <v>785</v>
      </c>
    </row>
    <row r="100" spans="1:18" ht="28.5" customHeight="1">
      <c r="A100" s="2" t="s">
        <v>509</v>
      </c>
      <c r="B100" s="2" t="s">
        <v>468</v>
      </c>
      <c r="C100" s="2" t="s">
        <v>25</v>
      </c>
      <c r="D100" s="2" t="s">
        <v>469</v>
      </c>
      <c r="E100" s="2" t="s">
        <v>58</v>
      </c>
      <c r="F100" s="2" t="s">
        <v>470</v>
      </c>
      <c r="G100" s="2" t="s">
        <v>510</v>
      </c>
      <c r="H100" s="2" t="s">
        <v>511</v>
      </c>
      <c r="I100" s="2" t="s">
        <v>512</v>
      </c>
      <c r="J100" s="2" t="s">
        <v>513</v>
      </c>
      <c r="K100" s="2" t="s">
        <v>34</v>
      </c>
      <c r="L100" s="2" t="s">
        <v>11</v>
      </c>
      <c r="M100" s="2"/>
      <c r="N100" s="2" t="s">
        <v>787</v>
      </c>
      <c r="O100" s="2" t="s">
        <v>786</v>
      </c>
      <c r="P100" s="2" t="s">
        <v>774</v>
      </c>
      <c r="Q100" s="2" t="s">
        <v>64</v>
      </c>
      <c r="R100" s="2" t="s">
        <v>788</v>
      </c>
    </row>
    <row r="101" spans="1:18">
      <c r="A101" s="2" t="s">
        <v>514</v>
      </c>
      <c r="B101" s="2" t="s">
        <v>515</v>
      </c>
      <c r="C101" s="2" t="s">
        <v>26</v>
      </c>
      <c r="D101" s="2" t="s">
        <v>469</v>
      </c>
      <c r="E101" s="2" t="s">
        <v>58</v>
      </c>
      <c r="F101" s="2" t="s">
        <v>83</v>
      </c>
      <c r="G101" s="2" t="s">
        <v>516</v>
      </c>
      <c r="H101" s="2" t="s">
        <v>517</v>
      </c>
      <c r="I101" s="2" t="s">
        <v>518</v>
      </c>
      <c r="J101" s="2" t="s">
        <v>519</v>
      </c>
      <c r="K101" s="2" t="s">
        <v>35</v>
      </c>
      <c r="L101" s="2" t="s">
        <v>6</v>
      </c>
      <c r="M101" s="2" t="s">
        <v>520</v>
      </c>
      <c r="N101" s="2"/>
      <c r="O101" s="2"/>
      <c r="P101" s="2"/>
      <c r="Q101" s="2" t="s">
        <v>521</v>
      </c>
      <c r="R101" s="2"/>
    </row>
    <row r="102" spans="1:18">
      <c r="A102" s="2" t="s">
        <v>522</v>
      </c>
      <c r="B102" s="2" t="s">
        <v>515</v>
      </c>
      <c r="C102" s="2" t="s">
        <v>26</v>
      </c>
      <c r="D102" s="2" t="s">
        <v>469</v>
      </c>
      <c r="E102" s="2" t="s">
        <v>58</v>
      </c>
      <c r="F102" s="2" t="s">
        <v>83</v>
      </c>
      <c r="G102" s="2" t="s">
        <v>523</v>
      </c>
      <c r="H102" s="2" t="s">
        <v>123</v>
      </c>
      <c r="I102" s="2" t="s">
        <v>518</v>
      </c>
      <c r="J102" s="2" t="s">
        <v>524</v>
      </c>
      <c r="K102" s="2" t="s">
        <v>35</v>
      </c>
      <c r="L102" s="2" t="s">
        <v>6</v>
      </c>
      <c r="M102" s="2" t="s">
        <v>520</v>
      </c>
      <c r="N102" s="2"/>
      <c r="O102" s="2"/>
      <c r="P102" s="2"/>
      <c r="Q102" s="2" t="s">
        <v>521</v>
      </c>
      <c r="R102" s="2"/>
    </row>
    <row r="103" spans="1:18" ht="28.5">
      <c r="A103" s="2" t="s">
        <v>525</v>
      </c>
      <c r="B103" s="2" t="s">
        <v>515</v>
      </c>
      <c r="C103" s="2" t="s">
        <v>26</v>
      </c>
      <c r="D103" s="2" t="s">
        <v>469</v>
      </c>
      <c r="E103" s="2" t="s">
        <v>58</v>
      </c>
      <c r="F103" s="2" t="s">
        <v>83</v>
      </c>
      <c r="G103" s="2" t="s">
        <v>526</v>
      </c>
      <c r="H103" s="2" t="s">
        <v>481</v>
      </c>
      <c r="I103" s="2" t="s">
        <v>527</v>
      </c>
      <c r="J103" s="2" t="s">
        <v>528</v>
      </c>
      <c r="K103" s="2" t="s">
        <v>35</v>
      </c>
      <c r="L103" s="2" t="s">
        <v>6</v>
      </c>
      <c r="M103" s="2" t="s">
        <v>520</v>
      </c>
      <c r="N103" s="2"/>
      <c r="O103" s="2"/>
      <c r="P103" s="2"/>
      <c r="Q103" s="2" t="s">
        <v>521</v>
      </c>
      <c r="R103" s="2"/>
    </row>
    <row r="104" spans="1:18">
      <c r="A104" s="2" t="s">
        <v>529</v>
      </c>
      <c r="B104" s="2" t="s">
        <v>515</v>
      </c>
      <c r="C104" s="2" t="s">
        <v>26</v>
      </c>
      <c r="D104" s="2" t="s">
        <v>469</v>
      </c>
      <c r="E104" s="2" t="s">
        <v>58</v>
      </c>
      <c r="F104" s="2" t="s">
        <v>83</v>
      </c>
      <c r="G104" s="2" t="s">
        <v>530</v>
      </c>
      <c r="H104" s="2" t="s">
        <v>531</v>
      </c>
      <c r="I104" s="2" t="s">
        <v>532</v>
      </c>
      <c r="J104" s="2" t="s">
        <v>533</v>
      </c>
      <c r="K104" s="2" t="s">
        <v>35</v>
      </c>
      <c r="L104" s="2" t="s">
        <v>6</v>
      </c>
      <c r="M104" s="2" t="s">
        <v>520</v>
      </c>
      <c r="N104" s="2"/>
      <c r="O104" s="2"/>
      <c r="P104" s="2"/>
      <c r="Q104" s="2" t="s">
        <v>521</v>
      </c>
      <c r="R104" s="2"/>
    </row>
    <row r="105" spans="1:18">
      <c r="A105" s="2" t="s">
        <v>534</v>
      </c>
      <c r="B105" s="2" t="s">
        <v>515</v>
      </c>
      <c r="C105" s="2" t="s">
        <v>26</v>
      </c>
      <c r="D105" s="2" t="s">
        <v>469</v>
      </c>
      <c r="E105" s="2" t="s">
        <v>58</v>
      </c>
      <c r="F105" s="2" t="s">
        <v>83</v>
      </c>
      <c r="G105" s="2" t="s">
        <v>535</v>
      </c>
      <c r="H105" s="2" t="s">
        <v>536</v>
      </c>
      <c r="I105" s="2" t="s">
        <v>532</v>
      </c>
      <c r="J105" s="2" t="s">
        <v>537</v>
      </c>
      <c r="K105" s="2" t="s">
        <v>35</v>
      </c>
      <c r="L105" s="2" t="s">
        <v>6</v>
      </c>
      <c r="M105" s="2" t="s">
        <v>520</v>
      </c>
      <c r="N105" s="2"/>
      <c r="O105" s="2"/>
      <c r="P105" s="2"/>
      <c r="Q105" s="2" t="s">
        <v>521</v>
      </c>
      <c r="R105" s="2"/>
    </row>
    <row r="106" spans="1:18" ht="28.5">
      <c r="A106" s="2" t="s">
        <v>538</v>
      </c>
      <c r="B106" s="2" t="s">
        <v>515</v>
      </c>
      <c r="C106" s="2" t="s">
        <v>26</v>
      </c>
      <c r="D106" s="2" t="s">
        <v>469</v>
      </c>
      <c r="E106" s="2" t="s">
        <v>58</v>
      </c>
      <c r="F106" s="2" t="s">
        <v>83</v>
      </c>
      <c r="G106" s="2" t="s">
        <v>539</v>
      </c>
      <c r="H106" s="2" t="s">
        <v>540</v>
      </c>
      <c r="I106" s="2" t="s">
        <v>532</v>
      </c>
      <c r="J106" s="2" t="s">
        <v>541</v>
      </c>
      <c r="K106" s="2" t="s">
        <v>35</v>
      </c>
      <c r="L106" s="2" t="s">
        <v>6</v>
      </c>
      <c r="M106" s="2" t="s">
        <v>520</v>
      </c>
      <c r="N106" s="2"/>
      <c r="O106" s="2"/>
      <c r="P106" s="2"/>
      <c r="Q106" s="2" t="s">
        <v>521</v>
      </c>
      <c r="R106" s="2"/>
    </row>
    <row r="107" spans="1:18" ht="28.5">
      <c r="A107" s="2" t="s">
        <v>542</v>
      </c>
      <c r="B107" s="2" t="s">
        <v>515</v>
      </c>
      <c r="C107" s="2" t="s">
        <v>26</v>
      </c>
      <c r="D107" s="2" t="s">
        <v>469</v>
      </c>
      <c r="E107" s="2" t="s">
        <v>58</v>
      </c>
      <c r="F107" s="2" t="s">
        <v>83</v>
      </c>
      <c r="G107" s="2" t="s">
        <v>543</v>
      </c>
      <c r="H107" s="2" t="s">
        <v>481</v>
      </c>
      <c r="I107" s="2" t="s">
        <v>544</v>
      </c>
      <c r="J107" s="2" t="s">
        <v>545</v>
      </c>
      <c r="K107" s="2" t="s">
        <v>35</v>
      </c>
      <c r="L107" s="2" t="s">
        <v>6</v>
      </c>
      <c r="M107" s="2" t="s">
        <v>520</v>
      </c>
      <c r="N107" s="2"/>
      <c r="O107" s="2"/>
      <c r="P107" s="2"/>
      <c r="Q107" s="2" t="s">
        <v>521</v>
      </c>
      <c r="R107" s="2"/>
    </row>
    <row r="108" spans="1:18" ht="28.5">
      <c r="A108" s="2" t="s">
        <v>546</v>
      </c>
      <c r="B108" s="2" t="s">
        <v>515</v>
      </c>
      <c r="C108" s="2" t="s">
        <v>26</v>
      </c>
      <c r="D108" s="2" t="s">
        <v>469</v>
      </c>
      <c r="E108" s="2" t="s">
        <v>58</v>
      </c>
      <c r="F108" s="2" t="s">
        <v>83</v>
      </c>
      <c r="G108" s="2" t="s">
        <v>547</v>
      </c>
      <c r="H108" s="2" t="s">
        <v>548</v>
      </c>
      <c r="I108" s="2" t="s">
        <v>549</v>
      </c>
      <c r="J108" s="2" t="s">
        <v>550</v>
      </c>
      <c r="K108" s="2" t="s">
        <v>35</v>
      </c>
      <c r="L108" s="2" t="s">
        <v>6</v>
      </c>
      <c r="M108" s="2" t="s">
        <v>520</v>
      </c>
      <c r="N108" s="2"/>
      <c r="O108" s="2"/>
      <c r="P108" s="2"/>
      <c r="Q108" s="2" t="s">
        <v>521</v>
      </c>
      <c r="R108" s="2"/>
    </row>
    <row r="109" spans="1:18" ht="142.5">
      <c r="A109" s="2" t="s">
        <v>551</v>
      </c>
      <c r="B109" s="2" t="s">
        <v>552</v>
      </c>
      <c r="C109" s="2" t="s">
        <v>27</v>
      </c>
      <c r="D109" s="2" t="s">
        <v>116</v>
      </c>
      <c r="E109" s="2" t="s">
        <v>58</v>
      </c>
      <c r="F109" s="2" t="s">
        <v>553</v>
      </c>
      <c r="G109" s="2" t="s">
        <v>554</v>
      </c>
      <c r="H109" s="2" t="s">
        <v>481</v>
      </c>
      <c r="I109" s="2" t="s">
        <v>555</v>
      </c>
      <c r="J109" s="2" t="s">
        <v>556</v>
      </c>
      <c r="K109" s="2" t="s">
        <v>34</v>
      </c>
      <c r="L109" s="2" t="s">
        <v>11</v>
      </c>
      <c r="M109" s="2"/>
      <c r="N109" s="2" t="s">
        <v>791</v>
      </c>
      <c r="O109" s="2" t="s">
        <v>789</v>
      </c>
      <c r="P109" s="2" t="s">
        <v>774</v>
      </c>
      <c r="Q109" s="2" t="s">
        <v>70</v>
      </c>
      <c r="R109" s="2" t="s">
        <v>790</v>
      </c>
    </row>
    <row r="110" spans="1:18" ht="28.5" customHeight="1">
      <c r="A110" s="2" t="s">
        <v>558</v>
      </c>
      <c r="B110" s="2" t="s">
        <v>552</v>
      </c>
      <c r="C110" s="2" t="s">
        <v>27</v>
      </c>
      <c r="D110" s="2" t="s">
        <v>116</v>
      </c>
      <c r="E110" s="2" t="s">
        <v>559</v>
      </c>
      <c r="F110" s="2" t="s">
        <v>553</v>
      </c>
      <c r="G110" s="2" t="s">
        <v>560</v>
      </c>
      <c r="H110" s="2" t="s">
        <v>123</v>
      </c>
      <c r="I110" s="2" t="s">
        <v>561</v>
      </c>
      <c r="J110" s="2" t="s">
        <v>562</v>
      </c>
      <c r="K110" s="2" t="s">
        <v>34</v>
      </c>
      <c r="L110" s="2" t="s">
        <v>11</v>
      </c>
      <c r="M110" s="2"/>
      <c r="N110" s="2" t="s">
        <v>793</v>
      </c>
      <c r="O110" s="2" t="s">
        <v>794</v>
      </c>
      <c r="P110" s="2" t="s">
        <v>774</v>
      </c>
      <c r="Q110" s="2" t="s">
        <v>70</v>
      </c>
      <c r="R110" s="2" t="s">
        <v>792</v>
      </c>
    </row>
    <row r="111" spans="1:18" ht="28.5" customHeight="1">
      <c r="A111" s="2" t="s">
        <v>563</v>
      </c>
      <c r="B111" s="2" t="s">
        <v>552</v>
      </c>
      <c r="C111" s="2" t="s">
        <v>27</v>
      </c>
      <c r="D111" s="2" t="s">
        <v>116</v>
      </c>
      <c r="E111" s="2" t="s">
        <v>559</v>
      </c>
      <c r="F111" s="2" t="s">
        <v>553</v>
      </c>
      <c r="G111" s="2" t="s">
        <v>564</v>
      </c>
      <c r="H111" s="2" t="s">
        <v>123</v>
      </c>
      <c r="I111" s="2" t="s">
        <v>565</v>
      </c>
      <c r="J111" s="2" t="s">
        <v>566</v>
      </c>
      <c r="K111" s="2" t="s">
        <v>34</v>
      </c>
      <c r="L111" s="2" t="s">
        <v>11</v>
      </c>
      <c r="M111" s="2"/>
      <c r="N111" s="2" t="s">
        <v>797</v>
      </c>
      <c r="O111" s="2" t="s">
        <v>795</v>
      </c>
      <c r="P111" s="2" t="s">
        <v>774</v>
      </c>
      <c r="Q111" s="2" t="s">
        <v>70</v>
      </c>
      <c r="R111" s="2" t="s">
        <v>796</v>
      </c>
    </row>
    <row r="112" spans="1:18" ht="28.5" customHeight="1">
      <c r="A112" s="2" t="s">
        <v>567</v>
      </c>
      <c r="B112" s="2" t="s">
        <v>552</v>
      </c>
      <c r="C112" s="2" t="s">
        <v>27</v>
      </c>
      <c r="D112" s="2" t="s">
        <v>116</v>
      </c>
      <c r="E112" s="2" t="s">
        <v>58</v>
      </c>
      <c r="F112" s="2" t="s">
        <v>553</v>
      </c>
      <c r="G112" s="2" t="s">
        <v>568</v>
      </c>
      <c r="H112" s="2" t="s">
        <v>472</v>
      </c>
      <c r="I112" s="2" t="s">
        <v>569</v>
      </c>
      <c r="J112" s="2" t="s">
        <v>570</v>
      </c>
      <c r="K112" s="2" t="s">
        <v>34</v>
      </c>
      <c r="L112" s="2" t="s">
        <v>11</v>
      </c>
      <c r="M112" s="2"/>
      <c r="N112" s="2" t="s">
        <v>800</v>
      </c>
      <c r="O112" s="2" t="s">
        <v>798</v>
      </c>
      <c r="P112" s="2" t="s">
        <v>774</v>
      </c>
      <c r="Q112" s="2" t="s">
        <v>70</v>
      </c>
      <c r="R112" s="2" t="s">
        <v>799</v>
      </c>
    </row>
    <row r="113" spans="1:18" ht="28.5" customHeight="1">
      <c r="A113" s="2" t="s">
        <v>571</v>
      </c>
      <c r="B113" s="2" t="s">
        <v>552</v>
      </c>
      <c r="C113" s="2" t="s">
        <v>27</v>
      </c>
      <c r="D113" s="2" t="s">
        <v>116</v>
      </c>
      <c r="E113" s="2" t="s">
        <v>559</v>
      </c>
      <c r="F113" s="2" t="s">
        <v>553</v>
      </c>
      <c r="G113" s="2" t="s">
        <v>572</v>
      </c>
      <c r="H113" s="2" t="s">
        <v>123</v>
      </c>
      <c r="I113" s="2" t="s">
        <v>573</v>
      </c>
      <c r="J113" s="2" t="s">
        <v>574</v>
      </c>
      <c r="K113" s="2" t="s">
        <v>34</v>
      </c>
      <c r="L113" s="2" t="s">
        <v>11</v>
      </c>
      <c r="M113" s="2"/>
      <c r="N113" s="2" t="s">
        <v>803</v>
      </c>
      <c r="O113" s="2" t="s">
        <v>801</v>
      </c>
      <c r="P113" s="2" t="s">
        <v>774</v>
      </c>
      <c r="Q113" s="2" t="s">
        <v>70</v>
      </c>
      <c r="R113" s="2" t="s">
        <v>802</v>
      </c>
    </row>
    <row r="114" spans="1:18" ht="28.5" customHeight="1">
      <c r="A114" s="2" t="s">
        <v>575</v>
      </c>
      <c r="B114" s="2" t="s">
        <v>552</v>
      </c>
      <c r="C114" s="2" t="s">
        <v>27</v>
      </c>
      <c r="D114" s="2" t="s">
        <v>116</v>
      </c>
      <c r="E114" s="2" t="s">
        <v>559</v>
      </c>
      <c r="F114" s="2" t="s">
        <v>553</v>
      </c>
      <c r="G114" s="2" t="s">
        <v>576</v>
      </c>
      <c r="H114" s="2" t="s">
        <v>139</v>
      </c>
      <c r="I114" s="2" t="s">
        <v>577</v>
      </c>
      <c r="J114" s="2" t="s">
        <v>578</v>
      </c>
      <c r="K114" s="2" t="s">
        <v>34</v>
      </c>
      <c r="L114" s="2" t="s">
        <v>11</v>
      </c>
      <c r="M114" s="2"/>
      <c r="N114" s="2" t="s">
        <v>806</v>
      </c>
      <c r="O114" s="2" t="s">
        <v>804</v>
      </c>
      <c r="P114" s="2" t="s">
        <v>774</v>
      </c>
      <c r="Q114" s="2" t="s">
        <v>70</v>
      </c>
      <c r="R114" s="2" t="s">
        <v>805</v>
      </c>
    </row>
    <row r="115" spans="1:18" ht="28.5" customHeight="1">
      <c r="A115" s="2" t="s">
        <v>579</v>
      </c>
      <c r="B115" s="2" t="s">
        <v>552</v>
      </c>
      <c r="C115" s="2" t="s">
        <v>28</v>
      </c>
      <c r="D115" s="2" t="s">
        <v>178</v>
      </c>
      <c r="E115" s="2" t="s">
        <v>58</v>
      </c>
      <c r="F115" s="2" t="s">
        <v>580</v>
      </c>
      <c r="G115" s="2" t="s">
        <v>581</v>
      </c>
      <c r="H115" s="2" t="s">
        <v>582</v>
      </c>
      <c r="I115" s="2" t="s">
        <v>583</v>
      </c>
      <c r="J115" s="2" t="s">
        <v>584</v>
      </c>
      <c r="K115" s="2" t="s">
        <v>34</v>
      </c>
      <c r="L115" s="2" t="s">
        <v>11</v>
      </c>
      <c r="M115" s="2"/>
      <c r="N115" s="2" t="s">
        <v>809</v>
      </c>
      <c r="O115" s="2" t="s">
        <v>807</v>
      </c>
      <c r="P115" s="2" t="s">
        <v>774</v>
      </c>
      <c r="Q115" s="2" t="s">
        <v>64</v>
      </c>
      <c r="R115" s="2" t="s">
        <v>808</v>
      </c>
    </row>
    <row r="116" spans="1:18" ht="28.5" customHeight="1">
      <c r="A116" s="2" t="s">
        <v>585</v>
      </c>
      <c r="B116" s="2" t="s">
        <v>552</v>
      </c>
      <c r="C116" s="2" t="s">
        <v>28</v>
      </c>
      <c r="D116" s="2" t="s">
        <v>178</v>
      </c>
      <c r="E116" s="2" t="s">
        <v>58</v>
      </c>
      <c r="F116" s="2" t="s">
        <v>580</v>
      </c>
      <c r="G116" s="2" t="s">
        <v>586</v>
      </c>
      <c r="H116" s="2" t="s">
        <v>587</v>
      </c>
      <c r="I116" s="2" t="s">
        <v>588</v>
      </c>
      <c r="J116" s="2" t="s">
        <v>589</v>
      </c>
      <c r="K116" s="2" t="s">
        <v>34</v>
      </c>
      <c r="L116" s="2" t="s">
        <v>11</v>
      </c>
      <c r="M116" s="2"/>
      <c r="N116" s="2" t="s">
        <v>812</v>
      </c>
      <c r="O116" s="2" t="s">
        <v>810</v>
      </c>
      <c r="P116" s="2" t="s">
        <v>774</v>
      </c>
      <c r="Q116" s="2" t="s">
        <v>64</v>
      </c>
      <c r="R116" s="2" t="s">
        <v>811</v>
      </c>
    </row>
    <row r="117" spans="1:18" ht="114">
      <c r="A117" s="2" t="s">
        <v>590</v>
      </c>
      <c r="B117" s="2" t="s">
        <v>552</v>
      </c>
      <c r="C117" s="2" t="s">
        <v>28</v>
      </c>
      <c r="D117" s="2" t="s">
        <v>178</v>
      </c>
      <c r="E117" s="2" t="s">
        <v>559</v>
      </c>
      <c r="F117" s="2" t="s">
        <v>580</v>
      </c>
      <c r="G117" s="2" t="s">
        <v>591</v>
      </c>
      <c r="H117" s="2" t="s">
        <v>592</v>
      </c>
      <c r="I117" s="2" t="s">
        <v>593</v>
      </c>
      <c r="J117" s="2" t="s">
        <v>594</v>
      </c>
      <c r="K117" s="2" t="s">
        <v>34</v>
      </c>
      <c r="L117" s="2" t="s">
        <v>11</v>
      </c>
      <c r="M117" s="2"/>
      <c r="N117" s="7" t="s">
        <v>815</v>
      </c>
      <c r="O117" s="2" t="s">
        <v>813</v>
      </c>
      <c r="P117" s="2" t="s">
        <v>774</v>
      </c>
      <c r="Q117" s="2" t="s">
        <v>64</v>
      </c>
      <c r="R117" s="2" t="s">
        <v>814</v>
      </c>
    </row>
    <row r="118" spans="1:18" ht="143.25" customHeight="1">
      <c r="A118" s="2" t="s">
        <v>595</v>
      </c>
      <c r="B118" s="2" t="s">
        <v>552</v>
      </c>
      <c r="C118" s="2" t="s">
        <v>28</v>
      </c>
      <c r="D118" s="2" t="s">
        <v>178</v>
      </c>
      <c r="E118" s="2" t="s">
        <v>559</v>
      </c>
      <c r="F118" s="2" t="s">
        <v>580</v>
      </c>
      <c r="G118" s="2" t="s">
        <v>596</v>
      </c>
      <c r="H118" s="2" t="s">
        <v>587</v>
      </c>
      <c r="I118" s="2" t="s">
        <v>593</v>
      </c>
      <c r="J118" s="2" t="s">
        <v>597</v>
      </c>
      <c r="K118" s="2" t="s">
        <v>34</v>
      </c>
      <c r="L118" s="2" t="s">
        <v>11</v>
      </c>
      <c r="M118" s="2"/>
      <c r="N118" s="7" t="s">
        <v>818</v>
      </c>
      <c r="O118" s="2" t="s">
        <v>816</v>
      </c>
      <c r="P118" s="2" t="s">
        <v>774</v>
      </c>
      <c r="Q118" s="2" t="s">
        <v>64</v>
      </c>
      <c r="R118" s="7" t="s">
        <v>817</v>
      </c>
    </row>
    <row r="119" spans="1:18" ht="28.5" customHeight="1">
      <c r="A119" s="2" t="s">
        <v>598</v>
      </c>
      <c r="B119" s="2" t="s">
        <v>552</v>
      </c>
      <c r="C119" s="2" t="s">
        <v>28</v>
      </c>
      <c r="D119" s="2" t="s">
        <v>178</v>
      </c>
      <c r="E119" s="2" t="s">
        <v>559</v>
      </c>
      <c r="F119" s="2" t="s">
        <v>580</v>
      </c>
      <c r="G119" s="2" t="s">
        <v>599</v>
      </c>
      <c r="H119" s="2" t="s">
        <v>587</v>
      </c>
      <c r="I119" s="2" t="s">
        <v>593</v>
      </c>
      <c r="J119" s="2" t="s">
        <v>600</v>
      </c>
      <c r="K119" s="2" t="s">
        <v>34</v>
      </c>
      <c r="L119" s="2" t="s">
        <v>11</v>
      </c>
      <c r="M119" s="2"/>
      <c r="N119" s="2" t="s">
        <v>821</v>
      </c>
      <c r="O119" s="2" t="s">
        <v>819</v>
      </c>
      <c r="P119" s="2" t="s">
        <v>774</v>
      </c>
      <c r="Q119" s="2" t="s">
        <v>64</v>
      </c>
      <c r="R119" s="2" t="s">
        <v>820</v>
      </c>
    </row>
    <row r="120" spans="1:18" ht="156.75">
      <c r="A120" s="2" t="s">
        <v>601</v>
      </c>
      <c r="B120" s="2" t="s">
        <v>552</v>
      </c>
      <c r="C120" s="2" t="s">
        <v>28</v>
      </c>
      <c r="D120" s="2" t="s">
        <v>178</v>
      </c>
      <c r="E120" s="2" t="s">
        <v>559</v>
      </c>
      <c r="F120" s="2" t="s">
        <v>580</v>
      </c>
      <c r="G120" s="2" t="s">
        <v>602</v>
      </c>
      <c r="H120" s="2" t="s">
        <v>603</v>
      </c>
      <c r="I120" s="2" t="s">
        <v>604</v>
      </c>
      <c r="J120" s="2" t="s">
        <v>605</v>
      </c>
      <c r="K120" s="2" t="s">
        <v>34</v>
      </c>
      <c r="L120" s="2" t="s">
        <v>11</v>
      </c>
      <c r="M120" s="2"/>
      <c r="N120" s="7" t="s">
        <v>824</v>
      </c>
      <c r="O120" s="2" t="s">
        <v>822</v>
      </c>
      <c r="P120" s="2" t="s">
        <v>774</v>
      </c>
      <c r="Q120" s="2" t="s">
        <v>64</v>
      </c>
      <c r="R120" s="2" t="s">
        <v>823</v>
      </c>
    </row>
    <row r="121" spans="1:18" ht="28.5">
      <c r="A121" s="2" t="s">
        <v>606</v>
      </c>
      <c r="B121" s="2" t="s">
        <v>249</v>
      </c>
      <c r="C121" s="2" t="s">
        <v>29</v>
      </c>
      <c r="D121" s="2" t="s">
        <v>607</v>
      </c>
      <c r="E121" s="2" t="s">
        <v>94</v>
      </c>
      <c r="F121" s="2" t="s">
        <v>83</v>
      </c>
      <c r="G121" s="2" t="s">
        <v>608</v>
      </c>
      <c r="H121" s="2" t="s">
        <v>609</v>
      </c>
      <c r="I121" s="2" t="s">
        <v>610</v>
      </c>
      <c r="J121" s="2" t="s">
        <v>611</v>
      </c>
      <c r="K121" s="2" t="s">
        <v>35</v>
      </c>
      <c r="L121" s="2" t="s">
        <v>7</v>
      </c>
      <c r="M121" s="2"/>
      <c r="N121" s="2"/>
      <c r="O121" s="2"/>
      <c r="P121" s="2"/>
      <c r="Q121" s="2" t="s">
        <v>521</v>
      </c>
      <c r="R121" s="2"/>
    </row>
    <row r="122" spans="1:18" ht="28.5">
      <c r="A122" s="2" t="s">
        <v>612</v>
      </c>
      <c r="B122" s="2" t="s">
        <v>249</v>
      </c>
      <c r="C122" s="2" t="s">
        <v>29</v>
      </c>
      <c r="D122" s="2" t="s">
        <v>607</v>
      </c>
      <c r="E122" s="2" t="s">
        <v>94</v>
      </c>
      <c r="F122" s="2" t="s">
        <v>83</v>
      </c>
      <c r="G122" s="2" t="s">
        <v>613</v>
      </c>
      <c r="H122" s="2" t="s">
        <v>609</v>
      </c>
      <c r="I122" s="2" t="s">
        <v>614</v>
      </c>
      <c r="J122" s="2" t="s">
        <v>615</v>
      </c>
      <c r="K122" s="2" t="s">
        <v>35</v>
      </c>
      <c r="L122" s="2" t="s">
        <v>7</v>
      </c>
      <c r="M122" s="2"/>
      <c r="N122" s="2"/>
      <c r="O122" s="2"/>
      <c r="P122" s="2"/>
      <c r="Q122" s="2" t="s">
        <v>521</v>
      </c>
      <c r="R122" s="2"/>
    </row>
    <row r="123" spans="1:18" ht="28.5">
      <c r="A123" s="2" t="s">
        <v>616</v>
      </c>
      <c r="B123" s="2" t="s">
        <v>515</v>
      </c>
      <c r="C123" s="2" t="s">
        <v>29</v>
      </c>
      <c r="D123" s="2" t="s">
        <v>607</v>
      </c>
      <c r="E123" s="2" t="s">
        <v>94</v>
      </c>
      <c r="F123" s="2" t="s">
        <v>83</v>
      </c>
      <c r="G123" s="2" t="s">
        <v>617</v>
      </c>
      <c r="H123" s="2" t="s">
        <v>618</v>
      </c>
      <c r="I123" s="2" t="s">
        <v>619</v>
      </c>
      <c r="J123" s="2" t="s">
        <v>620</v>
      </c>
      <c r="K123" s="2" t="s">
        <v>35</v>
      </c>
      <c r="L123" s="2" t="s">
        <v>6</v>
      </c>
      <c r="M123" s="2" t="s">
        <v>621</v>
      </c>
      <c r="N123" s="2"/>
      <c r="O123" s="2"/>
      <c r="P123" s="2"/>
      <c r="Q123" s="2" t="s">
        <v>521</v>
      </c>
      <c r="R123" s="2"/>
    </row>
    <row r="124" spans="1:18" ht="28.5">
      <c r="A124" s="2" t="s">
        <v>622</v>
      </c>
      <c r="B124" s="2" t="s">
        <v>56</v>
      </c>
      <c r="C124" s="2" t="s">
        <v>29</v>
      </c>
      <c r="D124" s="2" t="s">
        <v>607</v>
      </c>
      <c r="E124" s="2" t="s">
        <v>94</v>
      </c>
      <c r="F124" s="2" t="s">
        <v>83</v>
      </c>
      <c r="G124" s="2" t="s">
        <v>623</v>
      </c>
      <c r="H124" s="2" t="s">
        <v>624</v>
      </c>
      <c r="I124" s="2" t="s">
        <v>625</v>
      </c>
      <c r="J124" s="2" t="s">
        <v>626</v>
      </c>
      <c r="K124" s="2" t="s">
        <v>35</v>
      </c>
      <c r="L124" s="2" t="s">
        <v>7</v>
      </c>
      <c r="M124" s="2"/>
      <c r="N124" s="2"/>
      <c r="O124" s="2"/>
      <c r="P124" s="2"/>
      <c r="Q124" s="2" t="s">
        <v>521</v>
      </c>
      <c r="R124" s="2"/>
    </row>
    <row r="125" spans="1:18" ht="28.5">
      <c r="A125" s="2" t="s">
        <v>627</v>
      </c>
      <c r="B125" s="2" t="s">
        <v>56</v>
      </c>
      <c r="C125" s="2" t="s">
        <v>29</v>
      </c>
      <c r="D125" s="2" t="s">
        <v>607</v>
      </c>
      <c r="E125" s="2" t="s">
        <v>94</v>
      </c>
      <c r="F125" s="2" t="s">
        <v>83</v>
      </c>
      <c r="G125" s="2" t="s">
        <v>628</v>
      </c>
      <c r="H125" s="2" t="s">
        <v>629</v>
      </c>
      <c r="I125" s="2" t="s">
        <v>630</v>
      </c>
      <c r="J125" s="2" t="s">
        <v>631</v>
      </c>
      <c r="K125" s="2" t="s">
        <v>35</v>
      </c>
      <c r="L125" s="2" t="s">
        <v>7</v>
      </c>
      <c r="M125" s="2"/>
      <c r="N125" s="2"/>
      <c r="O125" s="2"/>
      <c r="P125" s="2"/>
      <c r="Q125" s="2" t="s">
        <v>521</v>
      </c>
      <c r="R125" s="2"/>
    </row>
    <row r="126" spans="1:18" ht="28.5">
      <c r="A126" s="2" t="s">
        <v>632</v>
      </c>
      <c r="B126" s="2" t="s">
        <v>56</v>
      </c>
      <c r="C126" s="2" t="s">
        <v>29</v>
      </c>
      <c r="D126" s="2" t="s">
        <v>607</v>
      </c>
      <c r="E126" s="2" t="s">
        <v>94</v>
      </c>
      <c r="F126" s="2" t="s">
        <v>83</v>
      </c>
      <c r="G126" s="2" t="s">
        <v>633</v>
      </c>
      <c r="H126" s="2" t="s">
        <v>634</v>
      </c>
      <c r="I126" s="2" t="s">
        <v>635</v>
      </c>
      <c r="J126" s="2" t="s">
        <v>636</v>
      </c>
      <c r="K126" s="2" t="s">
        <v>35</v>
      </c>
      <c r="L126" s="2" t="s">
        <v>6</v>
      </c>
      <c r="M126" s="2" t="s">
        <v>81</v>
      </c>
      <c r="N126" s="2"/>
      <c r="O126" s="2"/>
      <c r="P126" s="2"/>
      <c r="Q126" s="2" t="s">
        <v>521</v>
      </c>
      <c r="R126" s="2"/>
    </row>
    <row r="127" spans="1:18" ht="28.5">
      <c r="A127" s="2" t="s">
        <v>637</v>
      </c>
      <c r="B127" s="2" t="s">
        <v>56</v>
      </c>
      <c r="C127" s="2" t="s">
        <v>29</v>
      </c>
      <c r="D127" s="2" t="s">
        <v>607</v>
      </c>
      <c r="E127" s="2" t="s">
        <v>94</v>
      </c>
      <c r="F127" s="2" t="s">
        <v>83</v>
      </c>
      <c r="G127" s="2" t="s">
        <v>638</v>
      </c>
      <c r="H127" s="2" t="s">
        <v>634</v>
      </c>
      <c r="I127" s="2" t="s">
        <v>639</v>
      </c>
      <c r="J127" s="2" t="s">
        <v>640</v>
      </c>
      <c r="K127" s="2" t="s">
        <v>35</v>
      </c>
      <c r="L127" s="2" t="s">
        <v>6</v>
      </c>
      <c r="M127" s="2" t="s">
        <v>81</v>
      </c>
      <c r="N127" s="2"/>
      <c r="O127" s="2"/>
      <c r="P127" s="2"/>
      <c r="Q127" s="2" t="s">
        <v>521</v>
      </c>
      <c r="R127" s="2"/>
    </row>
    <row r="128" spans="1:18" ht="28.5">
      <c r="A128" s="2" t="s">
        <v>641</v>
      </c>
      <c r="B128" s="2" t="s">
        <v>56</v>
      </c>
      <c r="C128" s="2" t="s">
        <v>29</v>
      </c>
      <c r="D128" s="2" t="s">
        <v>607</v>
      </c>
      <c r="E128" s="2" t="s">
        <v>94</v>
      </c>
      <c r="F128" s="2" t="s">
        <v>83</v>
      </c>
      <c r="G128" s="2" t="s">
        <v>642</v>
      </c>
      <c r="H128" s="2" t="s">
        <v>634</v>
      </c>
      <c r="I128" s="2" t="s">
        <v>643</v>
      </c>
      <c r="J128" s="2" t="s">
        <v>644</v>
      </c>
      <c r="K128" s="2" t="s">
        <v>35</v>
      </c>
      <c r="L128" s="2" t="s">
        <v>6</v>
      </c>
      <c r="M128" s="2" t="s">
        <v>81</v>
      </c>
      <c r="N128" s="2"/>
      <c r="O128" s="2"/>
      <c r="P128" s="2"/>
      <c r="Q128" s="2" t="s">
        <v>521</v>
      </c>
      <c r="R128" s="2"/>
    </row>
    <row r="129" spans="1:18" ht="28.5">
      <c r="A129" s="2" t="s">
        <v>645</v>
      </c>
      <c r="B129" s="2" t="s">
        <v>56</v>
      </c>
      <c r="C129" s="2" t="s">
        <v>30</v>
      </c>
      <c r="D129" s="2" t="s">
        <v>57</v>
      </c>
      <c r="E129" s="2" t="s">
        <v>58</v>
      </c>
      <c r="F129" s="2" t="s">
        <v>76</v>
      </c>
      <c r="G129" s="2" t="s">
        <v>646</v>
      </c>
      <c r="H129" s="2" t="s">
        <v>634</v>
      </c>
      <c r="I129" s="2" t="s">
        <v>647</v>
      </c>
      <c r="J129" s="2" t="s">
        <v>648</v>
      </c>
      <c r="K129" s="2" t="s">
        <v>33</v>
      </c>
      <c r="L129" s="2" t="s">
        <v>6</v>
      </c>
      <c r="M129" s="2" t="s">
        <v>81</v>
      </c>
      <c r="N129" s="2"/>
      <c r="O129" s="2"/>
      <c r="P129" s="2"/>
      <c r="Q129" s="2" t="s">
        <v>64</v>
      </c>
      <c r="R129" s="2"/>
    </row>
    <row r="130" spans="1:18" ht="14.25" customHeight="1">
      <c r="A130" s="2" t="s">
        <v>649</v>
      </c>
      <c r="B130" s="2" t="s">
        <v>56</v>
      </c>
      <c r="C130" s="2" t="s">
        <v>30</v>
      </c>
      <c r="D130" s="2" t="s">
        <v>57</v>
      </c>
      <c r="E130" s="2" t="s">
        <v>58</v>
      </c>
      <c r="F130" s="2" t="s">
        <v>76</v>
      </c>
      <c r="G130" s="2" t="s">
        <v>650</v>
      </c>
      <c r="H130" s="2" t="s">
        <v>634</v>
      </c>
      <c r="I130" s="2" t="s">
        <v>651</v>
      </c>
      <c r="J130" s="2" t="s">
        <v>652</v>
      </c>
      <c r="K130" s="2" t="s">
        <v>34</v>
      </c>
      <c r="L130" s="2" t="s">
        <v>11</v>
      </c>
      <c r="M130" s="2"/>
      <c r="N130" s="2" t="s">
        <v>830</v>
      </c>
      <c r="O130" s="2" t="s">
        <v>828</v>
      </c>
      <c r="P130" s="2"/>
      <c r="Q130" s="2" t="s">
        <v>64</v>
      </c>
      <c r="R130" s="2" t="s">
        <v>829</v>
      </c>
    </row>
    <row r="131" spans="1:18" ht="42.75">
      <c r="A131" s="2" t="s">
        <v>653</v>
      </c>
      <c r="B131" s="2" t="s">
        <v>56</v>
      </c>
      <c r="C131" s="2" t="s">
        <v>30</v>
      </c>
      <c r="D131" s="2" t="s">
        <v>57</v>
      </c>
      <c r="E131" s="2" t="s">
        <v>58</v>
      </c>
      <c r="F131" s="2" t="s">
        <v>76</v>
      </c>
      <c r="G131" s="2" t="s">
        <v>654</v>
      </c>
      <c r="H131" s="2" t="s">
        <v>634</v>
      </c>
      <c r="I131" s="2" t="s">
        <v>655</v>
      </c>
      <c r="J131" s="2" t="s">
        <v>656</v>
      </c>
      <c r="K131" s="2" t="s">
        <v>33</v>
      </c>
      <c r="L131" s="2" t="s">
        <v>6</v>
      </c>
      <c r="M131" s="2" t="s">
        <v>81</v>
      </c>
      <c r="N131" s="2"/>
      <c r="O131" s="2"/>
      <c r="P131" s="2"/>
      <c r="Q131" s="2" t="s">
        <v>64</v>
      </c>
      <c r="R131" s="2"/>
    </row>
    <row r="132" spans="1:18" ht="156.75">
      <c r="A132" s="2" t="s">
        <v>657</v>
      </c>
      <c r="B132" s="2" t="s">
        <v>56</v>
      </c>
      <c r="C132" s="2" t="s">
        <v>30</v>
      </c>
      <c r="D132" s="2" t="s">
        <v>57</v>
      </c>
      <c r="E132" s="2" t="s">
        <v>58</v>
      </c>
      <c r="F132" s="2" t="s">
        <v>76</v>
      </c>
      <c r="G132" s="2" t="s">
        <v>658</v>
      </c>
      <c r="H132" s="2" t="s">
        <v>634</v>
      </c>
      <c r="I132" s="2" t="s">
        <v>659</v>
      </c>
      <c r="J132" s="2" t="s">
        <v>660</v>
      </c>
      <c r="K132" s="2" t="s">
        <v>34</v>
      </c>
      <c r="L132" s="2" t="s">
        <v>11</v>
      </c>
      <c r="M132" s="2"/>
      <c r="N132" s="7" t="s">
        <v>827</v>
      </c>
      <c r="O132" s="2" t="s">
        <v>825</v>
      </c>
      <c r="P132" s="2" t="s">
        <v>774</v>
      </c>
      <c r="Q132" s="2" t="s">
        <v>64</v>
      </c>
      <c r="R132" s="2" t="s">
        <v>826</v>
      </c>
    </row>
    <row r="133" spans="1:18" ht="28.5">
      <c r="A133" s="2" t="s">
        <v>661</v>
      </c>
      <c r="B133" s="2" t="s">
        <v>56</v>
      </c>
      <c r="C133" s="2" t="s">
        <v>30</v>
      </c>
      <c r="D133" s="2" t="s">
        <v>57</v>
      </c>
      <c r="E133" s="2" t="s">
        <v>58</v>
      </c>
      <c r="F133" s="2" t="s">
        <v>76</v>
      </c>
      <c r="G133" s="2" t="s">
        <v>662</v>
      </c>
      <c r="H133" s="2" t="s">
        <v>634</v>
      </c>
      <c r="I133" s="2" t="s">
        <v>663</v>
      </c>
      <c r="J133" s="2" t="s">
        <v>664</v>
      </c>
      <c r="K133" s="2" t="s">
        <v>33</v>
      </c>
      <c r="L133" s="2" t="s">
        <v>6</v>
      </c>
      <c r="M133" s="2" t="s">
        <v>81</v>
      </c>
      <c r="N133" s="2"/>
      <c r="O133" s="2"/>
      <c r="P133" s="2"/>
      <c r="Q133" s="2" t="s">
        <v>64</v>
      </c>
      <c r="R133" s="2"/>
    </row>
    <row r="134" spans="1:18" ht="28.5">
      <c r="A134" s="2" t="s">
        <v>665</v>
      </c>
      <c r="B134" s="2" t="s">
        <v>56</v>
      </c>
      <c r="C134" s="2" t="s">
        <v>30</v>
      </c>
      <c r="D134" s="2" t="s">
        <v>57</v>
      </c>
      <c r="E134" s="2" t="s">
        <v>58</v>
      </c>
      <c r="F134" s="2" t="s">
        <v>76</v>
      </c>
      <c r="G134" s="2" t="s">
        <v>666</v>
      </c>
      <c r="H134" s="2" t="s">
        <v>667</v>
      </c>
      <c r="I134" s="2" t="s">
        <v>668</v>
      </c>
      <c r="J134" s="2" t="s">
        <v>669</v>
      </c>
      <c r="K134" s="2" t="s">
        <v>33</v>
      </c>
      <c r="L134" s="2" t="s">
        <v>6</v>
      </c>
      <c r="M134" s="2" t="s">
        <v>81</v>
      </c>
      <c r="N134" s="2"/>
      <c r="O134" s="2"/>
      <c r="P134" s="2"/>
      <c r="Q134" s="2" t="s">
        <v>64</v>
      </c>
      <c r="R134" s="2"/>
    </row>
  </sheetData>
  <mergeCells count="2">
    <mergeCell ref="A1:R1"/>
    <mergeCell ref="A2:R2"/>
  </mergeCells>
  <conditionalFormatting sqref="L6:L134">
    <cfRule type="expression" dxfId="4" priority="1">
      <formula>L6="Pass"</formula>
    </cfRule>
    <cfRule type="expression" dxfId="3" priority="2">
      <formula>L6="Fail"</formula>
    </cfRule>
    <cfRule type="expression" dxfId="2" priority="3">
      <formula>L6="Blocked"</formula>
    </cfRule>
    <cfRule type="expression" dxfId="1" priority="4">
      <formula>L6="Not Run"</formula>
    </cfRule>
    <cfRule type="expression" dxfId="0" priority="5">
      <formula>L6="Retest"</formula>
    </cfRule>
  </conditionalFormatting>
  <dataValidations count="5">
    <dataValidation type="list" sqref="E6:E134" xr:uid="{00000000-0002-0000-0100-000000000000}">
      <formula1>"Critical,High,Medium,Low"</formula1>
    </dataValidation>
    <dataValidation type="list" sqref="F6:F134" xr:uid="{00000000-0002-0000-0100-000001000000}">
      <formula1>"Unit,Schema,API,Integration,Permission,Security,Frontend,Regression"</formula1>
    </dataValidation>
    <dataValidation type="list" sqref="K6:K134" xr:uid="{00000000-0002-0000-0100-000002000000}">
      <formula1>"Jerald,MD,Joyee"</formula1>
    </dataValidation>
    <dataValidation type="list" sqref="L6:L134" xr:uid="{00000000-0002-0000-0100-000003000000}">
      <formula1>"Pass,Fail,Blocked,Not Run,Retest"</formula1>
    </dataValidation>
    <dataValidation type="list" sqref="Q6:Q134" xr:uid="{00000000-0002-0000-0100-000004000000}">
      <formula1>"Automated,Manual,Hybrid"</formula1>
    </dataValidation>
  </dataValidation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6"/>
  <sheetViews>
    <sheetView workbookViewId="0">
      <selection sqref="A1:J1"/>
    </sheetView>
  </sheetViews>
  <sheetFormatPr defaultRowHeight="14.25"/>
  <cols>
    <col min="1" max="1" width="18" customWidth="1"/>
    <col min="2" max="2" width="28" customWidth="1"/>
    <col min="3" max="3" width="12" customWidth="1"/>
    <col min="4" max="4" width="24" customWidth="1"/>
    <col min="5" max="5" width="42" customWidth="1"/>
    <col min="6" max="6" width="38" customWidth="1"/>
    <col min="7" max="7" width="16" customWidth="1"/>
    <col min="8" max="8" width="12" customWidth="1"/>
    <col min="9" max="9" width="16" customWidth="1"/>
    <col min="10" max="10" width="28" customWidth="1"/>
  </cols>
  <sheetData>
    <row r="1" spans="1:10" ht="20.25">
      <c r="A1" s="3" t="s">
        <v>670</v>
      </c>
      <c r="B1" s="3"/>
      <c r="C1" s="3"/>
      <c r="D1" s="3"/>
      <c r="E1" s="3"/>
      <c r="F1" s="3"/>
      <c r="G1" s="3"/>
      <c r="H1" s="3"/>
      <c r="I1" s="3"/>
      <c r="J1" s="3"/>
    </row>
    <row r="2" spans="1:10">
      <c r="A2" s="4" t="s">
        <v>671</v>
      </c>
      <c r="B2" s="4"/>
      <c r="C2" s="4"/>
      <c r="D2" s="4"/>
      <c r="E2" s="4"/>
      <c r="F2" s="4"/>
      <c r="G2" s="4"/>
      <c r="H2" s="4"/>
      <c r="I2" s="4"/>
      <c r="J2" s="4"/>
    </row>
    <row r="5" spans="1:10" ht="15">
      <c r="A5" s="1" t="s">
        <v>51</v>
      </c>
      <c r="B5" s="1" t="s">
        <v>672</v>
      </c>
      <c r="C5" s="1" t="s">
        <v>39</v>
      </c>
      <c r="D5" s="1" t="s">
        <v>673</v>
      </c>
      <c r="E5" s="1" t="s">
        <v>674</v>
      </c>
      <c r="F5" s="1" t="s">
        <v>675</v>
      </c>
      <c r="G5" s="1" t="s">
        <v>47</v>
      </c>
      <c r="H5" s="1" t="s">
        <v>48</v>
      </c>
      <c r="I5" s="1" t="s">
        <v>676</v>
      </c>
      <c r="J5" s="1" t="s">
        <v>54</v>
      </c>
    </row>
    <row r="6" spans="1:10" ht="28.5">
      <c r="A6" s="2" t="s">
        <v>677</v>
      </c>
      <c r="B6" s="2" t="s">
        <v>678</v>
      </c>
      <c r="C6" s="2" t="s">
        <v>56</v>
      </c>
      <c r="D6" s="2" t="s">
        <v>679</v>
      </c>
      <c r="E6" s="2" t="s">
        <v>680</v>
      </c>
      <c r="F6" s="2" t="s">
        <v>681</v>
      </c>
      <c r="G6" s="2" t="s">
        <v>682</v>
      </c>
      <c r="H6" s="2" t="s">
        <v>683</v>
      </c>
      <c r="I6" s="2"/>
      <c r="J6" s="2"/>
    </row>
    <row r="7" spans="1:10" ht="28.5">
      <c r="A7" s="2" t="s">
        <v>684</v>
      </c>
      <c r="B7" s="2" t="s">
        <v>685</v>
      </c>
      <c r="C7" s="2" t="s">
        <v>56</v>
      </c>
      <c r="D7" s="2" t="s">
        <v>686</v>
      </c>
      <c r="E7" s="2" t="s">
        <v>687</v>
      </c>
      <c r="F7" s="2" t="s">
        <v>681</v>
      </c>
      <c r="G7" s="2" t="s">
        <v>682</v>
      </c>
      <c r="H7" s="2" t="s">
        <v>683</v>
      </c>
      <c r="I7" s="2"/>
      <c r="J7" s="2"/>
    </row>
    <row r="8" spans="1:10" ht="28.5">
      <c r="A8" s="2" t="s">
        <v>688</v>
      </c>
      <c r="B8" s="2" t="s">
        <v>689</v>
      </c>
      <c r="C8" s="2" t="s">
        <v>160</v>
      </c>
      <c r="D8" s="2" t="s">
        <v>690</v>
      </c>
      <c r="E8" s="2" t="s">
        <v>691</v>
      </c>
      <c r="F8" s="2" t="s">
        <v>681</v>
      </c>
      <c r="G8" s="2" t="s">
        <v>682</v>
      </c>
      <c r="H8" s="2" t="s">
        <v>6</v>
      </c>
      <c r="I8" s="2"/>
      <c r="J8" s="2" t="s">
        <v>165</v>
      </c>
    </row>
    <row r="9" spans="1:10" ht="28.5">
      <c r="A9" s="2" t="s">
        <v>692</v>
      </c>
      <c r="B9" s="2" t="s">
        <v>693</v>
      </c>
      <c r="C9" s="2" t="s">
        <v>56</v>
      </c>
      <c r="D9" s="2" t="s">
        <v>694</v>
      </c>
      <c r="E9" s="2" t="s">
        <v>695</v>
      </c>
      <c r="F9" s="2" t="s">
        <v>681</v>
      </c>
      <c r="G9" s="2" t="s">
        <v>682</v>
      </c>
      <c r="H9" s="2" t="s">
        <v>683</v>
      </c>
      <c r="I9" s="2"/>
      <c r="J9" s="2"/>
    </row>
    <row r="10" spans="1:10" ht="28.5">
      <c r="A10" s="2" t="s">
        <v>696</v>
      </c>
      <c r="B10" s="2" t="s">
        <v>697</v>
      </c>
      <c r="C10" s="2" t="s">
        <v>56</v>
      </c>
      <c r="D10" s="2" t="s">
        <v>694</v>
      </c>
      <c r="E10" s="2" t="s">
        <v>698</v>
      </c>
      <c r="F10" s="2" t="s">
        <v>681</v>
      </c>
      <c r="G10" s="2" t="s">
        <v>682</v>
      </c>
      <c r="H10" s="2" t="s">
        <v>683</v>
      </c>
      <c r="I10" s="2"/>
      <c r="J10" s="2"/>
    </row>
    <row r="11" spans="1:10" ht="28.5">
      <c r="A11" s="2" t="s">
        <v>699</v>
      </c>
      <c r="B11" s="2" t="s">
        <v>700</v>
      </c>
      <c r="C11" s="2" t="s">
        <v>468</v>
      </c>
      <c r="D11" s="2" t="s">
        <v>701</v>
      </c>
      <c r="E11" s="2" t="s">
        <v>702</v>
      </c>
      <c r="F11" s="2" t="s">
        <v>681</v>
      </c>
      <c r="G11" s="2" t="s">
        <v>682</v>
      </c>
      <c r="H11" s="2" t="s">
        <v>6</v>
      </c>
      <c r="I11" s="2"/>
      <c r="J11" s="2" t="s">
        <v>475</v>
      </c>
    </row>
    <row r="12" spans="1:10" ht="28.5">
      <c r="A12" s="2" t="s">
        <v>703</v>
      </c>
      <c r="B12" s="2" t="s">
        <v>704</v>
      </c>
      <c r="C12" s="2" t="s">
        <v>515</v>
      </c>
      <c r="D12" s="2" t="s">
        <v>705</v>
      </c>
      <c r="E12" s="2" t="s">
        <v>706</v>
      </c>
      <c r="F12" s="2" t="s">
        <v>681</v>
      </c>
      <c r="G12" s="2" t="s">
        <v>682</v>
      </c>
      <c r="H12" s="2" t="s">
        <v>6</v>
      </c>
      <c r="I12" s="2"/>
      <c r="J12" s="2" t="s">
        <v>621</v>
      </c>
    </row>
    <row r="13" spans="1:10">
      <c r="A13" s="2" t="s">
        <v>707</v>
      </c>
      <c r="B13" s="2" t="s">
        <v>708</v>
      </c>
      <c r="C13" s="2" t="s">
        <v>552</v>
      </c>
      <c r="D13" s="2" t="s">
        <v>701</v>
      </c>
      <c r="E13" s="2" t="s">
        <v>709</v>
      </c>
      <c r="F13" s="2" t="s">
        <v>681</v>
      </c>
      <c r="G13" s="2" t="s">
        <v>682</v>
      </c>
      <c r="H13" s="2" t="s">
        <v>6</v>
      </c>
      <c r="I13" s="2"/>
      <c r="J13" s="2" t="s">
        <v>557</v>
      </c>
    </row>
    <row r="14" spans="1:10" ht="28.5">
      <c r="A14" s="2" t="s">
        <v>710</v>
      </c>
      <c r="B14" s="2" t="s">
        <v>711</v>
      </c>
      <c r="C14" s="2" t="s">
        <v>552</v>
      </c>
      <c r="D14" s="2" t="s">
        <v>712</v>
      </c>
      <c r="E14" s="2" t="s">
        <v>713</v>
      </c>
      <c r="F14" s="2" t="s">
        <v>681</v>
      </c>
      <c r="G14" s="2" t="s">
        <v>682</v>
      </c>
      <c r="H14" s="2" t="s">
        <v>6</v>
      </c>
      <c r="I14" s="2"/>
      <c r="J14" s="2" t="s">
        <v>557</v>
      </c>
    </row>
    <row r="15" spans="1:10" ht="28.5">
      <c r="A15" s="2" t="s">
        <v>714</v>
      </c>
      <c r="B15" s="2" t="s">
        <v>715</v>
      </c>
      <c r="C15" s="2" t="s">
        <v>56</v>
      </c>
      <c r="D15" s="2" t="s">
        <v>716</v>
      </c>
      <c r="E15" s="2" t="s">
        <v>717</v>
      </c>
      <c r="F15" s="2" t="s">
        <v>681</v>
      </c>
      <c r="G15" s="2" t="s">
        <v>682</v>
      </c>
      <c r="H15" s="2" t="s">
        <v>683</v>
      </c>
      <c r="I15" s="2"/>
      <c r="J15" s="2"/>
    </row>
    <row r="16" spans="1:10" ht="28.5">
      <c r="A16" s="2" t="s">
        <v>718</v>
      </c>
      <c r="B16" s="2" t="s">
        <v>719</v>
      </c>
      <c r="C16" s="2" t="s">
        <v>56</v>
      </c>
      <c r="D16" s="2" t="s">
        <v>720</v>
      </c>
      <c r="E16" s="2" t="s">
        <v>721</v>
      </c>
      <c r="F16" s="2" t="s">
        <v>681</v>
      </c>
      <c r="G16" s="2" t="s">
        <v>682</v>
      </c>
      <c r="H16" s="2" t="s">
        <v>6</v>
      </c>
      <c r="I16" s="2"/>
      <c r="J16" s="2" t="s">
        <v>722</v>
      </c>
    </row>
  </sheetData>
  <mergeCells count="2">
    <mergeCell ref="A1:J1"/>
    <mergeCell ref="A2:J2"/>
  </mergeCells>
  <dataValidations count="1">
    <dataValidation type="list" sqref="H6:H16" xr:uid="{00000000-0002-0000-0200-000000000000}">
      <formula1>"Planned,Blocked,Captured"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Test Cases</vt:lpstr>
      <vt:lpstr>Evidence Index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modified xsi:type="dcterms:W3CDTF">2026-10-07T13:59:33Z</dcterms:modified>
</cp:coreProperties>
</file>