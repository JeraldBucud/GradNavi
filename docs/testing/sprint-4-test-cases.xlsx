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04e443c7df416b" /></Relationships>
</file>

<file path=xl/workbook.xml><?xml version="1.0" encoding="utf-8"?>
<x:workbook xmlns:x="http://schemas.openxmlformats.org/spreadsheetml/2006/main">
  <x:sheets>
    <x:sheet xmlns:r="http://schemas.openxmlformats.org/officeDocument/2006/relationships" name="Dashboard" sheetId="1" r:id="R4f88b03441244812"/>
    <x:sheet xmlns:r="http://schemas.openxmlformats.org/officeDocument/2006/relationships" name="Test Cases" sheetId="2" r:id="R7c98bc1bc33f4c28"/>
    <x:sheet xmlns:r="http://schemas.openxmlformats.org/officeDocument/2006/relationships" name="Evidence Index" sheetId="3" r:id="R83de0518da76489d"/>
  </x:sheets>
</x:workbook>
</file>

<file path=xl/sharedStrings.xml><?xml version="1.0" encoding="utf-8"?>
<x:sst xmlns:x="http://schemas.openxmlformats.org/spreadsheetml/2006/main">
  <x:si>
    <x:t xml:space="preserve">GradNavi Sprint 4 Testing Dashboard</x:t>
  </x:si>
  <x:si>
    <x:t xml:space="preserve">Metric</x:t>
  </x:si>
  <x:si>
    <x:t xml:space="preserve">Count</x:t>
  </x:si>
  <x:si>
    <x:t xml:space="preserve">Area</x:t>
  </x:si>
  <x:si>
    <x:t xml:space="preserve">Total</x:t>
  </x:si>
  <x:si>
    <x:t xml:space="preserve">Blocked</x:t>
  </x:si>
  <x:si>
    <x:t xml:space="preserve">Not Run</x:t>
  </x:si>
  <x:si>
    <x:t xml:space="preserve">Executed</x:t>
  </x:si>
  <x:si>
    <x:t xml:space="preserve">Total Test Cases</x:t>
  </x:si>
  <x:si>
    <x:t xml:space="preserve">Environment</x:t>
  </x:si>
  <x:si>
    <x:t xml:space="preserve">Pass</x:t>
  </x:si>
  <x:si>
    <x:t xml:space="preserve">Authentication</x:t>
  </x:si>
  <x:si>
    <x:t xml:space="preserve">Fail</x:t>
  </x:si>
  <x:si>
    <x:t xml:space="preserve">Student Profile</x:t>
  </x:si>
  <x:si>
    <x:t xml:space="preserve">Career Recommendations</x:t>
  </x:si>
  <x:si>
    <x:t xml:space="preserve">Skill Gap and Readiness</x:t>
  </x:si>
  <x:si>
    <x:t xml:space="preserve">Retest</x:t>
  </x:si>
  <x:si>
    <x:t xml:space="preserve">Learning Suggestions</x:t>
  </x:si>
  <x:si>
    <x:t xml:space="preserve">Career Roadmap</x:t>
  </x:si>
  <x:si>
    <x:t xml:space="preserve">Job Matching</x:t>
  </x:si>
  <x:si>
    <x:t xml:space="preserve">Resume Builder</x:t>
  </x:si>
  <x:si>
    <x:t xml:space="preserve">Cover Letter Builder</x:t>
  </x:si>
  <x:si>
    <x:t xml:space="preserve">Interview Preparation</x:t>
  </x:si>
  <x:si>
    <x:t xml:space="preserve">AI Response Validation</x:t>
  </x:si>
  <x:si>
    <x:t xml:space="preserve">Admin API</x:t>
  </x:si>
  <x:si>
    <x:t xml:space="preserve">Admin Dashboard</x:t>
  </x:si>
  <x:si>
    <x:t xml:space="preserve">Role Permissions</x:t>
  </x:si>
  <x:si>
    <x:t xml:space="preserve">Audit Records</x:t>
  </x:si>
  <x:si>
    <x:t xml:space="preserve">Frontend Quality</x:t>
  </x:si>
  <x:si>
    <x:t xml:space="preserve">Cross-Sprint Regression</x:t>
  </x:si>
  <x:si>
    <x:t xml:space="preserve">Test Owner</x:t>
  </x:si>
  <x:si>
    <x:t xml:space="preserve">Assigned Tests</x:t>
  </x:si>
  <x:si>
    <x:t xml:space="preserve">Jerald</x:t>
  </x:si>
  <x:si>
    <x:t xml:space="preserve">MD</x:t>
  </x:si>
  <x:si>
    <x:t xml:space="preserve">Joyee</x:t>
  </x:si>
  <x:si>
    <x:t xml:space="preserve">GradNavi Sprint 4 Test Case Tracker</x:t>
  </x:si>
  <x:si>
    <x:t xml:space="preserve">Test ID</x:t>
  </x:si>
  <x:si>
    <x:t xml:space="preserve">WBS</x:t>
  </x:si>
  <x:si>
    <x:t xml:space="preserve">Requirement</x:t>
  </x:si>
  <x:si>
    <x:t xml:space="preserve">Priority</x:t>
  </x:si>
  <x:si>
    <x:t xml:space="preserve">Test Level</x:t>
  </x:si>
  <x:si>
    <x:t xml:space="preserve">Test Case</x:t>
  </x:si>
  <x:si>
    <x:t xml:space="preserve">Preconditions</x:t>
  </x:si>
  <x:si>
    <x:t xml:space="preserve">Steps</x:t>
  </x:si>
  <x:si>
    <x:t xml:space="preserve">Expected Result</x:t>
  </x:si>
  <x:si>
    <x:t xml:space="preserve">Owner</x:t>
  </x:si>
  <x:si>
    <x:t xml:space="preserve">Status</x:t>
  </x:si>
  <x:si>
    <x:t xml:space="preserve">Blocked By</x:t>
  </x:si>
  <x:si>
    <x:t xml:space="preserve">Actual Result</x:t>
  </x:si>
  <x:si>
    <x:t xml:space="preserve">Evidence ID</x:t>
  </x:si>
  <x:si>
    <x:t xml:space="preserve">Defect Ref</x:t>
  </x:si>
  <x:si>
    <x:t xml:space="preserve">Automation</x:t>
  </x:si>
  <x:si>
    <x:t xml:space="preserve">Notes</x:t>
  </x:si>
  <x:si>
    <x:t xml:space="preserve">S4-ENV-01</x:t>
  </x:si>
  <x:si>
    <x:t xml:space="preserve">7.9</x:t>
  </x:si>
  <x:si>
    <x:t xml:space="preserve">NFR-12</x:t>
  </x:si>
  <x:si>
    <x:t xml:space="preserve">High</x:t>
  </x:si>
  <x:si>
    <x:t xml:space="preserve">Integration</x:t>
  </x:si>
  <x:si>
    <x:t xml:space="preserve">PostgreSQL connectivity</x:t>
  </x:si>
  <x:si>
    <x:t xml:space="preserve">Local Sprint 4 environment prepared</x:t>
  </x:si>
  <x:si>
    <x:t xml:space="preserve">Start PostgreSQL and run the approved database connectivity check.</x:t>
  </x:si>
  <x:si>
    <x:t xml:space="preserve">Backend reaches the configured PostgreSQL database without connection error.</x:t>
  </x:si>
  <x:si>
    <x:t xml:space="preserve">PostgreSQL connectivity: PASS
Database: gradnavi_db</x:t>
  </x:si>
  <x:si>
    <x:t xml:space="preserve">S4-ENV-01-EV-01</x:t>
  </x:si>
  <x:si>
    <x:t xml:space="preserve">Hybrid</x:t>
  </x:si>
  <x:si>
    <x:t xml:space="preserve">PostgreSQL connectivity verified through Django database connection.</x:t>
  </x:si>
  <x:si>
    <x:t xml:space="preserve">S4-ENV-02</x:t>
  </x:si>
  <x:si>
    <x:t xml:space="preserve">Django system check</x:t>
  </x:si>
  <x:si>
    <x:t xml:space="preserve">Backend environment active</x:t>
  </x:si>
  <x:si>
    <x:t xml:space="preserve">Run Django system check.</x:t>
  </x:si>
  <x:si>
    <x:t xml:space="preserve">Django reports no system-check issues.</x:t>
  </x:si>
  <x:si>
    <x:t xml:space="preserve">System check identified no issues (0 silenced).</x:t>
  </x:si>
  <x:si>
    <x:t xml:space="preserve">S4-ENV-01-EV-02</x:t>
  </x:si>
  <x:si>
    <x:t xml:space="preserve">Automated</x:t>
  </x:si>
  <x:si>
    <x:t xml:space="preserve">S4-ENV-03</x:t>
  </x:si>
  <x:si>
    <x:t xml:space="preserve">Migration drift check</x:t>
  </x:si>
  <x:si>
    <x:t xml:space="preserve">Run migration drift check.</x:t>
  </x:si>
  <x:si>
    <x:t xml:space="preserve">No uncommitted model changes require a new migration.</x:t>
  </x:si>
  <x:si>
    <x:t xml:space="preserve">No changes detected</x:t>
  </x:si>
  <x:si>
    <x:t xml:space="preserve">S4-ENV-01-EV-03</x:t>
  </x:si>
  <x:si>
    <x:t xml:space="preserve">Verified using python manage.py makemigrations --check --dry-run.</x:t>
  </x:si>
  <x:si>
    <x:t xml:space="preserve">S4-ENV-04</x:t>
  </x:si>
  <x:si>
    <x:t xml:space="preserve">Regression</x:t>
  </x:si>
  <x:si>
    <x:t xml:space="preserve">Full backend automated suite</x:t>
  </x:si>
  <x:si>
    <x:t xml:space="preserve">All required Sprint 4 predecessors merged</x:t>
  </x:si>
  <x:si>
    <x:t xml:space="preserve">Run the complete backend test suite.</x:t>
  </x:si>
  <x:si>
    <x:t xml:space="preserve">Full backend suite passes with no failures or errors.</x:t>
  </x:si>
  <x:si>
    <x:t xml:space="preserve">Complete backend automated regression suite executed successfully on the integrated Sprint 4 testing baseline. All 1000 tests passed with no failures or errors.</x:t>
  </x:si>
  <x:si>
    <x:t xml:space="preserve">S4-ENV-04-EV-01</x:t>
  </x:si>
  <x:si>
    <x:t xml:space="preserve">Executed python manage.py test -v 2. Django discovered and ran 1000 backend tests in 583.152 seconds. Final result: OK, with 0 failures and 0 errors. Django system check also identified no issues. This is particularly useful evidence because the suite includes the three new WBS 7.9 regression/security tests we added during your testing: the roadmap Student-isolation test and both audit privacy tests; they are shown passing in the uploaded output as well. No defect was found, and S4-ENV-04 is fully satisfied.</x:t>
  </x:si>
  <x:si>
    <x:t xml:space="preserve">S4-ENV-05</x:t>
  </x:si>
  <x:si>
    <x:t xml:space="preserve">Frontend</x:t>
  </x:si>
  <x:si>
    <x:t xml:space="preserve">Frontend lint</x:t>
  </x:si>
  <x:si>
    <x:t xml:space="preserve">Frontend dependencies installed</x:t>
  </x:si>
  <x:si>
    <x:t xml:space="preserve">Run npm lint command.</x:t>
  </x:si>
  <x:si>
    <x:t xml:space="preserve">Lint completes with no errors.</x:t>
  </x:si>
  <x:si>
    <x:t xml:space="preserve">npm run lint (oxlint) completed with "Found 0 warnings and 0 errors" on 62 files. Five initial warnings in new WBS 7.7 admin pages were fixed before the final run.</x:t>
  </x:si>
  <x:si>
    <x:t xml:space="preserve">S4-EV-ENV-05</x:t>
  </x:si>
  <x:si>
    <x:t xml:space="preserve">Automated lint run on joyee/wbs-7.7 branch before PR #64 merge. Evidence: S4-ENV-05.png</x:t>
  </x:si>
  <x:si>
    <x:t xml:space="preserve">S4-ENV-06</x:t>
  </x:si>
  <x:si>
    <x:t xml:space="preserve">Frontend production build</x:t>
  </x:si>
  <x:si>
    <x:t xml:space="preserve">Run production build.</x:t>
  </x:si>
  <x:si>
    <x:t xml:space="preserve">Production build completes successfully.</x:t>
  </x:si>
  <x:si>
    <x:t xml:space="preserve">npm run build (Vite) completed successfully ("built in 4.68s"). Only the existing chunk-size advisory (&gt;500 kB) was shown; no build errors.</x:t>
  </x:si>
  <x:si>
    <x:t xml:space="preserve">S4-EV-ENV-06</x:t>
  </x:si>
  <x:si>
    <x:t xml:space="preserve">Chunk-size advisory pre-dates WBS 7.7 and is not an error. Evidence: S4-ENV-06.png</x:t>
  </x:si>
  <x:si>
    <x:t xml:space="preserve">S4-ENV-07</x:t>
  </x:si>
  <x:si>
    <x:t xml:space="preserve">NFR-07</x:t>
  </x:si>
  <x:si>
    <x:t xml:space="preserve">Medium</x:t>
  </x:si>
  <x:si>
    <x:t xml:space="preserve">Shared branch baseline verification</x:t>
  </x:si>
  <x:si>
    <x:t xml:space="preserve">All predecessor PRs ready for final integration</x:t>
  </x:si>
  <x:si>
    <x:t xml:space="preserve">Fetch feature/sprint-4 and compare local and remote heads.</x:t>
  </x:si>
  <x:si>
    <x:t xml:space="preserve">Local integration baseline matches origin/feature/sprint-4.</x:t>
  </x:si>
  <x:si>
    <x:t xml:space="preserve">S4-AUTH-01</x:t>
  </x:si>
  <x:si>
    <x:t xml:space="preserve">FR-01</x:t>
  </x:si>
  <x:si>
    <x:t xml:space="preserve">Login with valid Student credentials</x:t>
  </x:si>
  <x:si>
    <x:t xml:space="preserve">Valid Student account</x:t>
  </x:si>
  <x:si>
    <x:t xml:space="preserve">Sign in through the Student login flow.</x:t>
  </x:si>
  <x:si>
    <x:t xml:space="preserve">Student is authenticated and routed to the protected Student application.</x:t>
  </x:si>
  <x:si>
    <x:t xml:space="preserve">Valid Student credentials signed in successfully and the Student was routed to the protected Student Dashboard.</x:t>
  </x:si>
  <x:si>
    <x:t xml:space="preserve">S4-EV-AUTH-01</x:t>
  </x:si>
  <x:si>
    <x:t xml:space="preserve">Verified manually in Edge. Evidence: S4-AUTH-01.png</x:t>
  </x:si>
  <x:si>
    <x:t xml:space="preserve">S4-AUTH-02</x:t>
  </x:si>
  <x:si>
    <x:t xml:space="preserve">Reject invalid Student credentials</x:t>
  </x:si>
  <x:si>
    <x:t xml:space="preserve">Student account exists</x:t>
  </x:si>
  <x:si>
    <x:t xml:space="preserve">Submit an invalid password.</x:t>
  </x:si>
  <x:si>
    <x:t xml:space="preserve">Login is rejected with a controlled validation or authentication message.</x:t>
  </x:si>
  <x:si>
    <x:t xml:space="preserve">Login with an invalid password was rejected with a controlled error message and the user stayed on the login page.</x:t>
  </x:si>
  <x:si>
    <x:t xml:space="preserve">S4-EV-AUTH-02</x:t>
  </x:si>
  <x:si>
    <x:t xml:space="preserve">Verified manually in Edge. Evidence: S4-AUTH-02.png</x:t>
  </x:si>
  <x:si>
    <x:t xml:space="preserve">S4-AUTH-03</x:t>
  </x:si>
  <x:si>
    <x:t xml:space="preserve">Protected Student route without authentication</x:t>
  </x:si>
  <x:si>
    <x:t xml:space="preserve">Signed out browser session</x:t>
  </x:si>
  <x:si>
    <x:t xml:space="preserve">Navigate directly to a protected Student route.</x:t>
  </x:si>
  <x:si>
    <x:t xml:space="preserve">Access is blocked and the user is directed to authentication.</x:t>
  </x:si>
  <x:si>
    <x:t xml:space="preserve">Navigating directly to /profile while signed out redirected to /login. Protected Student route was not accessible.</x:t>
  </x:si>
  <x:si>
    <x:t xml:space="preserve">S4-EV-AUTH-03</x:t>
  </x:si>
  <x:si>
    <x:t xml:space="preserve">Verified manually in Edge. Evidence: S4-AUTH-03.png</x:t>
  </x:si>
  <x:si>
    <x:t xml:space="preserve">S4-AUTH-04</x:t>
  </x:si>
  <x:si>
    <x:t xml:space="preserve">NFR-05</x:t>
  </x:si>
  <x:si>
    <x:t xml:space="preserve">JWT-protected API without token</x:t>
  </x:si>
  <x:si>
    <x:t xml:space="preserve">No access token</x:t>
  </x:si>
  <x:si>
    <x:t xml:space="preserve">Call a protected Student API.</x:t>
  </x:si>
  <x:si>
    <x:t xml:space="preserve">API rejects the request with the approved unauthenticated response.</x:t>
  </x:si>
  <x:si>
    <x:t xml:space="preserve">GET /api/v1/profile/ without an access token returned HTTP 401 Unauthorized with code "not_authenticated" and message "Authentication credentials were not provided." The protected Student API rejected unauthenticated access as expected.</x:t>
  </x:si>
  <x:si>
    <x:t xml:space="preserve">S4-EV-AUTH-001</x:t>
  </x:si>
  <x:si>
    <x:t xml:space="preserve">Verified manually in Postman. Evidence: S4-AUTH-04_JWT_Protected_API_Without_Token_PASS.png</x:t>
  </x:si>
  <x:si>
    <x:t xml:space="preserve">S4-AUTH-05</x:t>
  </x:si>
  <x:si>
    <x:t xml:space="preserve">Current-user retrieval after login</x:t>
  </x:si>
  <x:si>
    <x:t xml:space="preserve">Authenticated Student</x:t>
  </x:si>
  <x:si>
    <x:t xml:space="preserve">Load the current-user/session endpoint or dependent UI state.</x:t>
  </x:si>
  <x:si>
    <x:t xml:space="preserve">Authenticated Student identity is returned without exposing sensitive fields.</x:t>
  </x:si>
  <x:si>
    <x:t xml:space="preserve">GET /api/v1/auth/me/ returned HTTP 200 OK for the authenticated Student. The response returned id, email, first_name, last_name, and role without exposing sensitive fields.</x:t>
  </x:si>
  <x:si>
    <x:t xml:space="preserve">Verified manually in Postman with masked Bearer token. Evidence: S4-AUTH-05_Current_User_Retrieval_After_Login_PASS.png</x:t>
  </x:si>
  <x:si>
    <x:t xml:space="preserve">S4-PROFILE-01</x:t>
  </x:si>
  <x:si>
    <x:t xml:space="preserve">FR-02</x:t>
  </x:si>
  <x:si>
    <x:t xml:space="preserve">Load authenticated Student Profile</x:t>
  </x:si>
  <x:si>
    <x:t xml:space="preserve">Authenticated Student with profile</x:t>
  </x:si>
  <x:si>
    <x:t xml:space="preserve">Open Student Profile.</x:t>
  </x:si>
  <x:si>
    <x:t xml:space="preserve">Only the authenticated Student profile loads.</x:t>
  </x:si>
  <x:si>
    <x:t xml:space="preserve">Student Profile loaded only the authenticated Student's profile (name Joyee, primary goal Software Engineer).</x:t>
  </x:si>
  <x:si>
    <x:t xml:space="preserve">S4-EV-PROFILE-01</x:t>
  </x:si>
  <x:si>
    <x:t xml:space="preserve">Verified manually in Edge. Evidence: S4-PROFILE-01.png</x:t>
  </x:si>
  <x:si>
    <x:t xml:space="preserve">S4-PROFILE-02</x:t>
  </x:si>
  <x:si>
    <x:t xml:space="preserve">Update approved Student Profile field</x:t>
  </x:si>
  <x:si>
    <x:t xml:space="preserve">Change an approved editable profile field and save.</x:t>
  </x:si>
  <x:si>
    <x:t xml:space="preserve">Update persists and reloads correctly.</x:t>
  </x:si>
  <x:si>
    <x:t xml:space="preserve">Added skills Python, JavaScript, Microsoft SQL Server, React and GitHub and saved. After page refresh all skills persisted and Skills saved showed 5.</x:t>
  </x:si>
  <x:si>
    <x:t xml:space="preserve">S4-EV-PROFILE-02</x:t>
  </x:si>
  <x:si>
    <x:t xml:space="preserve">Skills kept for downstream Job Matching, Resume and Readiness tests. Evidence: S4-PROFILE-02.png</x:t>
  </x:si>
  <x:si>
    <x:t xml:space="preserve">S4-PROFILE-03</x:t>
  </x:si>
  <x:si>
    <x:t xml:space="preserve">NFR-06</x:t>
  </x:si>
  <x:si>
    <x:t xml:space="preserve">Reject cross-student profile access</x:t>
  </x:si>
  <x:si>
    <x:t xml:space="preserve">Two Student accounts</x:t>
  </x:si>
  <x:si>
    <x:t xml:space="preserve">Attempt to access another Student record through direct API manipulation.</x:t>
  </x:si>
  <x:si>
    <x:t xml:space="preserve">Backend prevents cross-student access.</x:t>
  </x:si>
  <x:si>
    <x:t xml:space="preserve">test_authenticated_user_cannot_patch_another_profile_with_query_parameters ... Ok
Ran 1 test in 0.907s
OK</x:t>
  </x:si>
  <x:si>
    <x:t xml:space="preserve">Verified using targeted StudentProfilePatchAPITests cross-student access regression test; 1/1 test passed.</x:t>
  </x:si>
  <x:si>
    <x:t xml:space="preserve">S4-PROFILE-04</x:t>
  </x:si>
  <x:si>
    <x:t xml:space="preserve">Profile changes feed downstream career context</x:t>
  </x:si>
  <x:si>
    <x:t xml:space="preserve">Authenticated Student with editable Skills</x:t>
  </x:si>
  <x:si>
    <x:t xml:space="preserve">Change an approved Skill then reload a dependent career feature.</x:t>
  </x:si>
  <x:si>
    <x:t xml:space="preserve">Dependent feature uses the updated authenticated Student context.</x:t>
  </x:si>
  <x:si>
    <x:t xml:space="preserve">React was initially recognised as an existing Student Profile skill in Job Matching. After React was removed and the same job description was analysed again, the result changed from 1 of 1 matched to 0 of 1, and React moved to Not listed in your profile. React was then restored at Proficient.</x:t>
  </x:si>
  <x:si>
    <x:t xml:space="preserve">S4-EV-PROFILE-001</x:t>
  </x:si>
  <x:si>
    <x:t xml:space="preserve">Verified through Student Profile and Job Matching integration. Evidence: S4-PROFILE-04_Profile_Baseline_Before_Skill_Change.png; S4-PROFILE-04_Job_Matching_Baseline_React_In_Profile.png; S4-PROFILE-04_Job_Matching_After_React_Removal_PASS.png; S4-PROFILE-04_Profile_Restored_React_Proficient_Verified.png</x:t>
  </x:si>
  <x:si>
    <x:t xml:space="preserve">S4-REC-01</x:t>
  </x:si>
  <x:si>
    <x:t xml:space="preserve">FR-03</x:t>
  </x:si>
  <x:si>
    <x:t xml:space="preserve">Generate ranked Career Recommendations</x:t>
  </x:si>
  <x:si>
    <x:t xml:space="preserve">Student Profile contains required evidence</x:t>
  </x:si>
  <x:si>
    <x:t xml:space="preserve">Open Career Recommendations or request recommendations.</x:t>
  </x:si>
  <x:si>
    <x:t xml:space="preserve">Ranked deterministic recommendations are returned.</x:t>
  </x:si>
  <x:si>
    <x:t xml:space="preserve">Career Recommendations loaded successfully for the authenticated Student and returned an ordered ranked list. Software Engineer was rank #1 with an 85% Career Match, followed by ranked career matches through rank #7.</x:t>
  </x:si>
  <x:si>
    <x:t xml:space="preserve">S4-EV-REC-001</x:t>
  </x:si>
  <x:si>
    <x:t xml:space="preserve">Verified through Career Recommendations UI after restoring the Student Profile baseline. Evidence: S4-REC-01_Ranked_Career_Recommendations_PASS.png</x:t>
  </x:si>
  <x:si>
    <x:t xml:space="preserve">S4-REC-02</x:t>
  </x:si>
  <x:si>
    <x:t xml:space="preserve">FR-04</x:t>
  </x:si>
  <x:si>
    <x:t xml:space="preserve">Recommendation score is visible</x:t>
  </x:si>
  <x:si>
    <x:t xml:space="preserve">Recommendation result exists</x:t>
  </x:si>
  <x:si>
    <x:t xml:space="preserve">Inspect recommendation result.</x:t>
  </x:si>
  <x:si>
    <x:t xml:space="preserve">Recommendation score is displayed with the result.</x:t>
  </x:si>
  <x:si>
    <x:t xml:space="preserve">Career Recommendations displayed Software Engineer as #1 with an 80% Career Match score, plus readiness and match evidence.</x:t>
  </x:si>
  <x:si>
    <x:t xml:space="preserve">S4-EV-REC-02</x:t>
  </x:si>
  <x:si>
    <x:t xml:space="preserve">Initial run returned HTTP 500 (ValueError: In-Demand O*NET technology missing demand percentage). Root cause: local DB missing O*NET demand snapshot. Resolved by running: python manage.py import_onet_demand_snapshot --snapshot-date 2026-09-16 (setup step, not a code defect). Retested and passed. Evidence: S4-REC-02.png; S4-REC-02-error.png</x:t>
  </x:si>
  <x:si>
    <x:t xml:space="preserve">S4-REC-03</x:t>
  </x:si>
  <x:si>
    <x:t xml:space="preserve">7.4,7.9</x:t>
  </x:si>
  <x:si>
    <x:t xml:space="preserve">Recommendation explanation is available</x:t>
  </x:si>
  <x:si>
    <x:t xml:space="preserve">Top recommendation exists and AI provider is available</x:t>
  </x:si>
  <x:si>
    <x:t xml:space="preserve">Request the approved recommendation explanation.</x:t>
  </x:si>
  <x:si>
    <x:t xml:space="preserve">Explanation is returned without changing deterministic score or rank.</x:t>
  </x:si>
  <x:si>
    <x:t xml:space="preserve">The approved AI recommendation explanation returned successfully for the current top recommendation. After the explanation request, Career Recommendations was reloaded and Software Engineer remained rank #1 with an 85% Career Match.</x:t>
  </x:si>
  <x:si>
    <x:t xml:space="preserve">S4-EV-REC-003</x:t>
  </x:si>
  <x:si>
    <x:t xml:space="preserve">AI explanation returned through the approved endpoint and deterministic recommendation result remained unchanged. Evidence: S4-REC-03_AI_Recommendation_Explanation_200_OK.png; S4-REC-03_Recommendation_Rank_and_Score_Unchanged_PASS.png</x:t>
  </x:si>
  <x:si>
    <x:t xml:space="preserve">S4-REC-04</x:t>
  </x:si>
  <x:si>
    <x:t xml:space="preserve">NFR-08</x:t>
  </x:si>
  <x:si>
    <x:t xml:space="preserve">Recommendation result repeats for same structured profile</x:t>
  </x:si>
  <x:si>
    <x:t xml:space="preserve">Profile is unchanged</x:t>
  </x:si>
  <x:si>
    <x:t xml:space="preserve">Request recommendations twice under the same controlled data.</x:t>
  </x:si>
  <x:si>
    <x:t xml:space="preserve">Deterministic recommendation order and scores repeat.</x:t>
  </x:si>
  <x:si>
    <x:t xml:space="preserve">The same authenticated Student profile was used for two consecutive recommendation requests. Postman compared the full recommendation arrays and confirmed the recommendation count, order, career IDs, career names, and recommendation scores repeated exactly.</x:t>
  </x:si>
  <x:si>
    <x:t xml:space="preserve">S4-EV-REC-004</x:t>
  </x:si>
  <x:si>
    <x:t xml:space="preserve">Postman post-response assertions passed 3/3 for full recommendation repeatability. Evidence: S4-REC-04_Recommendation_Repeatability_Run_1.png; S4-REC-04_Recommendation_Repeatability_Run_2.png; S4-REC-04_Postman_Baseline_Stored.png; S4-REC-04_Recommendation_Repeatability_PASS.png</x:t>
  </x:si>
  <x:si>
    <x:t xml:space="preserve">S4-REC-05</x:t>
  </x:si>
  <x:si>
    <x:t xml:space="preserve">Recommendation data is isolated by Student</x:t>
  </x:si>
  <x:si>
    <x:t xml:space="preserve">Two Students have different profiles</x:t>
  </x:si>
  <x:si>
    <x:t xml:space="preserve">Request recommendations for both authenticated accounts.</x:t>
  </x:si>
  <x:si>
    <x:t xml:space="preserve">Each Student receives results from their own profile context.</x:t>
  </x:si>
  <x:si>
    <x:t xml:space="preserve">Recommendation data remained isolated by authenticated Student profile. Two Students received separate recommendation results and separate profile-specific recommendation snapshots.</x:t>
  </x:si>
  <x:si>
    <x:t xml:space="preserve">S4-REC-05-EV-005</x:t>
  </x:si>
  <x:si>
    <x:t xml:space="preserve">Verified using RecommendationCacheAPITests.test_snapshot_is_private_to_authenticated_profile; targeted test passed 1/1. External AI provider was mocked, so no live OpenAI API key was required.</x:t>
  </x:si>
  <x:si>
    <x:t xml:space="preserve">S4-REC-06</x:t>
  </x:si>
  <x:si>
    <x:t xml:space="preserve">FR-18</x:t>
  </x:si>
  <x:si>
    <x:t xml:space="preserve">AI explanation failure preserves deterministic recommendation</x:t>
  </x:si>
  <x:si>
    <x:t xml:space="preserve">Simulate or trigger controlled text-provider failure for explanation.</x:t>
  </x:si>
  <x:si>
    <x:t xml:space="preserve">Deterministic recommendation score and rank remain unchanged.</x:t>
  </x:si>
  <x:si>
    <x:t xml:space="preserve">A controlled AI explanation validation failure was simulated using the existing Sprint 4 backend test. The test confirmed the deterministic recommendation score, rank, evidence fields, and snapshot payload remained unchanged.</x:t>
  </x:si>
  <x:si>
    <x:t xml:space="preserve">S4-EV-REC-006</x:t>
  </x:si>
  <x:si>
    <x:t xml:space="preserve">Automated backend regression test passed. Evidence: S4-REC-06_AI_Explanation_Failure_Test_Setup.png; S4-REC-06_AI_Explanation_Failure_Preserves_Recommendation_PASS.png</x:t>
  </x:si>
  <x:si>
    <x:t xml:space="preserve">S4-GAP-01</x:t>
  </x:si>
  <x:si>
    <x:t xml:space="preserve">FR-05</x:t>
  </x:si>
  <x:si>
    <x:t xml:space="preserve">Load Skill Gap for selected Career</x:t>
  </x:si>
  <x:si>
    <x:t xml:space="preserve">Authenticated Student and valid Career</x:t>
  </x:si>
  <x:si>
    <x:t xml:space="preserve">Open Skill Gap for the selected Career.</x:t>
  </x:si>
  <x:si>
    <x:t xml:space="preserve">Matched and missing requirements are shown for the selected Career.</x:t>
  </x:si>
  <x:si>
    <x:t xml:space="preserve">Skill Gap for Software Engineer showed Matched (2: Computers and Electronics, Critical Thinking), Partially Matched (0) and Missing (16) requirements, with full Requirement Details.</x:t>
  </x:si>
  <x:si>
    <x:t xml:space="preserve">S4-EV-GAP-01</x:t>
  </x:si>
  <x:si>
    <x:t xml:space="preserve">Initially 0 matched because the profile had technologies only; matched count updated after adding Critical Thinking and Computers and Electronics. Evidence: S4-GAP-01.png</x:t>
  </x:si>
  <x:si>
    <x:t xml:space="preserve">S4-GAP-02</x:t>
  </x:si>
  <x:si>
    <x:t xml:space="preserve">FR-06</x:t>
  </x:si>
  <x:si>
    <x:t xml:space="preserve">Load Career Readiness score</x:t>
  </x:si>
  <x:si>
    <x:t xml:space="preserve">Open readiness for the selected Career.</x:t>
  </x:si>
  <x:si>
    <x:t xml:space="preserve">Deterministic readiness score and factor details are returned.</x:t>
  </x:si>
  <x:si>
    <x:t xml:space="preserve">Deterministic Readiness Score 15% (Status: Scored) returned with factor breakdown and AI Gap Summary explanation.</x:t>
  </x:si>
  <x:si>
    <x:t xml:space="preserve">S4-EV-GAP-02</x:t>
  </x:si>
  <x:si>
    <x:t xml:space="preserve">Verified manually in Edge. Evidence: S4-GAP-02.png</x:t>
  </x:si>
  <x:si>
    <x:t xml:space="preserve">S4-GAP-03</x:t>
  </x:si>
  <x:si>
    <x:t xml:space="preserve">Repeat Skill Gap and readiness with unchanged profile</x:t>
  </x:si>
  <x:si>
    <x:t xml:space="preserve">Profile and Career unchanged</x:t>
  </x:si>
  <x:si>
    <x:t xml:space="preserve">Run the same Skill Gap and readiness request twice.</x:t>
  </x:si>
  <x:si>
    <x:t xml:space="preserve">Deterministic results repeat.</x:t>
  </x:si>
  <x:si>
    <x:t xml:space="preserve">Two consecutive Career Readiness requests were executed for Software Engineer, career_id 3, without changing the Student Profile or selected Career. Postman assertions confirmed the readiness score, requirement counts, and complete deterministic Skill Gap and readiness response repeated exactly.</x:t>
  </x:si>
  <x:si>
    <x:t xml:space="preserve">S4-EV-GAP-003</x:t>
  </x:si>
  <x:si>
    <x:t xml:space="preserve">Postman post-response assertions passed 4/4. Baseline readiness score was 5.54 with 0 meets, 1 below requirement, 17 missing, 18 total. Evidence: S4-GAP-03_Readiness_Baseline_Response.png; S4-GAP-03_Repeatability_Baseline_Stored.png; S4-GAP-03_Skill_Gap_Readiness_Repeatability_PASS.png</x:t>
  </x:si>
  <x:si>
    <x:t xml:space="preserve">S4-GAP-04</x:t>
  </x:si>
  <x:si>
    <x:t xml:space="preserve">Skill Gap AI summary failure preserves deterministic gap</x:t>
  </x:si>
  <x:si>
    <x:t xml:space="preserve">Skill Gap deterministic result exists</x:t>
  </x:si>
  <x:si>
    <x:t xml:space="preserve">Simulate controlled text-provider failure for summary.</x:t>
  </x:si>
  <x:si>
    <x:t xml:space="preserve">Deterministic matched and missing requirements remain unchanged.</x:t>
  </x:si>
  <x:si>
    <x:t xml:space="preserve">A controlled AI summary failure was simulated through the existing Sprint 4 backend test. The test confirmed deterministic Skill Gap and Career Readiness results were preserved during the AI failure.</x:t>
  </x:si>
  <x:si>
    <x:t xml:space="preserve">S4-EV-GAP-004</x:t>
  </x:si>
  <x:si>
    <x:t xml:space="preserve">Automated backend regression test passed. Evidence: S4-GAP-04_AI_Summary_Failure_Preserves_Skill_Gap_Readiness_PASS.png</x:t>
  </x:si>
  <x:si>
    <x:t xml:space="preserve">S4-GAP-05</x:t>
  </x:si>
  <x:si>
    <x:t xml:space="preserve">Readiness does not depend on text AI provider</x:t>
  </x:si>
  <x:si>
    <x:t xml:space="preserve">Valid Student and Career</x:t>
  </x:si>
  <x:si>
    <x:t xml:space="preserve">Disable or simulate unavailable text provider then request readiness.</x:t>
  </x:si>
  <x:si>
    <x:t xml:space="preserve">Readiness deterministic response remains available.</x:t>
  </x:si>
  <x:si>
    <x:t xml:space="preserve">The existing Sprint 4 automated test simulated an unavailable text AI provider and confirmed the deterministic Career Readiness response stayed available and unchanged.</x:t>
  </x:si>
  <x:si>
    <x:t xml:space="preserve">S4-EV-GAP-005</x:t>
  </x:si>
  <x:si>
    <x:t xml:space="preserve">Automated regression test passed. Evidence: S4-GAP-05_Readiness_Independent_of_Text_AI_Provider_PASS.png</x:t>
  </x:si>
  <x:si>
    <x:t xml:space="preserve">S4-LEARN-01</x:t>
  </x:si>
  <x:si>
    <x:t xml:space="preserve">FR-11</x:t>
  </x:si>
  <x:si>
    <x:t xml:space="preserve">Load ranked Learning Resources</x:t>
  </x:si>
  <x:si>
    <x:t xml:space="preserve">Authenticated Student and selected Career</x:t>
  </x:si>
  <x:si>
    <x:t xml:space="preserve">Open Learning Resources.</x:t>
  </x:si>
  <x:si>
    <x:t xml:space="preserve">Ranked resources load for unresolved skill gaps.</x:t>
  </x:si>
  <x:si>
    <x:t xml:space="preserve">Learning Resources loaded 16 unresolved learning needs and 6 ranked recommended resources for the top gap (Judgment and Decision Making), each with "Why this fits you".</x:t>
  </x:si>
  <x:si>
    <x:t xml:space="preserve">S4-EV-LEARN-01</x:t>
  </x:si>
  <x:si>
    <x:t xml:space="preserve">Verified manually in Edge. Evidence: S4-LEARN-01.png</x:t>
  </x:si>
  <x:si>
    <x:t xml:space="preserve">S4-LEARN-02</x:t>
  </x:si>
  <x:si>
    <x:t xml:space="preserve">Learning Resources match selected Career context</x:t>
  </x:si>
  <x:si>
    <x:t xml:space="preserve">Multiple Careers available</x:t>
  </x:si>
  <x:si>
    <x:t xml:space="preserve">Change selected Career and reload resources.</x:t>
  </x:si>
  <x:si>
    <x:t xml:space="preserve">Resources reflect the active selected Career context.</x:t>
  </x:si>
  <x:si>
    <x:t xml:space="preserve">Changing the selected Career to Data Analyst reloaded learning needs and resources for Data Analyst (focus Reading Comprehension; explanations reference the Data Analyst role).</x:t>
  </x:si>
  <x:si>
    <x:t xml:space="preserve">S4-EV-LEARN-02</x:t>
  </x:si>
  <x:si>
    <x:t xml:space="preserve">Career switched back to Software Engineer after test. Evidence: S4-LEARN-02.png</x:t>
  </x:si>
  <x:si>
    <x:t xml:space="preserve">S4-LEARN-03</x:t>
  </x:si>
  <x:si>
    <x:t xml:space="preserve">Learning Resource feedback action</x:t>
  </x:si>
  <x:si>
    <x:t xml:space="preserve">Feedback action is available</x:t>
  </x:si>
  <x:si>
    <x:t xml:space="preserve">Submit an approved Helpful or Not Useful action.</x:t>
  </x:si>
  <x:si>
    <x:t xml:space="preserve">Feedback request is handled without breaking the resource list.</x:t>
  </x:si>
  <x:si>
    <x:t xml:space="preserve">Helpful and Not Helpful feedback actions were handled successfully, and the learning resource recommendation list remained available and returned ranked resources.</x:t>
  </x:si>
  <x:si>
    <x:t xml:space="preserve">S4-LEARN-03-EV-01</x:t>
  </x:si>
  <x:si>
    <x:t xml:space="preserve">Verified with targeted feedback and learning-resource regression tests. Feedback endpoint accepted Helpful and Not Helpful actions, and the resource recommendation test confirmed ranked resources remained available. Both tests passed.</x:t>
  </x:si>
  <x:si>
    <x:t xml:space="preserve">S4-LEARN-04</x:t>
  </x:si>
  <x:si>
    <x:t xml:space="preserve">Learning Resource issue report action</x:t>
  </x:si>
  <x:si>
    <x:t xml:space="preserve">Issue-report action is available</x:t>
  </x:si>
  <x:si>
    <x:t xml:space="preserve">Submit an approved report action.</x:t>
  </x:si>
  <x:si>
    <x:t xml:space="preserve">Report is handled through the approved backend flow.</x:t>
  </x:si>
  <x:si>
    <x:t xml:space="preserve">Learning Resource issue report was successfully submitted through the approved backend flow. The report was created with open review status and the reported resource remained active.</x:t>
  </x:si>
  <x:si>
    <x:t xml:space="preserve">S4-LEARN-04-EV-01</x:t>
  </x:si>
  <x:si>
    <x:t xml:space="preserve">Verified using Sprint3LearningRoadmapAPITests.test_report_endpoint_creates_review_record; targeted test passed 1/1. Backend returned HTTP 201, created an open review record, and preserved the resource as active.</x:t>
  </x:si>
  <x:si>
    <x:t xml:space="preserve">S4-ROAD-01</x:t>
  </x:si>
  <x:si>
    <x:t xml:space="preserve">FR-12</x:t>
  </x:si>
  <x:si>
    <x:t xml:space="preserve">Load Career Roadmap</x:t>
  </x:si>
  <x:si>
    <x:t xml:space="preserve">Open Career Roadmap.</x:t>
  </x:si>
  <x:si>
    <x:t xml:space="preserve">Ordered roadmap steps load for the selected Career.</x:t>
  </x:si>
  <x:si>
    <x:t xml:space="preserve">Career Roadmap loaded 16 ordered steps for Software Engineer, starting with Step 01 Judgment and Decision Making, with readiness 15% and progress summary.</x:t>
  </x:si>
  <x:si>
    <x:t xml:space="preserve">S4-EV-ROAD-01</x:t>
  </x:si>
  <x:si>
    <x:t xml:space="preserve">Verified manually in Edge. Evidence: S4-ROAD-01.png</x:t>
  </x:si>
  <x:si>
    <x:t xml:space="preserve">S4-ROAD-02</x:t>
  </x:si>
  <x:si>
    <x:t xml:space="preserve">Start roadmap step</x:t>
  </x:si>
  <x:si>
    <x:t xml:space="preserve">Roadmap step is available</x:t>
  </x:si>
  <x:si>
    <x:t xml:space="preserve">Start an eligible roadmap step.</x:t>
  </x:si>
  <x:si>
    <x:t xml:space="preserve">Progress state updates for the authenticated Student.</x:t>
  </x:si>
  <x:si>
    <x:t xml:space="preserve">Authenticated Student successfully started an eligible roadmap step. The backend returned HTTP 200 and updated the progress state to in_progress.</x:t>
  </x:si>
  <x:si>
    <x:t xml:space="preserve">S4-ROAD-02-EV-01</x:t>
  </x:si>
  <x:si>
    <x:t xml:space="preserve">Verified using Sprint3LearningRoadmapAPITests.test_start_and_complete_progress; targeted test passed 1/1. Start action updated the roadmap progress to in_progress and persisted the Student's progress record.</x:t>
  </x:si>
  <x:si>
    <x:t xml:space="preserve">S4-ROAD-03</x:t>
  </x:si>
  <x:si>
    <x:t xml:space="preserve">Mark roadmap step complete</x:t>
  </x:si>
  <x:si>
    <x:t xml:space="preserve">Started roadmap step exists</x:t>
  </x:si>
  <x:si>
    <x:t xml:space="preserve">Mark the step complete.</x:t>
  </x:si>
  <x:si>
    <x:t xml:space="preserve">Completion persists and progress updates.</x:t>
  </x:si>
  <x:si>
    <x:t xml:space="preserve">Started roadmap step was successfully marked complete. The backend returned HTTP 200, updated the progress state to completed, and persisted the progress record.</x:t>
  </x:si>
  <x:si>
    <x:t xml:space="preserve">Verified by the same targeted start-and-complete regression execution used for S4-ROAD-02: Sprint3LearningRoadmapAPITests.test_start_and_complete_progress passed 1/1. The started step transitioned from in_progress to completed and the RoadmapProgress record persisted.</x:t>
  </x:si>
  <x:si>
    <x:t xml:space="preserve">S4-ROAD-04</x:t>
  </x:si>
  <x:si>
    <x:t xml:space="preserve">Roadmap guidance remains Student-owned</x:t>
  </x:si>
  <x:si>
    <x:t xml:space="preserve">Two Students have roadmap data</x:t>
  </x:si>
  <x:si>
    <x:t xml:space="preserve">Attempt cross-student roadmap access.</x:t>
  </x:si>
  <x:si>
    <x:t xml:space="preserve">Backend maintained Student-owned roadmap progress isolation. A second authenticated Student could not access or modify the first Student's roadmap progress, and each Student's roadmap state remained profile-specific.</x:t>
  </x:si>
  <x:si>
    <x:t xml:space="preserve">Verified using Sprint3LearningRoadmapAPITests.test_roadmap_student_progress_isolation; targeted test passed 1/1. Two authenticated Students remained isolated and Student B's roadmap operations did not alter Student A's persisted RoadmapProgress.</x:t>
  </x:si>
  <x:si>
    <x:t xml:space="preserve">S4-JOB-01</x:t>
  </x:si>
  <x:si>
    <x:t xml:space="preserve">7.5,7.9</x:t>
  </x:si>
  <x:si>
    <x:t xml:space="preserve">FR-07</x:t>
  </x:si>
  <x:si>
    <x:t xml:space="preserve">Open protected Job Matching page</x:t>
  </x:si>
  <x:si>
    <x:t xml:space="preserve">Navigate to Job Matching.</x:t>
  </x:si>
  <x:si>
    <x:t xml:space="preserve">Job Matching page loads for the authenticated Student.</x:t>
  </x:si>
  <x:si>
    <x:t xml:space="preserve">Protected Job Matching page loaded for the authenticated Student with the job description input.</x:t>
  </x:si>
  <x:si>
    <x:t xml:space="preserve">S4-EV-JOB-01</x:t>
  </x:si>
  <x:si>
    <x:t xml:space="preserve">Verified manually in Edge. Evidence: S4-JOB-01.png</x:t>
  </x:si>
  <x:si>
    <x:t xml:space="preserve">S4-JOB-02</x:t>
  </x:si>
  <x:si>
    <x:t xml:space="preserve">7.2,7.5,7.9</x:t>
  </x:si>
  <x:si>
    <x:t xml:space="preserve">Submit valid job description</x:t>
  </x:si>
  <x:si>
    <x:t xml:space="preserve">Authenticated Student with Skills</x:t>
  </x:si>
  <x:si>
    <x:t xml:space="preserve">Paste a valid job description and submit.</x:t>
  </x:si>
  <x:si>
    <x:t xml:space="preserve">Structured matched and missing requirement result is displayed.</x:t>
  </x:si>
  <x:si>
    <x:t xml:space="preserve">A valid job description containing React, Python, Docker, and Kubernetes was submitted. GradNavi recognised all four requirements. React and Python appeared as matched Student Profile skills. Docker and Kubernetes appeared as recognised requirements absent from the Student Profile.</x:t>
  </x:si>
  <x:si>
    <x:t xml:space="preserve">S4-EV-JOB-002</x:t>
  </x:si>
  <x:si>
    <x:t xml:space="preserve">Verified through Job Matching UI. Evidence: S4-JOB-02_Valid_Job_Description_Matched_Missing_Requirements_PASS.png</x:t>
  </x:si>
  <x:si>
    <x:t xml:space="preserve">S4-JOB-03</x:t>
  </x:si>
  <x:si>
    <x:t xml:space="preserve">Reject blank job description</x:t>
  </x:si>
  <x:si>
    <x:t xml:space="preserve">Submit blank job-description input.</x:t>
  </x:si>
  <x:si>
    <x:t xml:space="preserve">Validation prevents the request or API rejects the blank value.</x:t>
  </x:si>
  <x:si>
    <x:t xml:space="preserve">The Job Matching page was opened with an empty job-description field. The field showed 0 / 20,000 characters and the Analyze Job action was disabled, preventing submission of blank input.</x:t>
  </x:si>
  <x:si>
    <x:t xml:space="preserve">S4-EV-JOB-003</x:t>
  </x:si>
  <x:si>
    <x:t xml:space="preserve">Frontend validation verified manually. Evidence: S4-JOB-03_Blank_Job_Description_Validation_PASS.png</x:t>
  </x:si>
  <x:si>
    <x:t xml:space="preserve">S4-JOB-04</x:t>
  </x:si>
  <x:si>
    <x:t xml:space="preserve">Reject oversized job description</x:t>
  </x:si>
  <x:si>
    <x:t xml:space="preserve">Submit text above the approved 20,000-character limit.</x:t>
  </x:si>
  <x:si>
    <x:t xml:space="preserve">Oversized input is rejected with controlled validation.</x:t>
  </x:si>
  <x:si>
    <x:t xml:space="preserve">A 20,001-character job description exceeded the approved 20,000-character limit. The interface displayed 1 over limit and disabled Analyze Job, preventing submission.</x:t>
  </x:si>
  <x:si>
    <x:t xml:space="preserve">S4-EV-JOB-004</x:t>
  </x:si>
  <x:si>
    <x:t xml:space="preserve">Frontend oversized-input validation verified manually. Evidence: S4-JOB-04_Oversized_Job_Description_Validation_PASS.png</x:t>
  </x:si>
  <x:si>
    <x:t xml:space="preserve">S4-JOB-05</x:t>
  </x:si>
  <x:si>
    <x:t xml:space="preserve">Display matched requirements</x:t>
  </x:si>
  <x:si>
    <x:t xml:space="preserve">Job description contains known Student Skills</x:t>
  </x:si>
  <x:si>
    <x:t xml:space="preserve">Submit job description.</x:t>
  </x:si>
  <x:si>
    <x:t xml:space="preserve">Known requirements appear in the matched section.</x:t>
  </x:si>
  <x:si>
    <x:t xml:space="preserve">Submitted test job description. 5 of 9 recognised requirements matched profile: Python, JavaScript, React, GitHub, Critical Thinking.</x:t>
  </x:si>
  <x:si>
    <x:t xml:space="preserve">S4-EV-JOB-05</x:t>
  </x:si>
  <x:si>
    <x:t xml:space="preserve">Observation (Low): "SQL" not matched because profile holds "Microsoft SQL Server" (separate canonical skill) - expected behaviour. Evidence: S4-JOB-05.png</x:t>
  </x:si>
  <x:si>
    <x:t xml:space="preserve">S4-JOB-06</x:t>
  </x:si>
  <x:si>
    <x:t xml:space="preserve">Display missing requirements</x:t>
  </x:si>
  <x:si>
    <x:t xml:space="preserve">Job description contains recognised Skills absent from profile</x:t>
  </x:si>
  <x:si>
    <x:t xml:space="preserve">Recognised absent requirements appear in the missing section.</x:t>
  </x:si>
  <x:si>
    <x:t xml:space="preserve">Recognised requirements absent from profile listed under Not listed in your profile: SQL, Docker, Kubernetes, web services.</x:t>
  </x:si>
  <x:si>
    <x:t xml:space="preserve">S4-EV-JOB-06</x:t>
  </x:si>
  <x:si>
    <x:t xml:space="preserve">Observation (Low): "Amazon Web Services" in the job description was recognised as "web services". Evidence: S4-JOB-06.png</x:t>
  </x:si>
  <x:si>
    <x:t xml:space="preserve">S4-JOB-07</x:t>
  </x:si>
  <x:si>
    <x:t xml:space="preserve">7.2,7.9</x:t>
  </x:si>
  <x:si>
    <x:t xml:space="preserve">Canonical skill matching</x:t>
  </x:si>
  <x:si>
    <x:t xml:space="preserve">Canonical Skill name appears in job description</x:t>
  </x:si>
  <x:si>
    <x:t xml:space="preserve">Canonical Skill is recognised correctly.</x:t>
  </x:si>
  <x:si>
    <x:t xml:space="preserve">A job description containing the canonical Skill name React was submitted. GradNavi recognised React, resolved the requirement directly to the canonical React Skill, identified the match source as Canonical match, and matched it against the authenticated Student Profile.</x:t>
  </x:si>
  <x:si>
    <x:t xml:space="preserve">S4-EV-JOB-007</x:t>
  </x:si>
  <x:si>
    <x:t xml:space="preserve">Verified through Job Matching UI. Evidence: S4-JOB-07_Canonical_Skill_Matching_React_PASS.png</x:t>
  </x:si>
  <x:si>
    <x:t xml:space="preserve">S4-JOB-08</x:t>
  </x:si>
  <x:si>
    <x:t xml:space="preserve">Skill alias matching</x:t>
  </x:si>
  <x:si>
    <x:t xml:space="preserve">Approved SkillAlias appears in job description</x:t>
  </x:si>
  <x:si>
    <x:t xml:space="preserve">Alias resolves to the canonical Skill.</x:t>
  </x:si>
  <x:si>
    <x:t xml:space="preserve">The existing Sprint 4 automated test submitted the approved SkillAlias "Py". GradNavi resolved the alias to the canonical Python Skill and identified the match source as alias.</x:t>
  </x:si>
  <x:si>
    <x:t xml:space="preserve">S4-EV-JOB-008</x:t>
  </x:si>
  <x:si>
    <x:t xml:space="preserve">Automated backend test passed. Evidence: S4-JOB-08_Skill_Alias_Matching_Py_to_Python_PASS.png</x:t>
  </x:si>
  <x:si>
    <x:t xml:space="preserve">S4-JOB-09</x:t>
  </x:si>
  <x:si>
    <x:t xml:space="preserve">Avoid unsupported synonym guessing</x:t>
  </x:si>
  <x:si>
    <x:t xml:space="preserve">Job description uses unsupported related wording</x:t>
  </x:si>
  <x:si>
    <x:t xml:space="preserve">Unsupported wording is not silently mapped to a different Skill.</x:t>
  </x:si>
  <x:si>
    <x:t xml:space="preserve">The existing Sprint 4 automated test submitted unsupported generic terms including testing, APIs, software development, problem solving, and communication. GradNavi returned no guessed Skill requirements.</x:t>
  </x:si>
  <x:si>
    <x:t xml:space="preserve">S4-EV-JOB-009</x:t>
  </x:si>
  <x:si>
    <x:t xml:space="preserve">Automated backend test passed. Evidence: S4-JOB-09_Unsupported_Synonym_Guessing_Not_Guessed_PASS.png</x:t>
  </x:si>
  <x:si>
    <x:t xml:space="preserve">S4-JOB-10</x:t>
  </x:si>
  <x:si>
    <x:t xml:space="preserve">Avoid generic Design false positive</x:t>
  </x:si>
  <x:si>
    <x:t xml:space="preserve">Job description contains generic design wording without approved context</x:t>
  </x:si>
  <x:si>
    <x:t xml:space="preserve">Generic wording does not incorrectly map to the canonical Design concept.</x:t>
  </x:si>
  <x:si>
    <x:t xml:space="preserve">The existing Sprint 4 automated test used generic design wording without approved requirement context. GradNavi did not incorrectly resolve the wording to the canonical Design concept.</x:t>
  </x:si>
  <x:si>
    <x:t xml:space="preserve">S4-EV-JOB-010</x:t>
  </x:si>
  <x:si>
    <x:t xml:space="preserve">Automated backend test passed. Evidence: S4-JOB-10_Generic_Design_False_Positive_Avoided_PASS.png</x:t>
  </x:si>
  <x:si>
    <x:t xml:space="preserve">S4-JOB-11</x:t>
  </x:si>
  <x:si>
    <x:t xml:space="preserve">Do not expose suitability score</x:t>
  </x:si>
  <x:si>
    <x:t xml:space="preserve">Valid job match result exists</x:t>
  </x:si>
  <x:si>
    <x:t xml:space="preserve">Inspect result UI and API response.</x:t>
  </x:si>
  <x:si>
    <x:t xml:space="preserve">No hiring probability or employment suitability score is presented.</x:t>
  </x:si>
  <x:si>
    <x:t xml:space="preserve">The Job Matching API response contract test passed. The approved response contains structured matched and missing requirement data and does not expose a hiring probability or employment suitability score. The Job Matching UI also states the result is not an employment suitability score.</x:t>
  </x:si>
  <x:si>
    <x:t xml:space="preserve">S4-EV-JOB-011</x:t>
  </x:si>
  <x:si>
    <x:t xml:space="preserve">API contract and existing UI evidence verified. Evidence: S4-JOB-11_No_Suitability_Score_API_Contract_PASS.png; S4-JOB-02_Valid_Job_Description_Matched_Missing_Requirements_PASS.png</x:t>
  </x:si>
  <x:si>
    <x:t xml:space="preserve">S4-JOB-12</x:t>
  </x:si>
  <x:si>
    <x:t xml:space="preserve">Reject client ownership override</x:t>
  </x:si>
  <x:si>
    <x:t xml:space="preserve">Add unsupported ownership identifiers to the request.</x:t>
  </x:si>
  <x:si>
    <x:t xml:space="preserve">Request is rejected or ownership fields are ignored according to the approved contract.</x:t>
  </x:si>
  <x:si>
    <x:t xml:space="preserve">The Sprint 4 API test submitted a valid job description with an unsupported student_profile_id ownership field. The backend rejected the unsupported field with validation rather than accepting a client ownership override.</x:t>
  </x:si>
  <x:si>
    <x:t xml:space="preserve">S4-EV-JOB-012</x:t>
  </x:si>
  <x:si>
    <x:t xml:space="preserve">Automated backend ownership-contract test passed. Evidence: S4-JOB-12_Reject_Client_Ownership_Override_PASS.png</x:t>
  </x:si>
  <x:si>
    <x:t xml:space="preserve">S4-JOB-13</x:t>
  </x:si>
  <x:si>
    <x:t xml:space="preserve">Job Matching is stateless for profile</x:t>
  </x:si>
  <x:si>
    <x:t xml:space="preserve">Valid job description</x:t>
  </x:si>
  <x:si>
    <x:t xml:space="preserve">Run job match then reload Student Profile.</x:t>
  </x:si>
  <x:si>
    <x:t xml:space="preserve">Student Profile is not mutated by the job-match operation.</x:t>
  </x:si>
  <x:si>
    <x:t xml:space="preserve">Multiple Job Matching operations were completed and the Student Profile was reloaded. The profile retained the original six Skills, three Career Goals with Software Engineer as Primary, and four Interests. Job Matching did not mutate the Student Profile.</x:t>
  </x:si>
  <x:si>
    <x:t xml:space="preserve">S4-EV-JOB-013</x:t>
  </x:si>
  <x:si>
    <x:t xml:space="preserve">Evidence: S4-JOB-13_Job_Matching_Does_Not_Mutate_Profile_PASS.png</x:t>
  </x:si>
  <x:si>
    <x:t xml:space="preserve">S4-JOB-14</x:t>
  </x:si>
  <x:si>
    <x:t xml:space="preserve">Handoff job description to Resume Builder</x:t>
  </x:si>
  <x:si>
    <x:t xml:space="preserve">Job Matching result exists</x:t>
  </x:si>
  <x:si>
    <x:t xml:space="preserve">Use Resume Builder next-step action.</x:t>
  </x:si>
  <x:si>
    <x:t xml:space="preserve">Resume Builder receives the current job description context where supported.</x:t>
  </x:si>
  <x:si>
    <x:t xml:space="preserve">Resume Builder next-step action from Job Matching results opened Resume Builder with the current job description pre-filled.</x:t>
  </x:si>
  <x:si>
    <x:t xml:space="preserve">S4-EV-JOB-14</x:t>
  </x:si>
  <x:si>
    <x:t xml:space="preserve">Handoff must be triggered from the results action, not the sidebar. Evidence: S4-JOB-14.png</x:t>
  </x:si>
  <x:si>
    <x:t xml:space="preserve">S4-JOB-15</x:t>
  </x:si>
  <x:si>
    <x:t xml:space="preserve">Handoff job description to Cover Letter Builder</x:t>
  </x:si>
  <x:si>
    <x:t xml:space="preserve">Use Cover Letter Builder next-step action.</x:t>
  </x:si>
  <x:si>
    <x:t xml:space="preserve">Cover Letter Builder receives the current job description context.</x:t>
  </x:si>
  <x:si>
    <x:t xml:space="preserve">Cover Letter Builder next-step action from Job Matching results opened Cover Letter Builder with the current job description pre-filled.</x:t>
  </x:si>
  <x:si>
    <x:t xml:space="preserve">S4-EV-JOB-15</x:t>
  </x:si>
  <x:si>
    <x:t xml:space="preserve">Verified manually in Edge. Evidence: S4-JOB-15.png</x:t>
  </x:si>
  <x:si>
    <x:t xml:space="preserve">S4-RESUME-01</x:t>
  </x:si>
  <x:si>
    <x:t xml:space="preserve">FR-08</x:t>
  </x:si>
  <x:si>
    <x:t xml:space="preserve">Open protected Resume Builder</x:t>
  </x:si>
  <x:si>
    <x:t xml:space="preserve">Navigate to Resume Builder.</x:t>
  </x:si>
  <x:si>
    <x:t xml:space="preserve">Protected Resume Builder loads.</x:t>
  </x:si>
  <x:si>
    <x:t xml:space="preserve">Protected Resume Builder loaded for the authenticated Student.</x:t>
  </x:si>
  <x:si>
    <x:t xml:space="preserve">S4-EV-RESUME-01</x:t>
  </x:si>
  <x:si>
    <x:t xml:space="preserve">Verified manually in Edge. Evidence: S4-RESUME-01.png</x:t>
  </x:si>
  <x:si>
    <x:t xml:space="preserve">S4-RESUME-02</x:t>
  </x:si>
  <x:si>
    <x:t xml:space="preserve">7.3,7.9</x:t>
  </x:si>
  <x:si>
    <x:t xml:space="preserve">Generate Resume from approved profile context</x:t>
  </x:si>
  <x:si>
    <x:t xml:space="preserve">Authenticated Student with approved Resume context</x:t>
  </x:si>
  <x:si>
    <x:t xml:space="preserve">Generate a Resume draft.</x:t>
  </x:si>
  <x:si>
    <x:t xml:space="preserve">Structured Resume draft is returned through the backend provider path.</x:t>
  </x:si>
  <x:si>
    <x:t xml:space="preserve">Authenticated Student successfully generated a structured Resume draft through the backend provider path. The API returned HTTP 200 with the expected structured resume_draft response.</x:t>
  </x:si>
  <x:si>
    <x:t xml:space="preserve">S4-RESUME-02-EV-01</x:t>
  </x:si>
  <x:si>
    <x:t xml:space="preserve">Verified using ResumeGenerationAPITests.test_success_returns_structured_resume_draft; targeted test passed 1/1. The external provider was replaced with the test provider, so no live OpenAI API key was required. Structured Resume fields and draft/review flags were validated.</x:t>
  </x:si>
  <x:si>
    <x:t xml:space="preserve">S4-RESUME-03</x:t>
  </x:si>
  <x:si>
    <x:t xml:space="preserve">Resume draft remains editable</x:t>
  </x:si>
  <x:si>
    <x:t xml:space="preserve">Generated Resume exists</x:t>
  </x:si>
  <x:si>
    <x:t xml:space="preserve">Edit generated Resume content.</x:t>
  </x:si>
  <x:si>
    <x:t xml:space="preserve">Student edits are accepted in the UI.</x:t>
  </x:si>
  <x:si>
    <x:t xml:space="preserve">Generated resume draft was editable. Professional Summary edited (added "Motivated") and the change was retained.</x:t>
  </x:si>
  <x:si>
    <x:t xml:space="preserve">S4-EV-RESUME-03</x:t>
  </x:si>
  <x:si>
    <x:t xml:space="preserve">Verified manually in Edge. Evidence: S4-RESUME-03.png</x:t>
  </x:si>
  <x:si>
    <x:t xml:space="preserve">S4-RESUME-04</x:t>
  </x:si>
  <x:si>
    <x:t xml:space="preserve">Resume output requires user review</x:t>
  </x:si>
  <x:si>
    <x:t xml:space="preserve">Inspect generated draft and review messaging.</x:t>
  </x:si>
  <x:si>
    <x:t xml:space="preserve">Draft is presented for user review before use.</x:t>
  </x:si>
  <x:si>
    <x:t xml:space="preserve">Draft presented with "AI-generated draft" badge, "Review and edit the content before using your resume" and Draft limitations panel.</x:t>
  </x:si>
  <x:si>
    <x:t xml:space="preserve">S4-EV-RESUME-04</x:t>
  </x:si>
  <x:si>
    <x:t xml:space="preserve">Observation (Medium): Skills section listed Docker, Kubernetes and Amazon Web Services "(exposure)" which are not in the Student Profile (taken from the job description). Recommend restricting resume skills to profile evidence. Evidence: S4-RESUME-04.png; S4-RESUME-defect-skills.png</x:t>
  </x:si>
  <x:si>
    <x:t xml:space="preserve">S4-RESUME-05</x:t>
  </x:si>
  <x:si>
    <x:t xml:space="preserve">Resume provider failure is controlled</x:t>
  </x:si>
  <x:si>
    <x:t xml:space="preserve">Simulate provider-unavailable condition and generate.</x:t>
  </x:si>
  <x:si>
    <x:t xml:space="preserve">Controlled error is returned without provider internals.</x:t>
  </x:si>
  <x:si>
    <x:t xml:space="preserve">The Sprint 4 Resume API automated test simulated an unavailable AI provider. The API returned the approved HTTP 503 external-service-unavailable response, and Resume generation did not proceed.</x:t>
  </x:si>
  <x:si>
    <x:t xml:space="preserve">S4-EV-RESUME-005</x:t>
  </x:si>
  <x:si>
    <x:t xml:space="preserve">Automated backend test passed. Evidence: S4-RESUME-05_Resume_Provider_Failure_Controlled_PASS.png</x:t>
  </x:si>
  <x:si>
    <x:t xml:space="preserve">S4-RESUME-06</x:t>
  </x:si>
  <x:si>
    <x:t xml:space="preserve">Resume invalid AI response is rejected</x:t>
  </x:si>
  <x:si>
    <x:t xml:space="preserve">Controlled invalid provider response is available</x:t>
  </x:si>
  <x:si>
    <x:t xml:space="preserve">Generate using invalid structured response.</x:t>
  </x:si>
  <x:si>
    <x:t xml:space="preserve">Invalid response is rejected and no invalid draft is accepted.</x:t>
  </x:si>
  <x:si>
    <x:t xml:space="preserve">The Sprint 4 Resume API automated test simulated an AI response-validation failure. The API returned the approved sanitized HTTP 503 external-service-unavailable response and did not expose sensitive provider details, submitted job-description content, or internal OpenAI validation information.</x:t>
  </x:si>
  <x:si>
    <x:t xml:space="preserve">S4-EV-RESUME-006</x:t>
  </x:si>
  <x:si>
    <x:t xml:space="preserve">Automated backend test passed. Evidence: S4-RESUME-06_Invalid_AI_Response_Rejected_PASS.png</x:t>
  </x:si>
  <x:si>
    <x:t xml:space="preserve">S4-RESUME-07</x:t>
  </x:si>
  <x:si>
    <x:t xml:space="preserve">Job Matching handoff reaches Resume Builder</x:t>
  </x:si>
  <x:si>
    <x:t xml:space="preserve">Job Matching page contains a current job description</x:t>
  </x:si>
  <x:si>
    <x:t xml:space="preserve">Navigate to Resume Builder through the Job Matching action.</x:t>
  </x:si>
  <x:si>
    <x:t xml:space="preserve">Expected job-description context is retained where supported.</x:t>
  </x:si>
  <x:si>
    <x:t xml:space="preserve">Job description from Job Matching was retained in Resume Builder after using the next-step action.</x:t>
  </x:si>
  <x:si>
    <x:t xml:space="preserve">S4-EV-RESUME-07</x:t>
  </x:si>
  <x:si>
    <x:t xml:space="preserve">Same flow as S4-JOB-14. Evidence: S4-RESUME-07.png</x:t>
  </x:si>
  <x:si>
    <x:t xml:space="preserve">S4-COVER-01</x:t>
  </x:si>
  <x:si>
    <x:t xml:space="preserve">FR-09</x:t>
  </x:si>
  <x:si>
    <x:t xml:space="preserve">Open protected Cover Letter Builder</x:t>
  </x:si>
  <x:si>
    <x:t xml:space="preserve">Navigate to Cover Letter Builder.</x:t>
  </x:si>
  <x:si>
    <x:t xml:space="preserve">Protected Cover Letter Builder loads.</x:t>
  </x:si>
  <x:si>
    <x:t xml:space="preserve">Protected Cover Letter Builder loaded for the authenticated Student.</x:t>
  </x:si>
  <x:si>
    <x:t xml:space="preserve">S4-EV-COVER-01</x:t>
  </x:si>
  <x:si>
    <x:t xml:space="preserve">Verified manually in Edge. Evidence: S4-COVER-01.png</x:t>
  </x:si>
  <x:si>
    <x:t xml:space="preserve">S4-COVER-02</x:t>
  </x:si>
  <x:si>
    <x:t xml:space="preserve">Require target job description</x:t>
  </x:si>
  <x:si>
    <x:t xml:space="preserve">Attempt generation without required job-description context.</x:t>
  </x:si>
  <x:si>
    <x:t xml:space="preserve">Generation is prevented with controlled validation.</x:t>
  </x:si>
  <x:si>
    <x:t xml:space="preserve">Cover Letter generation without the required target job description was prevented by controlled backend validation for the authenticated Student.</x:t>
  </x:si>
  <x:si>
    <x:t xml:space="preserve">S4-COVER-02-EV-01</x:t>
  </x:si>
  <x:si>
    <x:t xml:space="preserve">Verified using CoverLetterGenerationAPITests.test_request_requires_job_description; targeted test passed 1/1. The API enforced the required job_description field and prevented generation when the required context was missing.</x:t>
  </x:si>
  <x:si>
    <x:t xml:space="preserve">S4-COVER-03</x:t>
  </x:si>
  <x:si>
    <x:t xml:space="preserve">Generate Cover Letter from profile and job context</x:t>
  </x:si>
  <x:si>
    <x:t xml:space="preserve">Authenticated Student with approved profile and job description</x:t>
  </x:si>
  <x:si>
    <x:t xml:space="preserve">Generate a Cover Letter draft.</x:t>
  </x:si>
  <x:si>
    <x:t xml:space="preserve">Structured Cover Letter draft is returned.</x:t>
  </x:si>
  <x:si>
    <x:t xml:space="preserve">Authenticated Student successfully generated a structured Cover Letter draft using the approved profile and target job-description context. The API returned HTTP 200 with the expected structured Cover Letter response.</x:t>
  </x:si>
  <x:si>
    <x:t xml:space="preserve">S4-COVER-03-EV-01</x:t>
  </x:si>
  <x:si>
    <x:t xml:space="preserve">Verified using CoverLetterGenerationAPITests.test_success_returns_structured_cover_letter_draft; targeted test passed 1/1. Structured Cover Letter generation was validated through the backend API using the test provider, so no live OpenAI API key was required.</x:t>
  </x:si>
  <x:si>
    <x:t xml:space="preserve">S4-COVER-04</x:t>
  </x:si>
  <x:si>
    <x:t xml:space="preserve">Cover Letter draft remains editable</x:t>
  </x:si>
  <x:si>
    <x:t xml:space="preserve">Generated Cover Letter exists</x:t>
  </x:si>
  <x:si>
    <x:t xml:space="preserve">Edit generated Cover Letter content.</x:t>
  </x:si>
  <x:si>
    <x:t xml:space="preserve">Generated cover letter was editable. Opening section edited (added "MOTIVATED") and the change was retained.</x:t>
  </x:si>
  <x:si>
    <x:t xml:space="preserve">S4-EV-COVER-04</x:t>
  </x:si>
  <x:si>
    <x:t xml:space="preserve">Verified manually in Edge. Evidence: S4-COVER-04.png</x:t>
  </x:si>
  <x:si>
    <x:t xml:space="preserve">S4-COVER-05</x:t>
  </x:si>
  <x:si>
    <x:t xml:space="preserve">Cover Letter output requires user review</x:t>
  </x:si>
  <x:si>
    <x:t xml:space="preserve">Draft presented with "AI-generated draft" badge, "Review names, facts, experience details, and tone before use", Matched profile facts and Review carefully (unsupported claims) panels.</x:t>
  </x:si>
  <x:si>
    <x:t xml:space="preserve">S4-EV-COVER-05</x:t>
  </x:si>
  <x:si>
    <x:t xml:space="preserve">Letter correctly framed Docker/Kubernetes/AWS as areas to grow, not as existing skills. Evidence: S4-COVER-05.png</x:t>
  </x:si>
  <x:si>
    <x:t xml:space="preserve">S4-COVER-06</x:t>
  </x:si>
  <x:si>
    <x:t xml:space="preserve">Cover Letter provider failure is controlled</x:t>
  </x:si>
  <x:si>
    <x:t xml:space="preserve">The Sprint 4 Cover Letter API automated test simulated an unavailable AI provider. The API returned the approved controlled service-unavailable response and prevented Cover Letter generation.</x:t>
  </x:si>
  <x:si>
    <x:t xml:space="preserve">S4-EV-COVER-006</x:t>
  </x:si>
  <x:si>
    <x:t xml:space="preserve">Automated backend test passed. Evidence: S4-COVER-06_Cover_Letter_Provider_Failure_Controlled_PASS.png</x:t>
  </x:si>
  <x:si>
    <x:t xml:space="preserve">S4-COVER-07</x:t>
  </x:si>
  <x:si>
    <x:t xml:space="preserve">Job Matching handoff reaches Cover Letter Builder</x:t>
  </x:si>
  <x:si>
    <x:t xml:space="preserve">Navigate through the Cover Letter next-step action.</x:t>
  </x:si>
  <x:si>
    <x:t xml:space="preserve">Current job-description context is carried into the builder.</x:t>
  </x:si>
  <x:si>
    <x:t xml:space="preserve">Job description from Job Matching was carried into Cover Letter Builder via the next-step action.</x:t>
  </x:si>
  <x:si>
    <x:t xml:space="preserve">S4-EV-COVER-07</x:t>
  </x:si>
  <x:si>
    <x:t xml:space="preserve">Same flow as S4-JOB-15. Evidence: S4-COVER-07.png</x:t>
  </x:si>
  <x:si>
    <x:t xml:space="preserve">S4-INT-01</x:t>
  </x:si>
  <x:si>
    <x:t xml:space="preserve">FR-10</x:t>
  </x:si>
  <x:si>
    <x:t xml:space="preserve">Open protected Interview Preparation page</x:t>
  </x:si>
  <x:si>
    <x:t xml:space="preserve">Navigate to Interview Preparation.</x:t>
  </x:si>
  <x:si>
    <x:t xml:space="preserve">Protected Interview page loads.</x:t>
  </x:si>
  <x:si>
    <x:t xml:space="preserve">Protected Interview Preparation page loaded with an active Software Engineer practice session.</x:t>
  </x:si>
  <x:si>
    <x:t xml:space="preserve">S4-EV-INT-01</x:t>
  </x:si>
  <x:si>
    <x:t xml:space="preserve">Verified manually in Edge. Evidence: S4-INT-01.png</x:t>
  </x:si>
  <x:si>
    <x:t xml:space="preserve">S4-INT-02</x:t>
  </x:si>
  <x:si>
    <x:t xml:space="preserve">Generate valid Interview Questions</x:t>
  </x:si>
  <x:si>
    <x:t xml:space="preserve">Authenticated Student and valid target role</x:t>
  </x:si>
  <x:si>
    <x:t xml:space="preserve">Request an approved question count.</x:t>
  </x:si>
  <x:si>
    <x:t xml:space="preserve">Structured Interview Questions are returned.</x:t>
  </x:si>
  <x:si>
    <x:t xml:space="preserve">An authenticated request for five Software Engineer interview questions returned HTTP 200 OK. GradNavi returned a structured question set containing five role-relevant questions with focus areas based on the supplied job description.</x:t>
  </x:si>
  <x:si>
    <x:t xml:space="preserve">S4-EV-INT-002</x:t>
  </x:si>
  <x:si>
    <x:t xml:space="preserve">Verified manually in Postman. Evidence: S4-INT-02_Generate_Valid_Interview_Questions_PASS.png</x:t>
  </x:si>
  <x:si>
    <x:t xml:space="preserve">S4-INT-03</x:t>
  </x:si>
  <x:si>
    <x:t xml:space="preserve">Reject invalid question count below range</x:t>
  </x:si>
  <x:si>
    <x:t xml:space="preserve">Request a count below the allowed minimum.</x:t>
  </x:si>
  <x:si>
    <x:t xml:space="preserve">Validation rejects the request.</x:t>
  </x:si>
  <x:si>
    <x:t xml:space="preserve">An authenticated Interview Questions request with question_count set to 0 returned HTTP 400 Bad Request. GradNavi returned the controlled validation_error response and identified question_count as requiring a value of at least 1.</x:t>
  </x:si>
  <x:si>
    <x:t xml:space="preserve">S4-EV-INT-003</x:t>
  </x:si>
  <x:si>
    <x:t xml:space="preserve">Verified manually in Postman. Evidence: S4-INT-03_Reject_Question_Count_Below_Range_PASS.png</x:t>
  </x:si>
  <x:si>
    <x:t xml:space="preserve">S4-INT-04</x:t>
  </x:si>
  <x:si>
    <x:t xml:space="preserve">Reject invalid question count above range</x:t>
  </x:si>
  <x:si>
    <x:t xml:space="preserve">Request a count above the allowed maximum.</x:t>
  </x:si>
  <x:si>
    <x:t xml:space="preserve">An authenticated Interview Questions request with question_count set to 11 returned HTTP 400 Bad Request. GradNavi returned the controlled validation_error response and identified question_count as exceeding the maximum value of 10.</x:t>
  </x:si>
  <x:si>
    <x:t xml:space="preserve">S4-EV-INT-004</x:t>
  </x:si>
  <x:si>
    <x:t xml:space="preserve">Verified manually in Postman. Evidence: S4-INT-04_Reject_Question_Count_Above_Range_PASS.png</x:t>
  </x:si>
  <x:si>
    <x:t xml:space="preserve">S4-INT-05</x:t>
  </x:si>
  <x:si>
    <x:t xml:space="preserve">Render returned Interview Questions</x:t>
  </x:si>
  <x:si>
    <x:t xml:space="preserve">Valid question set exists</x:t>
  </x:si>
  <x:si>
    <x:t xml:space="preserve">Inspect Interview page.</x:t>
  </x:si>
  <x:si>
    <x:t xml:space="preserve">Returned questions render correctly.</x:t>
  </x:si>
  <x:si>
    <x:t xml:space="preserve">Five AI-generated questions rendered with question navigator (Question 1 of 5) and current focus.</x:t>
  </x:si>
  <x:si>
    <x:t xml:space="preserve">S4-EV-INT-05</x:t>
  </x:si>
  <x:si>
    <x:t xml:space="preserve">Verified manually in Edge. Evidence: S4-INT-05.png</x:t>
  </x:si>
  <x:si>
    <x:t xml:space="preserve">S4-INT-06</x:t>
  </x:si>
  <x:si>
    <x:t xml:space="preserve">Submit typed Interview answer</x:t>
  </x:si>
  <x:si>
    <x:t xml:space="preserve">Question is selected</x:t>
  </x:si>
  <x:si>
    <x:t xml:space="preserve">Enter an answer and submit for feedback.</x:t>
  </x:si>
  <x:si>
    <x:t xml:space="preserve">Answer is accepted as untrusted user input.</x:t>
  </x:si>
  <x:si>
    <x:t xml:space="preserve">Typed answer submitted via Get Feedback. Answer was accepted and AI feedback returned (What you did well, What to improve, Suggested stronger answer).</x:t>
  </x:si>
  <x:si>
    <x:t xml:space="preserve">S4-EV-INT-06</x:t>
  </x:si>
  <x:si>
    <x:t xml:space="preserve">Feedback states GradNavi does not make hiring decisions or pass/fail outcomes. Evidence: S4-INT-06.png</x:t>
  </x:si>
  <x:si>
    <x:t xml:space="preserve">S4-INT-07</x:t>
  </x:si>
  <x:si>
    <x:t xml:space="preserve">Generate structured Interview Feedback</x:t>
  </x:si>
  <x:si>
    <x:t xml:space="preserve">Valid answer submitted</x:t>
  </x:si>
  <x:si>
    <x:t xml:space="preserve">Request feedback.</x:t>
  </x:si>
  <x:si>
    <x:t xml:space="preserve">Structured strengths and improvement feedback is returned.</x:t>
  </x:si>
  <x:si>
    <x:t xml:space="preserve">An authenticated Interview Feedback request returned HTTP 200 OK. GradNavi returned structured strengths, improvements, and a suggested response based on the submitted interview answer.</x:t>
  </x:si>
  <x:si>
    <x:t xml:space="preserve">S4-EV-INT-007</x:t>
  </x:si>
  <x:si>
    <x:t xml:space="preserve">Verified manually in Postman. Evidence: S4-INT-07_Generate_Structured_Interview_Feedback_PASS.png</x:t>
  </x:si>
  <x:si>
    <x:t xml:space="preserve">S4-INT-08</x:t>
  </x:si>
  <x:si>
    <x:t xml:space="preserve">Reject semantically invalid focus areas</x:t>
  </x:si>
  <x:si>
    <x:t xml:space="preserve">Return duplicate, blank, missing, or extra focus areas.</x:t>
  </x:si>
  <x:si>
    <x:t xml:space="preserve">Semantic validator rejects invalid question set.</x:t>
  </x:si>
  <x:si>
    <x:t xml:space="preserve">The Sprint 4 Interview Questions automated test supplied a semantically invalid AI response with mismatched focus areas. GradNavi rejected the response through the controlled HTTP 502 validation path and prevented sensitive internal details from appearing in the response.</x:t>
  </x:si>
  <x:si>
    <x:t xml:space="preserve">S4-EV-INT-008</x:t>
  </x:si>
  <x:si>
    <x:t xml:space="preserve">Automated backend test passed. Evidence: S4-INT-08_Reject_Semantically_Invalid_Focus_Areas_PASS.png</x:t>
  </x:si>
  <x:si>
    <x:t xml:space="preserve">S4-INT-09</x:t>
  </x:si>
  <x:si>
    <x:t xml:space="preserve">Exclude hiring probability or pass-fail classification</x:t>
  </x:si>
  <x:si>
    <x:t xml:space="preserve">Questions or feedback generated</x:t>
  </x:si>
  <x:si>
    <x:t xml:space="preserve">Inspect returned output.</x:t>
  </x:si>
  <x:si>
    <x:t xml:space="preserve">No hiring probability or pass-fail hiring classification appears.</x:t>
  </x:si>
  <x:si>
    <x:t xml:space="preserve">The Sprint 4 Interview Questions and Interview Feedback response-contract tests both passed. Neither response includes hiring_probability or pass_fail fields, while the approved structured output fields remain available.</x:t>
  </x:si>
  <x:si>
    <x:t xml:space="preserve">S4-EV-INT-009</x:t>
  </x:si>
  <x:si>
    <x:t xml:space="preserve">Two automated backend contract tests passed. Evidence: S4-INT-09_Exclude_Hiring_Probability_Pass_Fail_PASS.png</x:t>
  </x:si>
  <x:si>
    <x:t xml:space="preserve">S4-AI-01</x:t>
  </x:si>
  <x:si>
    <x:t xml:space="preserve">Accept completed AI response</x:t>
  </x:si>
  <x:si>
    <x:t xml:space="preserve">Controlled completed provider response</x:t>
  </x:si>
  <x:si>
    <x:t xml:space="preserve">Invoke approved AI operation.</x:t>
  </x:si>
  <x:si>
    <x:t xml:space="preserve">Completed response proceeds to structured validation.</x:t>
  </x:si>
  <x:si>
    <x:t xml:space="preserve">The Sprint 4 OpenAI text-provider test supplied a completed provider response with valid structured output. GradNavi accepted the response, validated the structured content, and returned the approved output successfully.</x:t>
  </x:si>
  <x:si>
    <x:t xml:space="preserve">S4-EV-AI-CASE-001</x:t>
  </x:si>
  <x:si>
    <x:t xml:space="preserve">Automated provider-validation test passed. Evidence: S4-AI-01_Accept_Completed_AI_Response_PASS.png</x:t>
  </x:si>
  <x:si>
    <x:t xml:space="preserve">S4-AI-02</x:t>
  </x:si>
  <x:si>
    <x:t xml:space="preserve">Reject incomplete AI response</x:t>
  </x:si>
  <x:si>
    <x:t xml:space="preserve">Controlled incomplete provider response</x:t>
  </x:si>
  <x:si>
    <x:t xml:space="preserve">Incomplete response is rejected.</x:t>
  </x:si>
  <x:si>
    <x:t xml:space="preserve">The OpenAI text-provider automated test supplied an incomplete AI response. GradNavi rejected the response through the approved validation layer.</x:t>
  </x:si>
  <x:si>
    <x:t xml:space="preserve">S4-EV-AI-CASE-002</x:t>
  </x:si>
  <x:si>
    <x:t xml:space="preserve">Automated provider-validation test passed. Evidence: S4-AI-02_Reject_Incomplete_AI_Response_PASS.png</x:t>
  </x:si>
  <x:si>
    <x:t xml:space="preserve">S4-AI-03</x:t>
  </x:si>
  <x:si>
    <x:t xml:space="preserve">Reject failed AI response state</x:t>
  </x:si>
  <x:si>
    <x:t xml:space="preserve">Controlled failed provider response</x:t>
  </x:si>
  <x:si>
    <x:t xml:space="preserve">Failed response is rejected.</x:t>
  </x:si>
  <x:si>
    <x:t xml:space="preserve">The OpenAI text-provider validation test supplied a failed response state. GradNavi rejected the response instead of accepting AI output.</x:t>
  </x:si>
  <x:si>
    <x:t xml:space="preserve">S4-EV-AI-CASE-003</x:t>
  </x:si>
  <x:si>
    <x:t xml:space="preserve">Covered by shared non-completed-state automated test. Evidence: S4-AI-03-05_Reject_Non_Completed_AI_Response_States_PASS.png</x:t>
  </x:si>
  <x:si>
    <x:t xml:space="preserve">S4-AI-04</x:t>
  </x:si>
  <x:si>
    <x:t xml:space="preserve">Reject cancelled AI response state</x:t>
  </x:si>
  <x:si>
    <x:t xml:space="preserve">Controlled cancelled provider response</x:t>
  </x:si>
  <x:si>
    <x:t xml:space="preserve">Cancelled response is rejected.</x:t>
  </x:si>
  <x:si>
    <x:t xml:space="preserve">The OpenAI text-provider validation test supplied a cancelled response state. GradNavi rejected the response instead of accepting AI output.</x:t>
  </x:si>
  <x:si>
    <x:t xml:space="preserve">S4-EV-AI-CASE-004</x:t>
  </x:si>
  <x:si>
    <x:t xml:space="preserve">S4-AI-05</x:t>
  </x:si>
  <x:si>
    <x:t xml:space="preserve">Reject queued or in-progress response state</x:t>
  </x:si>
  <x:si>
    <x:t xml:space="preserve">Controlled non-completed response</x:t>
  </x:si>
  <x:si>
    <x:t xml:space="preserve">Non-completed response is rejected.</x:t>
  </x:si>
  <x:si>
    <x:t xml:space="preserve">The OpenAI text-provider validation test supplied queued and in_progress response states. GradNavi rejected both non-completed states.</x:t>
  </x:si>
  <x:si>
    <x:t xml:space="preserve">S4-EV-AI-CASE-005</x:t>
  </x:si>
  <x:si>
    <x:t xml:space="preserve">S4-AI-06</x:t>
  </x:si>
  <x:si>
    <x:t xml:space="preserve">Reject missing AI response status</x:t>
  </x:si>
  <x:si>
    <x:t xml:space="preserve">Controlled response without status</x:t>
  </x:si>
  <x:si>
    <x:t xml:space="preserve">Missing response status is rejected.</x:t>
  </x:si>
  <x:si>
    <x:t xml:space="preserve">The OpenAI text-provider automated test supplied an AI response without a response status. GradNavi rejected the response through the approved validation layer.</x:t>
  </x:si>
  <x:si>
    <x:t xml:space="preserve">S4-EV-AI-CASE-006</x:t>
  </x:si>
  <x:si>
    <x:t xml:space="preserve">Automated provider-validation test passed. Evidence: S4-AI-06_Reject_Missing_AI_Response_Status_PASS.png</x:t>
  </x:si>
  <x:si>
    <x:t xml:space="preserve">S4-AI-07</x:t>
  </x:si>
  <x:si>
    <x:t xml:space="preserve">Reject empty AI output</x:t>
  </x:si>
  <x:si>
    <x:t xml:space="preserve">Controlled completed response with empty output</x:t>
  </x:si>
  <x:si>
    <x:t xml:space="preserve">Empty output is rejected.</x:t>
  </x:si>
  <x:si>
    <x:t xml:space="preserve">The OpenAI text-provider automated test supplied a completed AI response with empty output. GradNavi rejected the response through the approved structured-output validation process.</x:t>
  </x:si>
  <x:si>
    <x:t xml:space="preserve">S4-EV-AI-CASE-007</x:t>
  </x:si>
  <x:si>
    <x:t xml:space="preserve">Automated provider-validation test passed. Evidence: S4-AI-07_Reject_Empty_AI_Output_PASS.png</x:t>
  </x:si>
  <x:si>
    <x:t xml:space="preserve">S4-AI-08</x:t>
  </x:si>
  <x:si>
    <x:t xml:space="preserve">Reject malformed AI JSON</x:t>
  </x:si>
  <x:si>
    <x:t xml:space="preserve">Controlled malformed structured output</x:t>
  </x:si>
  <x:si>
    <x:t xml:space="preserve">Malformed JSON is rejected.</x:t>
  </x:si>
  <x:si>
    <x:t xml:space="preserve">The OpenAI text-provider automated test supplied a completed AI response containing malformed JSON. GradNavi rejected the malformed structured output through the approved AI response-validation process.</x:t>
  </x:si>
  <x:si>
    <x:t xml:space="preserve">S4-EV-AI-CASE-008</x:t>
  </x:si>
  <x:si>
    <x:t xml:space="preserve">Automated provider-validation test passed. Evidence: S4-AI-08_Reject_Malformed_AI_JSON_PASS.png</x:t>
  </x:si>
  <x:si>
    <x:t xml:space="preserve">S4-AI-09</x:t>
  </x:si>
  <x:si>
    <x:t xml:space="preserve">Translate provider timeout safely</x:t>
  </x:si>
  <x:si>
    <x:t xml:space="preserve">Controlled timeout condition</x:t>
  </x:si>
  <x:si>
    <x:t xml:space="preserve">Controlled application error is returned without internal detail.</x:t>
  </x:si>
  <x:si>
    <x:t xml:space="preserve">The OpenAI text-provider automated test simulated a provider timeout. GradNavi translated the failure into the approved application-level error and did not expose provider-specific timeout details.</x:t>
  </x:si>
  <x:si>
    <x:t xml:space="preserve">S4-EV-AI-CASE-009</x:t>
  </x:si>
  <x:si>
    <x:t xml:space="preserve">Automated provider-failure test passed. Evidence: S4-AI-09_Translate_Provider_Timeout_Safely_PASS.png</x:t>
  </x:si>
  <x:si>
    <x:t xml:space="preserve">S4-AI-10</x:t>
  </x:si>
  <x:si>
    <x:t xml:space="preserve">Translate connection or service-unavailable failure safely</x:t>
  </x:si>
  <x:si>
    <x:t xml:space="preserve">Controlled connection failure</x:t>
  </x:si>
  <x:si>
    <x:t xml:space="preserve">Controlled application error is returned without provider internals.</x:t>
  </x:si>
  <x:si>
    <x:t xml:space="preserve">The OpenAI text-provider automated test simulated a provider connection failure. GradNavi sanitized the failure and translated it into the approved application-level AI service error without exposing provider-specific details.</x:t>
  </x:si>
  <x:si>
    <x:t xml:space="preserve">S4-EV-AI-CASE-010</x:t>
  </x:si>
  <x:si>
    <x:t xml:space="preserve">Automated provider-failure test passed. Evidence: S4-AI-10_Translate_Connection_Failure_Safely_PASS.png</x:t>
  </x:si>
  <x:si>
    <x:t xml:space="preserve">S4-AI-11</x:t>
  </x:si>
  <x:si>
    <x:t xml:space="preserve">Translate rate-limit or provider HTTP failure safely</x:t>
  </x:si>
  <x:si>
    <x:t xml:space="preserve">Controlled provider failure</x:t>
  </x:si>
  <x:si>
    <x:t xml:space="preserve">The Sprint 4 OpenAI text-provider tests simulated a provider rate-limit failure and a provider HTTP status failure. GradNavi sanitized both failures and prevented provider-specific details from being exposed.</x:t>
  </x:si>
  <x:si>
    <x:t xml:space="preserve">S4-EV-AI-CASE-011</x:t>
  </x:si>
  <x:si>
    <x:t xml:space="preserve">Two automated provider-failure tests passed. Evidence: S4-AI-11_Translate_Rate_Limit_HTTP_Failure_Safely_PASS.png</x:t>
  </x:si>
  <x:si>
    <x:t xml:space="preserve">S4-AI-12</x:t>
  </x:si>
  <x:si>
    <x:t xml:space="preserve">Protect deterministic results during AI failure</x:t>
  </x:si>
  <x:si>
    <x:t xml:space="preserve">Existing deterministic recommendation, gap, readiness, and job-match data</x:t>
  </x:si>
  <x:si>
    <x:t xml:space="preserve">Trigger controlled text-AI failure then compare deterministic outputs.</x:t>
  </x:si>
  <x:si>
    <x:t xml:space="preserve">Deterministic values remain unchanged.</x:t>
  </x:si>
  <x:si>
    <x:t xml:space="preserve">The Sprint 4 regression tests confirmed that AI failure does not change deterministic Career Recommendation scoring, Skill Gap results, Career Readiness results, or Job Matching output. All three automated tests passed.</x:t>
  </x:si>
  <x:si>
    <x:t xml:space="preserve">S4-EV-AI-CASE-012</x:t>
  </x:si>
  <x:si>
    <x:t xml:space="preserve">Three deterministic-protection tests passed. Evidence: S4-AI-12_Protect_Deterministic_Results_During_AI_Failure_PASS.png</x:t>
  </x:si>
  <x:si>
    <x:t xml:space="preserve">S4-ADMINAPI-01</x:t>
  </x:si>
  <x:si>
    <x:t xml:space="preserve">7.6,7.9</x:t>
  </x:si>
  <x:si>
    <x:t xml:space="preserve">FR-14</x:t>
  </x:si>
  <x:si>
    <x:t xml:space="preserve">API</x:t>
  </x:si>
  <x:si>
    <x:t xml:space="preserve">Reject unauthenticated admin API request</x:t>
  </x:si>
  <x:si>
    <x:t xml:space="preserve">No authentication</x:t>
  </x:si>
  <x:si>
    <x:t xml:space="preserve">Call an administrator collection endpoint.</x:t>
  </x:si>
  <x:si>
    <x:t xml:space="preserve">Request is rejected.</x:t>
  </x:si>
  <x:si>
    <x:t xml:space="preserve">Unauthenticated requests to Administrator API endpoints were rejected with HTTP 401 Unauthorized as required.</x:t>
  </x:si>
  <x:si>
    <x:t xml:space="preserve">S4-ADMINAPI-01-EV-01</x:t>
  </x:si>
  <x:si>
    <x:t xml:space="preserve">No defect found.</x:t>
  </x:si>
  <x:si>
    <x:t xml:space="preserve">Verified using AdministrationPermissionTests.test_unauthenticated_users_cannot_access_admin_endpoints; targeted test passed 1/1. Administrator collection endpoints rejected unauthenticated requests with HTTP 401.</x:t>
  </x:si>
  <x:si>
    <x:t xml:space="preserve">S4-ADMINAPI-02</x:t>
  </x:si>
  <x:si>
    <x:t xml:space="preserve">Reject Student-role admin API request</x:t>
  </x:si>
  <x:si>
    <x:t xml:space="preserve">Backend returns permission denial.</x:t>
  </x:si>
  <x:si>
    <x:t xml:space="preserve">Authenticated Student-role requests to Administrator API endpoints were denied with HTTP 403 Forbidden, preventing Student access to Administrator functionality.</x:t>
  </x:si>
  <x:si>
    <x:t xml:space="preserve">S4-ADMINAPI-02-EV-01</x:t>
  </x:si>
  <x:si>
    <x:t xml:space="preserve">Verified using AdministrationPermissionTests.test_students_cannot_access_admin_endpoints; targeted test passed 1/1. Authenticated Student-role requests to Administrator endpoints were rejected with HTTP 403 Forbidden.</x:t>
  </x:si>
  <x:si>
    <x:t xml:space="preserve">S4-ADMINAPI-03</x:t>
  </x:si>
  <x:si>
    <x:t xml:space="preserve">Allow Administrator admin API request</x:t>
  </x:si>
  <x:si>
    <x:t xml:space="preserve">Authenticated Administrator</x:t>
  </x:si>
  <x:si>
    <x:t xml:space="preserve">Call an approved administrator collection endpoint.</x:t>
  </x:si>
  <x:si>
    <x:t xml:space="preserve">Approved administration data is returned.</x:t>
  </x:si>
  <x:si>
    <x:t xml:space="preserve">Authenticated Administrator successfully accessed the approved Administrator users collection endpoint and received HTTP 200 OK with administration data.</x:t>
  </x:si>
  <x:si>
    <x:t xml:space="preserve">S4-ADMINAPI-03-EV-01</x:t>
  </x:si>
  <x:si>
    <x:t xml:space="preserve">Verified using AdminUserManagementTests.test_admin_can_list_users_with_safe_fields; targeted test passed 1/1. The Administrator users collection returned HTTP 200 and the response excluded sensitive fields such as passwords and internal permission data.</x:t>
  </x:si>
  <x:si>
    <x:t xml:space="preserve">S4-ADMINAPI-04</x:t>
  </x:si>
  <x:si>
    <x:t xml:space="preserve">List users without exposing passwords</x:t>
  </x:si>
  <x:si>
    <x:t xml:space="preserve">Request administrator user list.</x:t>
  </x:si>
  <x:si>
    <x:t xml:space="preserve">User list excludes password values and unnecessary private profile data.</x:t>
  </x:si>
  <x:si>
    <x:t xml:space="preserve">Administrator user list was returned successfully without exposing password fields, password values, or unnecessary internal permission data.</x:t>
  </x:si>
  <x:si>
    <x:t xml:space="preserve">S4-ADMINAPI-04-EV-01</x:t>
  </x:si>
  <x:si>
    <x:t xml:space="preserve">Verified using the successful execution of AdminUserManagementTests.test_admin_can_list_users_with_safe_fields; targeted test passed 1/1. The response excluded password fields and values, is_superuser, groups, and user_permissions.</x:t>
  </x:si>
  <x:si>
    <x:t xml:space="preserve">S4-ADMINAPI-05</x:t>
  </x:si>
  <x:si>
    <x:t xml:space="preserve">Retrieve approved user administration detail</x:t>
  </x:si>
  <x:si>
    <x:t xml:space="preserve">Authenticated Administrator and target user</x:t>
  </x:si>
  <x:si>
    <x:t xml:space="preserve">Request user detail.</x:t>
  </x:si>
  <x:si>
    <x:t xml:space="preserve">Approved user administration fields are returned.</x:t>
  </x:si>
  <x:si>
    <x:t xml:space="preserve">Authenticated Administrator successfully retrieved the target user's administration detail. The API returned HTTP 200 OK with the correct approved user ID and email fields.</x:t>
  </x:si>
  <x:si>
    <x:t xml:space="preserve">S4-ADMINAPI-05-EV-01</x:t>
  </x:si>
  <x:si>
    <x:t xml:space="preserve">Verified using AdminUserManagementTests.test_admin_can_retrieve_user; targeted test passed 1/1. The Administrator user-detail endpoint returned HTTP 200 and the response contained the expected target user ID and email.</x:t>
  </x:si>
  <x:si>
    <x:t xml:space="preserve">S4-ADMINAPI-06</x:t>
  </x:si>
  <x:si>
    <x:t xml:space="preserve">Update approved user administration field</x:t>
  </x:si>
  <x:si>
    <x:t xml:space="preserve">Submit an approved user update.</x:t>
  </x:si>
  <x:si>
    <x:t xml:space="preserve">Update succeeds and persists.</x:t>
  </x:si>
  <x:si>
    <x:t xml:space="preserve">Authenticated Administrator successfully submitted an approved user administration update. The API returned HTTP 200 OK and the user update was accepted.</x:t>
  </x:si>
  <x:si>
    <x:t xml:space="preserve">S4-ADMINAPI-06-EV-01</x:t>
  </x:si>
  <x:si>
    <x:t xml:space="preserve">Verified using AdminUserManagementTests.test_admin_can_update_user; targeted test passed 1/1. The Administrator successfully updated approved user fields through the user administration endpoint.</x:t>
  </x:si>
  <x:si>
    <x:t xml:space="preserve">S4-ADMINAPI-07</x:t>
  </x:si>
  <x:si>
    <x:t xml:space="preserve">Career management CRUD contract</x:t>
  </x:si>
  <x:si>
    <x:t xml:space="preserve">Exercise approved Career create, retrieve, update, and delete operations.</x:t>
  </x:si>
  <x:si>
    <x:t xml:space="preserve">Career administration follows the approved API contract.</x:t>
  </x:si>
  <x:si>
    <x:t xml:space="preserve">Authenticated Administrator successfully completed the approved Career create, retrieve, update, and delete operations. The API returned the expected HTTP 201, 200, 200, and 204 responses, and the deleted Career no longer existed.</x:t>
  </x:si>
  <x:si>
    <x:t xml:space="preserve">S4-ADMINAPI-07-EV-01</x:t>
  </x:si>
  <x:si>
    <x:t xml:space="preserve">Verified using AdminCareerManagementTests.test_admin_can_create_retrieve_update_and_delete_career; targeted test passed 1/1. Career CRUD followed the approved Administrator API contract and deletion persistence was verified.</x:t>
  </x:si>
  <x:si>
    <x:t xml:space="preserve">S4-ADMINAPI-08</x:t>
  </x:si>
  <x:si>
    <x:t xml:space="preserve">Skill management CRUD contract</x:t>
  </x:si>
  <x:si>
    <x:t xml:space="preserve">Exercise approved Skill create, retrieve, update, and delete operations.</x:t>
  </x:si>
  <x:si>
    <x:t xml:space="preserve">Skill administration follows the approved API contract.</x:t>
  </x:si>
  <x:si>
    <x:t xml:space="preserve">Authenticated Administrator successfully completed the approved Skill create, retrieve, update, and delete operations, confirming the Skill administration API contract.</x:t>
  </x:si>
  <x:si>
    <x:t xml:space="preserve">S4-ADMINAPI-08-EV-01</x:t>
  </x:si>
  <x:si>
    <x:t xml:space="preserve">Verified using AdminSkillManagementTests.test_admin_can_create_retrieve_update_and_delete_skill; targeted test passed 1/1. Skill CRUD operations completed successfully through the Administrator API.</x:t>
  </x:si>
  <x:si>
    <x:t xml:space="preserve">S4-ADMINAPI-09</x:t>
  </x:si>
  <x:si>
    <x:t xml:space="preserve">Learning Resource management CRUD contract</x:t>
  </x:si>
  <x:si>
    <x:t xml:space="preserve">Exercise approved Learning Resource operations.</x:t>
  </x:si>
  <x:si>
    <x:t xml:space="preserve">Learning Resource administration follows the approved API contract.</x:t>
  </x:si>
  <x:si>
    <x:t xml:space="preserve">Authenticated Administrator successfully completed the approved Learning Resource create, retrieve, update, and delete operations, confirming the Learning Resource administration API contract.</x:t>
  </x:si>
  <x:si>
    <x:t xml:space="preserve">S4-ADMINAPI-09-EV-01</x:t>
  </x:si>
  <x:si>
    <x:t xml:space="preserve">Verified using AdminLearningResourceManagementTests.test_admin_can_create_retrieve_update_and_delete_resource; targeted test passed 1/1. Learning Resource CRUD operations completed successfully through the Administrator API.</x:t>
  </x:si>
  <x:si>
    <x:t xml:space="preserve">S4-ADMINAPI-10</x:t>
  </x:si>
  <x:si>
    <x:t xml:space="preserve">Learning Resource to Skill assignment</x:t>
  </x:si>
  <x:si>
    <x:t xml:space="preserve">Authenticated Administrator with existing Skill and resource</x:t>
  </x:si>
  <x:si>
    <x:t xml:space="preserve">Assign the approved Skill relation.</x:t>
  </x:si>
  <x:si>
    <x:t xml:space="preserve">Assignment persists and is returned correctly.</x:t>
  </x:si>
  <x:si>
    <x:t xml:space="preserve">Authenticated Administrator successfully assigned the approved Skill relation to a Learning Resource. The Skill relationship persisted in the database and the API returned the correct Skill ID.</x:t>
  </x:si>
  <x:si>
    <x:t xml:space="preserve">S4-ADMINAPI-10-EV-01</x:t>
  </x:si>
  <x:si>
    <x:t xml:space="preserve">Verified using AdminLearningResourceManagementTests.test_admin_can_assign_skills_to_learning_resource; targeted test passed 1/1. The Learning Resource-to-Skill relationship persisted successfully and the response returned the assigned skill ID.</x:t>
  </x:si>
  <x:si>
    <x:t xml:space="preserve">S4-ADMINUI-01</x:t>
  </x:si>
  <x:si>
    <x:t xml:space="preserve">7.7,7.9</x:t>
  </x:si>
  <x:si>
    <x:t xml:space="preserve">Protect admin route</x:t>
  </x:si>
  <x:si>
    <x:t xml:space="preserve">Signed-out browser session</x:t>
  </x:si>
  <x:si>
    <x:t xml:space="preserve">Navigate directly to /admin.</x:t>
  </x:si>
  <x:si>
    <x:t xml:space="preserve">Unauthenticated access is blocked.</x:t>
  </x:si>
  <x:si>
    <x:t xml:space="preserve">Signed-out direct navigation to /admin redirected to /login. Admin Dashboard was not shown.</x:t>
  </x:si>
  <x:si>
    <x:t xml:space="preserve">S4-EV-ADMINUI-01</x:t>
  </x:si>
  <x:si>
    <x:t xml:space="preserve">Manual</x:t>
  </x:si>
  <x:si>
    <x:t xml:space="preserve">Verified in Edge InPrivate window. Evidence: S4-ADMINUI-01.png</x:t>
  </x:si>
  <x:si>
    <x:t xml:space="preserve">S4-ADMINUI-02</x:t>
  </x:si>
  <x:si>
    <x:t xml:space="preserve">Reject Student from admin dashboard</x:t>
  </x:si>
  <x:si>
    <x:t xml:space="preserve">Student cannot use the admin dashboard.</x:t>
  </x:si>
  <x:si>
    <x:t xml:space="preserve">Authenticated Student navigating to /admin was redirected away; the Admin Dashboard was not usable.</x:t>
  </x:si>
  <x:si>
    <x:t xml:space="preserve">S4-EV-ADMINUI-02</x:t>
  </x:si>
  <x:si>
    <x:t xml:space="preserve">Verified in Edge InPrivate window. Evidence: S4-ADMINUI-02.png</x:t>
  </x:si>
  <x:si>
    <x:t xml:space="preserve">S4-ADMINUI-03</x:t>
  </x:si>
  <x:si>
    <x:t xml:space="preserve">Load Admin Dashboard for Administrator</x:t>
  </x:si>
  <x:si>
    <x:t xml:space="preserve">Open /admin.</x:t>
  </x:si>
  <x:si>
    <x:t xml:space="preserve">Admin Dashboard loads.</x:t>
  </x:si>
  <x:si>
    <x:t xml:space="preserve">Admin Dashboard loaded for the authenticated Administrator.</x:t>
  </x:si>
  <x:si>
    <x:t xml:space="preserve">S4-EV-ADMINUI-03</x:t>
  </x:si>
  <x:si>
    <x:t xml:space="preserve">Verified manually in Edge. Evidence: S4-ADMINUI-03.png</x:t>
  </x:si>
  <x:si>
    <x:t xml:space="preserve">S4-ADMINUI-04</x:t>
  </x:si>
  <x:si>
    <x:t xml:space="preserve">Display admin loading state</x:t>
  </x:si>
  <x:si>
    <x:t xml:space="preserve">Admin API response is delayed</x:t>
  </x:si>
  <x:si>
    <x:t xml:space="preserve">Open Admin Dashboard.</x:t>
  </x:si>
  <x:si>
    <x:t xml:space="preserve">Loading state is visible while data is pending.</x:t>
  </x:si>
  <x:si>
    <x:t xml:space="preserve">With Slow 4G throttling, metric cards showed "..." and Needs attention cards showed "Checking..." while data was pending.</x:t>
  </x:si>
  <x:si>
    <x:t xml:space="preserve">S4-EV-ADMINUI-04</x:t>
  </x:si>
  <x:si>
    <x:t xml:space="preserve">Loading badge wording ("Clear" during loading) was fixed to "Checking" in PR #64. Evidence: S4-ADMINUI-04.png</x:t>
  </x:si>
  <x:si>
    <x:t xml:space="preserve">S4-ADMINUI-05</x:t>
  </x:si>
  <x:si>
    <x:t xml:space="preserve">Display admin API error state</x:t>
  </x:si>
  <x:si>
    <x:t xml:space="preserve">Controlled admin API failure</x:t>
  </x:si>
  <x:si>
    <x:t xml:space="preserve">Controlled error state is shown.</x:t>
  </x:si>
  <x:si>
    <x:t xml:space="preserve">Controlled admin API failure (analytics endpoint temporarily pointed to an invalid path) showed the "Something went wrong" error card instead of a blank page.</x:t>
  </x:si>
  <x:si>
    <x:t xml:space="preserve">S4-EV-ADMINUI-05</x:t>
  </x:si>
  <x:si>
    <x:t xml:space="preserve">Temporary change reverted; git status confirmed clean working tree. Evidence: S4-ADMINUI-05.png</x:t>
  </x:si>
  <x:si>
    <x:t xml:space="preserve">S4-ADMINUI-06</x:t>
  </x:si>
  <x:si>
    <x:t xml:space="preserve">Display approved summary information</x:t>
  </x:si>
  <x:si>
    <x:t xml:space="preserve">Authenticated Administrator and API data available</x:t>
  </x:si>
  <x:si>
    <x:t xml:space="preserve">Approved summary information is rendered.</x:t>
  </x:si>
  <x:si>
    <x:t xml:space="preserve">Dashboard rendered Students, Careers, Skills and Resources counts, Needs attention (pending reports, recent admin changes, data health), Recent activity and FR-15 analytics.</x:t>
  </x:si>
  <x:si>
    <x:t xml:space="preserve">S4-EV-ADMINUI-06</x:t>
  </x:si>
  <x:si>
    <x:t xml:space="preserve">Verified manually in Edge. Evidence: S4-ADMINUI-06.png</x:t>
  </x:si>
  <x:si>
    <x:t xml:space="preserve">S4-ADMINUI-07</x:t>
  </x:si>
  <x:si>
    <x:t xml:space="preserve">Use approved management screen</x:t>
  </x:si>
  <x:si>
    <x:t xml:space="preserve">Open an available user, Career, Skill, or Learning Resource management screen.</x:t>
  </x:si>
  <x:si>
    <x:t xml:space="preserve">Screen loads and connects to the approved admin API.</x:t>
  </x:si>
  <x:si>
    <x:t xml:space="preserve">Career Management screen loaded from the admin API and the Edit form populated with the selected career data.</x:t>
  </x:si>
  <x:si>
    <x:t xml:space="preserve">S4-EV-ADMINUI-07</x:t>
  </x:si>
  <x:si>
    <x:t xml:space="preserve">Users, Skills, Learning Resources, Reports and Audit Records screens also verified during WBS 7.7. Evidence: S4-ADMINUI-07.png</x:t>
  </x:si>
  <x:si>
    <x:t xml:space="preserve">S4-ADMINUI-08</x:t>
  </x:si>
  <x:si>
    <x:t xml:space="preserve">Admin UI does not replace backend permission boundary</x:t>
  </x:si>
  <x:si>
    <x:t xml:space="preserve">Authenticated Student with manipulated frontend navigation</x:t>
  </x:si>
  <x:si>
    <x:t xml:space="preserve">Attempt direct admin API action.</x:t>
  </x:si>
  <x:si>
    <x:t xml:space="preserve">Backend still rejects the operation.</x:t>
  </x:si>
  <x:si>
    <x:t xml:space="preserve">Student account calling admin API directly: GET /api/v1/administration/users/ returned 403 and PATCH users/&lt;id&gt;/role/ (self-promotion to admin) returned 403. Backend enforces permissions independently of the UI.</x:t>
  </x:si>
  <x:si>
    <x:t xml:space="preserve">S4-EV-ADMINUI-08</x:t>
  </x:si>
  <x:si>
    <x:t xml:space="preserve">Executed via Django APIClient force_authenticate as the Student user. Evidence: S4-ADMINUI-08.png</x:t>
  </x:si>
  <x:si>
    <x:t xml:space="preserve">S4-PERM-01</x:t>
  </x:si>
  <x:si>
    <x:t xml:space="preserve">7.8,7.9</x:t>
  </x:si>
  <x:si>
    <x:t xml:space="preserve">Permission</x:t>
  </x:si>
  <x:si>
    <x:t xml:space="preserve">Administrator role accesses approved admin operation</x:t>
  </x:si>
  <x:si>
    <x:t xml:space="preserve">Perform an approved administration request.</x:t>
  </x:si>
  <x:si>
    <x:t xml:space="preserve">Backend permits the approved role operation.</x:t>
  </x:si>
  <x:si>
    <x:t xml:space="preserve">Authenticated Administrator successfully performed the approved protected role-management operation. The API returned HTTP 200 OK, the role change persisted, and the corresponding audit record was created.</x:t>
  </x:si>
  <x:si>
    <x:t xml:space="preserve">S4-PERM-01-EV-01</x:t>
  </x:si>
  <x:si>
    <x:t xml:space="preserve">Verified using AdminUserRoleStatusAuditTests.test_admin_can_change_user_role_through_dedicated_endpoint; targeted test passed 1/1. Administrator permission was accepted, the updated role persisted, and an admin.user.role_changed audit record was verified.</x:t>
  </x:si>
  <x:si>
    <x:t xml:space="preserve">S4-PERM-02</x:t>
  </x:si>
  <x:si>
    <x:t xml:space="preserve">Critical</x:t>
  </x:si>
  <x:si>
    <x:t xml:space="preserve">Student role is denied admin collection access</x:t>
  </x:si>
  <x:si>
    <x:t xml:space="preserve">Call an administrator collection endpoint directly.</x:t>
  </x:si>
  <x:si>
    <x:t xml:space="preserve">Backend denies access.</x:t>
  </x:si>
  <x:si>
    <x:t xml:space="preserve">Authenticated Student-role requests to Administrator collection endpoints were denied by the backend with HTTP 403 Forbidden.</x:t>
  </x:si>
  <x:si>
    <x:t xml:space="preserve">S4-PERM-02-EV-01</x:t>
  </x:si>
  <x:si>
    <x:t xml:space="preserve">Verified using AdministrationPermissionTests.test_students_cannot_access_admin_endpoints; targeted test passed 1/1. Student-role access to protected Administrator endpoints was consistently rejected with HTTP 403 Forbidden.</x:t>
  </x:si>
  <x:si>
    <x:t xml:space="preserve">S4-PERM-03</x:t>
  </x:si>
  <x:si>
    <x:t xml:space="preserve">Student role is denied admin mutation</x:t>
  </x:si>
  <x:si>
    <x:t xml:space="preserve">Attempt an administrator create or update directly.</x:t>
  </x:si>
  <x:si>
    <x:t xml:space="preserve">Backend denies access and no mutation occurs.</x:t>
  </x:si>
  <x:si>
    <x:t xml:space="preserve">Authenticated Student attempted a protected Administrator Career creation operation. The backend returned HTTP 403 Forbidden and confirmed that no unauthorized Career record was created.</x:t>
  </x:si>
  <x:si>
    <x:t xml:space="preserve">S4-PERM-03-EV-01</x:t>
  </x:si>
  <x:si>
    <x:t xml:space="preserve">Verified using AdministrationPermissionTests.test_student_cannot_create_career; targeted test passed 1/1. The Student mutation request was denied with HTTP 403 and the database assertion confirmed that the unauthorized Career did not exist.</x:t>
  </x:si>
  <x:si>
    <x:t xml:space="preserve">S4-PERM-04</x:t>
  </x:si>
  <x:si>
    <x:t xml:space="preserve">Unauthenticated user is denied admin access</x:t>
  </x:si>
  <x:si>
    <x:t xml:space="preserve">Call an admin endpoint.</x:t>
  </x:si>
  <x:si>
    <x:t xml:space="preserve">Request is rejected as unauthenticated.</x:t>
  </x:si>
  <x:si>
    <x:t xml:space="preserve">Unauthenticated requests to protected Administrator endpoints were rejected with HTTP 401 Unauthorized as required.</x:t>
  </x:si>
  <x:si>
    <x:t xml:space="preserve">S4-PERM-04-EV-01</x:t>
  </x:si>
  <x:si>
    <x:t xml:space="preserve">Verified using AdministrationPermissionTests.test_unauthenticated_users_cannot_access_admin_endpoints; targeted test passed 1/1. Unauthenticated access to protected Administrator endpoints was consistently rejected with HTTP 401 Unauthorized.</x:t>
  </x:si>
  <x:si>
    <x:t xml:space="preserve">S4-PERM-05</x:t>
  </x:si>
  <x:si>
    <x:t xml:space="preserve">Frontend manipulation does not bypass admin permission</x:t>
  </x:si>
  <x:si>
    <x:t xml:space="preserve">Manually navigate or submit a direct admin request.</x:t>
  </x:si>
  <x:si>
    <x:t xml:space="preserve">Backend permission enforcement prevents access.</x:t>
  </x:si>
  <x:si>
    <x:t xml:space="preserve">Authenticated Student directly submitted protected Administrator role and account-status requests. Backend permission enforcement rejected both requests with HTTP 403 Forbidden, preventing frontend bypass.</x:t>
  </x:si>
  <x:si>
    <x:t xml:space="preserve">S4-PERM-05-EV-01</x:t>
  </x:si>
  <x:si>
    <x:t xml:space="preserve">Verified using AdminUserRoleStatusAuditTests.test_student_cannot_change_role_or_status; targeted test passed 1/1. Direct Student requests to protected role-change and account-status endpoints were rejected with HTTP 403, confirming permissions are enforced by the backend rather than relying on frontend restrictions.</x:t>
  </x:si>
  <x:si>
    <x:t xml:space="preserve">S4-PERM-06</x:t>
  </x:si>
  <x:si>
    <x:t xml:space="preserve">Student-owned resource isolation remains active</x:t>
  </x:si>
  <x:si>
    <x:t xml:space="preserve">Attempt cross-student access after permission changes are integrated.</x:t>
  </x:si>
  <x:si>
    <x:t xml:space="preserve">Cross-student access remains denied.</x:t>
  </x:si>
  <x:si>
    <x:t xml:space="preserve">Cross-student resource isolation remained active after permission integration. An authenticated Student could not modify another Student's profile through direct API/query-parameter manipulation.</x:t>
  </x:si>
  <x:si>
    <x:t xml:space="preserve">S4-PERM-06-EV-01</x:t>
  </x:si>
  <x:si>
    <x:t xml:space="preserve">Verified using StudentProfilePatchAPITests.test_authenticated_user_cannot_patch_another_profile_with_query_parameters; targeted test passed 1/1. Cross-student profile modification remained prevented after WBS 7.8 permission integration.</x:t>
  </x:si>
  <x:si>
    <x:t xml:space="preserve">S4-AUDIT-01</x:t>
  </x:si>
  <x:si>
    <x:t xml:space="preserve">Security</x:t>
  </x:si>
  <x:si>
    <x:t xml:space="preserve">Approved critical admin action creates audit record</x:t>
  </x:si>
  <x:si>
    <x:t xml:space="preserve">WBS 7.8 integrated and Administrator authenticated</x:t>
  </x:si>
  <x:si>
    <x:t xml:space="preserve">Perform an approved critical administration action.</x:t>
  </x:si>
  <x:si>
    <x:t xml:space="preserve">Required audit record is created.</x:t>
  </x:si>
  <x:si>
    <x:t xml:space="preserve">An authenticated Administrator successfully performed a critical user role-change action. The role change persisted and the required audit record was created for the action.</x:t>
  </x:si>
  <x:si>
    <x:t xml:space="preserve">S4-AUDIT-01-EV-01</x:t>
  </x:si>
  <x:si>
    <x:t xml:space="preserve">Verified using AdminUserRoleStatusAuditTests.test_admin_can_change_user_role_through_dedicated_endpoint; targeted test passed 1/1. The successful role change created the expected admin.user.role_changed audit record with the Administrator actor and role-change metadata.</x:t>
  </x:si>
  <x:si>
    <x:t xml:space="preserve">S4-AUDIT-02</x:t>
  </x:si>
  <x:si>
    <x:t xml:space="preserve">Audit record identifies action</x:t>
  </x:si>
  <x:si>
    <x:t xml:space="preserve">Audit record exists</x:t>
  </x:si>
  <x:si>
    <x:t xml:space="preserve">Inspect the stored audit record.</x:t>
  </x:si>
  <x:si>
    <x:t xml:space="preserve">Record identifies the approved action using the required fields.</x:t>
  </x:si>
  <x:si>
    <x:t xml:space="preserve">The stored audit record was successfully listed and retrieved through the Administrator audit API, identifying the approved audited action through the required audit-record fields.</x:t>
  </x:si>
  <x:si>
    <x:t xml:space="preserve">S4-AUDIT-02-EV-01</x:t>
  </x:si>
  <x:si>
    <x:t xml:space="preserve">Verified using AdminAuditRecordTests.test_admin_can_list_and_retrieve_audit_records; targeted test passed 1/1. The Administrator could list and retrieve the stored audit record, confirming that approved audit information is available through the audit-record API.</x:t>
  </x:si>
  <x:si>
    <x:t xml:space="preserve">S4-AUDIT-03</x:t>
  </x:si>
  <x:si>
    <x:t xml:space="preserve">Audit record excludes passwords</x:t>
  </x:si>
  <x:si>
    <x:t xml:space="preserve">Audit record exists after user administration action</x:t>
  </x:si>
  <x:si>
    <x:t xml:space="preserve">Inspect audit data.</x:t>
  </x:si>
  <x:si>
    <x:t xml:space="preserve">No password or password hash is stored in audit details.</x:t>
  </x:si>
  <x:si>
    <x:t xml:space="preserve">Audit data for the user administration action contained only approved safe metadata and did not expose password information or authentication tokens through the audit API.</x:t>
  </x:si>
  <x:si>
    <x:t xml:space="preserve">S4-AUDIT-03-EV-01</x:t>
  </x:si>
  <x:si>
    <x:t xml:space="preserve">Verified using AdminAuditRecordTests.test_audit_response_does_not_expose_user_email; targeted test passed 1/1. Audit API output did not expose password or token data, and the tested audit record used only approved safe metadata.</x:t>
  </x:si>
  <x:si>
    <x:t xml:space="preserve">S4-AUDIT-04</x:t>
  </x:si>
  <x:si>
    <x:t xml:space="preserve">Audit record excludes JWT values and secrets</x:t>
  </x:si>
  <x:si>
    <x:t xml:space="preserve">No JWT, API key, or secret value is stored.</x:t>
  </x:si>
  <x:si>
    <x:t xml:space="preserve">Audit data excluded JWT/access-token values, refresh-token values, API-key values, secret values, and password information. No tested credential or secret value was persisted or exposed through the audit data.</x:t>
  </x:si>
  <x:si>
    <x:t xml:space="preserve">S4-AUDIT-04-EV-01</x:t>
  </x:si>
  <x:si>
    <x:t xml:space="preserve">Verified using AdminAuditRecordTests.test_audit_data_excludes_jwt_tokens_api_keys_and_secrets; targeted test passed 1/1. Distinctive sentinel JWT/access-token, refresh-token, API-key, secret, and password values were used to verify that sensitive credential values were not persisted or exposed in audit data.</x:t>
  </x:si>
  <x:si>
    <x:t xml:space="preserve">S4-AUDIT-05</x:t>
  </x:si>
  <x:si>
    <x:t xml:space="preserve">Audit record avoids unnecessary Student private data</x:t>
  </x:si>
  <x:si>
    <x:t xml:space="preserve">Only approved audit data is retained.</x:t>
  </x:si>
  <x:si>
    <x:t xml:space="preserve">Audit data retained only the approved information required to identify the administration action while excluding unnecessary Student private/profile values from persisted audit metadata and audit API responses.</x:t>
  </x:si>
  <x:si>
    <x:t xml:space="preserve">S4-AUDIT-05-EV-01</x:t>
  </x:si>
  <x:si>
    <x:t xml:space="preserve">Verified using AdminAuditRecordTests.test_audit_data_excludes_unnecessary_student_private_data; targeted test passed 1/1. Distinctive Student private/profile values were not persisted or exposed, while approved action, area, actor, target, and safe metadata remained available.</x:t>
  </x:si>
  <x:si>
    <x:t xml:space="preserve">S4-AUDIT-06</x:t>
  </x:si>
  <x:si>
    <x:t xml:space="preserve">Audit access follows permission model</x:t>
  </x:si>
  <x:si>
    <x:t xml:space="preserve">Student and Administrator accounts available</x:t>
  </x:si>
  <x:si>
    <x:t xml:space="preserve">Attempt audit access with both roles.</x:t>
  </x:si>
  <x:si>
    <x:t xml:space="preserve">Only the approved role has audit access.</x:t>
  </x:si>
  <x:si>
    <x:t xml:space="preserve">Audit access followed the approved role-permission model. Authenticated Student access was denied with HTTP 403 Forbidden, while authenticated Administrator access was permitted with HTTP 200 OK.</x:t>
  </x:si>
  <x:si>
    <x:t xml:space="preserve">S4-AUDIT-06-EV-01</x:t>
  </x:si>
  <x:si>
    <x:t xml:space="preserve">Verified using AdministrationPermissionTests.test_students_cannot_access_admin_endpoints and test_admin_can_access_all_admin_endpoints; both targeted tests passed 2/2. Student access to the protected audit endpoint was denied with HTTP 403, while Administrator access was allowed with HTTP 200.</x:t>
  </x:si>
  <x:si>
    <x:t xml:space="preserve">S4-FE-01</x:t>
  </x:si>
  <x:si>
    <x:t xml:space="preserve">NFR-02,NFR-10,NFR-11</x:t>
  </x:si>
  <x:si>
    <x:t xml:space="preserve">Job Matching desktop layout</x:t>
  </x:si>
  <x:si>
    <x:t xml:space="preserve">Job Matching page available</x:t>
  </x:si>
  <x:si>
    <x:t xml:space="preserve">Check current desktop width.</x:t>
  </x:si>
  <x:si>
    <x:t xml:space="preserve">Content and actions remain readable and usable.</x:t>
  </x:si>
  <x:si>
    <x:t xml:space="preserve">Job Matching at desktop width (1280) remained readable and usable with matched/missing results and next-step actions.</x:t>
  </x:si>
  <x:si>
    <x:t xml:space="preserve">S4-EV-FE-01</x:t>
  </x:si>
  <x:si>
    <x:t xml:space="preserve">Verified in Edge. Evidence: S4-FE-01.png</x:t>
  </x:si>
  <x:si>
    <x:t xml:space="preserve">S4-FE-02</x:t>
  </x:si>
  <x:si>
    <x:t xml:space="preserve">Job Matching tablet and mobile layout</x:t>
  </x:si>
  <x:si>
    <x:t xml:space="preserve">Check representative tablet and mobile widths.</x:t>
  </x:si>
  <x:si>
    <x:t xml:space="preserve">Core controls and results remain usable without unintended overflow.</x:t>
  </x:si>
  <x:si>
    <x:t xml:space="preserve">Job Matching at tablet (768) and mobile (375) widths: content stacked, controls usable, no horizontal page overflow.</x:t>
  </x:si>
  <x:si>
    <x:t xml:space="preserve">S4-EV-FE-02</x:t>
  </x:si>
  <x:si>
    <x:t xml:space="preserve">Edge DevTools responsive mode. Evidence: S4-FE-02-tablet.png; S4-FE-02-mobile.png</x:t>
  </x:si>
  <x:si>
    <x:t xml:space="preserve">S4-FE-03</x:t>
  </x:si>
  <x:si>
    <x:t xml:space="preserve">Admin Dashboard responsive layout</x:t>
  </x:si>
  <x:si>
    <x:t xml:space="preserve">WBS 7.7 integrated</x:t>
  </x:si>
  <x:si>
    <x:t xml:space="preserve">Check desktop, tablet, and mobile widths.</x:t>
  </x:si>
  <x:si>
    <x:t xml:space="preserve">Approved admin dashboard remains usable across planned widths.</x:t>
  </x:si>
  <x:si>
    <x:t xml:space="preserve">Admin Dashboard usable at 1280, 768 and 375 widths. Tables scroll within their container; mobile header shows logo and menu, and navigation drawer opens.</x:t>
  </x:si>
  <x:si>
    <x:t xml:space="preserve">S4-EV-FE-03</x:t>
  </x:si>
  <x:si>
    <x:t xml:space="preserve">Mobile header aligned with StudentLayout in PR #64. Evidence: S4-FE-03-desktop.png; S4-FE-03-tablet.png; S4-FE-03-mobile.png; S4-FE-03-mobile-menu.png</x:t>
  </x:si>
  <x:si>
    <x:t xml:space="preserve">S4-FE-04</x:t>
  </x:si>
  <x:si>
    <x:t xml:space="preserve">Keyboard access for Sprint 4 forms</x:t>
  </x:si>
  <x:si>
    <x:t xml:space="preserve">Relevant Sprint 4 forms available</x:t>
  </x:si>
  <x:si>
    <x:t xml:space="preserve">Navigate controls using keyboard only.</x:t>
  </x:si>
  <x:si>
    <x:t xml:space="preserve">Interactive controls are reachable in a logical order.</x:t>
  </x:si>
  <x:si>
    <x:t xml:space="preserve">Keyboard-only Tab navigation moved through sidebar links and Job Matching actions in logical order with a visible focus outline.</x:t>
  </x:si>
  <x:si>
    <x:t xml:space="preserve">S4-EV-FE-04</x:t>
  </x:si>
  <x:si>
    <x:t xml:space="preserve">Verified in Edge. Evidence: S4-FE-04.png</x:t>
  </x:si>
  <x:si>
    <x:t xml:space="preserve">S4-FE-05</x:t>
  </x:si>
  <x:si>
    <x:t xml:space="preserve">Form labels and validation feedback</x:t>
  </x:si>
  <x:si>
    <x:t xml:space="preserve">Sprint 4 form available</x:t>
  </x:si>
  <x:si>
    <x:t xml:space="preserve">Inspect labels and trigger validation.</x:t>
  </x:si>
  <x:si>
    <x:t xml:space="preserve">Inputs have meaningful labels and useful validation feedback.</x:t>
  </x:si>
  <x:si>
    <x:t xml:space="preserve">Cover Letter Builder inputs have visible labels with "Required" markers; Generate Cover Letter stays disabled until required fields are filled.</x:t>
  </x:si>
  <x:si>
    <x:t xml:space="preserve">S4-EV-FE-05</x:t>
  </x:si>
  <x:si>
    <x:t xml:space="preserve">Observation (Low): no inline message explains why Generate is disabled. Evidence: S4-FE-05.png</x:t>
  </x:si>
  <x:si>
    <x:t xml:space="preserve">S4-FE-06</x:t>
  </x:si>
  <x:si>
    <x:t xml:space="preserve">Current Chrome compatibility</x:t>
  </x:si>
  <x:si>
    <x:t xml:space="preserve">Integrated Sprint 4 baseline ready</x:t>
  </x:si>
  <x:si>
    <x:t xml:space="preserve">Execute core Sprint 4 smoke flow in Chrome.</x:t>
  </x:si>
  <x:si>
    <x:t xml:space="preserve">Core flow works in current Chrome.</x:t>
  </x:si>
  <x:si>
    <x:t xml:space="preserve">Core Student flow (login, Dashboard, Profile, Job Matching, logout) and Admin flow (/admin, Users, Careers) worked in current Chrome.</x:t>
  </x:si>
  <x:si>
    <x:t xml:space="preserve">S4-EV-FE-06</x:t>
  </x:si>
  <x:si>
    <x:t xml:space="preserve">Run on merged feature/sprint-4 baseline after PR #64. Evidence: S4-FE-06-student.png; S4-FE-06-admin.png</x:t>
  </x:si>
  <x:si>
    <x:t xml:space="preserve">S4-FE-07</x:t>
  </x:si>
  <x:si>
    <x:t xml:space="preserve">Current Edge compatibility</x:t>
  </x:si>
  <x:si>
    <x:t xml:space="preserve">Execute core Sprint 4 smoke flow in Edge.</x:t>
  </x:si>
  <x:si>
    <x:t xml:space="preserve">Core flow works in current Edge.</x:t>
  </x:si>
  <x:si>
    <x:t xml:space="preserve">Core Student and Admin flows worked in current Microsoft Edge.</x:t>
  </x:si>
  <x:si>
    <x:t xml:space="preserve">S4-EV-FE-07</x:t>
  </x:si>
  <x:si>
    <x:t xml:space="preserve">Run on merged feature/sprint-4 baseline after PR #64. Evidence: S4-FE-07-student.png; S4-FE-07-admin.png</x:t>
  </x:si>
  <x:si>
    <x:t xml:space="preserve">S4-FE-08</x:t>
  </x:si>
  <x:si>
    <x:t xml:space="preserve">Current Firefox compatibility</x:t>
  </x:si>
  <x:si>
    <x:t xml:space="preserve">Execute core Sprint 4 smoke flow in Firefox.</x:t>
  </x:si>
  <x:si>
    <x:t xml:space="preserve">Core flow works in current Firefox.</x:t>
  </x:si>
  <x:si>
    <x:t xml:space="preserve">Core Student and Admin flows worked in current Firefox.</x:t>
  </x:si>
  <x:si>
    <x:t xml:space="preserve">S4-EV-FE-08</x:t>
  </x:si>
  <x:si>
    <x:t xml:space="preserve">Firefox installed for this test; run on merged feature/sprint-4 baseline. Evidence: S4-FE-08-student.png; S4-FE-08-admin.png</x:t>
  </x:si>
  <x:si>
    <x:t xml:space="preserve">S4-REG-01</x:t>
  </x:si>
  <x:si>
    <x:t xml:space="preserve">Sprint 1 authentication regression</x:t>
  </x:si>
  <x:si>
    <x:t xml:space="preserve">Execute approved Sprint 1 authentication smoke set.</x:t>
  </x:si>
  <x:si>
    <x:t xml:space="preserve">Core authentication remains working.</x:t>
  </x:si>
  <x:si>
    <x:t xml:space="preserve">S4-REG-02</x:t>
  </x:si>
  <x:si>
    <x:t xml:space="preserve">Sprint 1 Student Profile regression</x:t>
  </x:si>
  <x:si>
    <x:t xml:space="preserve">Execute approved Student Profile smoke set.</x:t>
  </x:si>
  <x:si>
    <x:t xml:space="preserve">Core Student Profile remains working.</x:t>
  </x:si>
  <x:si>
    <x:t xml:space="preserve">Sprint 1 Student Profile smoke regression completed successfully. Authenticated profile retrieval and profile update/persistence remained operational on the integrated Sprint 4 testing baseline; 2/2 targeted tests passed.</x:t>
  </x:si>
  <x:si>
    <x:t xml:space="preserve">S4-REG-02-EV-01</x:t>
  </x:si>
  <x:si>
    <x:t xml:space="preserve">Verified using StudentProfileReadAPITests.test_authenticated_profile_get_returns_success_structure and StudentProfilePatchAPITests.test_patch_returns_success_structure_and_persists_to_get; both targeted regression tests passed 2/2. Core Student Profile read, update, persistence, and read-back functionality remained working after Sprint 4 integration.</x:t>
  </x:si>
  <x:si>
    <x:t xml:space="preserve">S4-REG-03</x:t>
  </x:si>
  <x:si>
    <x:t xml:space="preserve">Sprint 2 career-analysis regression</x:t>
  </x:si>
  <x:si>
    <x:t xml:space="preserve">Execute approved Career Recommendation, Skill Gap, Readiness, Learning, and Roadmap smoke set.</x:t>
  </x:si>
  <x:si>
    <x:t xml:space="preserve">Core Sprint 2 career-analysis functions remain working.</x:t>
  </x:si>
  <x:si>
    <x:t xml:space="preserve">S4-REG-04</x:t>
  </x:si>
  <x:si>
    <x:t xml:space="preserve">Sprint 3 document regression</x:t>
  </x:si>
  <x:si>
    <x:t xml:space="preserve">Execute approved Resume and Cover Letter smoke set.</x:t>
  </x:si>
  <x:si>
    <x:t xml:space="preserve">Core document flows remain working.</x:t>
  </x:si>
  <x:si>
    <x:t xml:space="preserve">Approved Sprint 3 document smoke regression completed successfully. Resume and Cover Letter structured draft generation both remained operational on the integrated Sprint 4 testing baseline; 2/2 targeted tests passed.</x:t>
  </x:si>
  <x:si>
    <x:t xml:space="preserve">S4-REG-04-EV-01</x:t>
  </x:si>
  <x:si>
    <x:t xml:space="preserve">Verified using ResumeGenerationAPITests.test_success_returns_structured_resume_draft and CoverLetterGenerationAPITests.test_success_returns_structured_cover_letter_draft; both targeted regression tests passed 2/2. Core Resume and Cover Letter backend document flows remained working after Sprint 4 integration.</x:t>
  </x:si>
  <x:si>
    <x:t xml:space="preserve">S4-REG-05</x:t>
  </x:si>
  <x:si>
    <x:t xml:space="preserve">Sprint 3 Interview regression</x:t>
  </x:si>
  <x:si>
    <x:t xml:space="preserve">Execute approved Interview Question and Feedback smoke set.</x:t>
  </x:si>
  <x:si>
    <x:t xml:space="preserve">Core Interview flow remains working.</x:t>
  </x:si>
  <x:si>
    <x:t xml:space="preserve">S4-REG-06</x:t>
  </x:si>
  <x:si>
    <x:t xml:space="preserve">Feature-complete Sprint 4 end-to-end smoke</x:t>
  </x:si>
  <x:si>
    <x:t xml:space="preserve">All WBS 7.9 predecessors merged and no Critical blocker</x:t>
  </x:si>
  <x:si>
    <x:t xml:space="preserve">Run Student and Administrator core Sprint 4 flows from authentication through final result.</x:t>
  </x:si>
  <x:si>
    <x:t xml:space="preserve">Core Sprint 4 integrated increment works without unresolved Critical or High blocking defect.</x:t>
  </x:si>
  <x:si>
    <x:t xml:space="preserve">GradNavi Sprint 4 Evidence Index</x:t>
  </x:si>
  <x:si>
    <x:t xml:space="preserve">Related Test IDs</x:t>
  </x:si>
  <x:si>
    <x:t xml:space="preserve">Evidence Type</x:t>
  </x:si>
  <x:si>
    <x:t xml:space="preserve">Description</x:t>
  </x:si>
  <x:si>
    <x:t xml:space="preserve">Repository Path / Planned File</x:t>
  </x:si>
  <x:si>
    <x:t xml:space="preserve">Captured Date</x:t>
  </x:si>
  <x:si>
    <x:t xml:space="preserve">S4-EV-ENV-001</x:t>
  </x:si>
  <x:si>
    <x:t xml:space="preserve">S4-ENV-01 to S4-ENV-07</x:t>
  </x:si>
  <x:si>
    <x:t xml:space="preserve">Terminal / automated output</x:t>
  </x:si>
  <x:si>
    <x:t xml:space="preserve">Environment, Django, migration, backend, lint, build and baseline verification evidence</x:t>
  </x:si>
  <x:si>
    <x:t xml:space="preserve">docs/testing/evidence/sprint-4/</x:t>
  </x:si>
  <x:si>
    <x:t xml:space="preserve">All Members</x:t>
  </x:si>
  <x:si>
    <x:t xml:space="preserve">S4-EV-JOB-001</x:t>
  </x:si>
  <x:si>
    <x:t xml:space="preserve">S4-JOB-01 to S4-JOB-15</x:t>
  </x:si>
  <x:si>
    <x:t xml:space="preserve">Screenshots + API evidence</x:t>
  </x:si>
  <x:si>
    <x:t xml:space="preserve">Job Matching integration and handoff evidence</x:t>
  </x:si>
  <x:si>
    <x:t xml:space="preserve">Planned</x:t>
  </x:si>
  <x:si>
    <x:t xml:space="preserve">S4-EV-AI-001</x:t>
  </x:si>
  <x:si>
    <x:t xml:space="preserve">S4-AI-01 to S4-AI-12</x:t>
  </x:si>
  <x:si>
    <x:t xml:space="preserve">Automated output</x:t>
  </x:si>
  <x:si>
    <x:t xml:space="preserve">AI response validation and controlled provider failure evidence</x:t>
  </x:si>
  <x:si>
    <x:t xml:space="preserve">WBS 7.4</x:t>
  </x:si>
  <x:si>
    <x:t xml:space="preserve">S4-EV-DOC-001</x:t>
  </x:si>
  <x:si>
    <x:t xml:space="preserve">S4-RESUME-01 to S4-COVER-07</x:t>
  </x:si>
  <x:si>
    <x:t xml:space="preserve">Screenshots + automated output</x:t>
  </x:si>
  <x:si>
    <x:t xml:space="preserve">Resume and Cover Letter integration evidence</x:t>
  </x:si>
  <x:si>
    <x:t xml:space="preserve">S4-EV-INT-001</x:t>
  </x:si>
  <x:si>
    <x:t xml:space="preserve">S4-INT-01 to S4-INT-09</x:t>
  </x:si>
  <x:si>
    <x:t xml:space="preserve">Interview Questions and Feedback integration evidence</x:t>
  </x:si>
  <x:si>
    <x:t xml:space="preserve">S4-EV-ADMIN-001</x:t>
  </x:si>
  <x:si>
    <x:t xml:space="preserve">S4-ADMINAPI-01 to S4-ADMINAPI-10</x:t>
  </x:si>
  <x:si>
    <x:t xml:space="preserve">API / automated output</x:t>
  </x:si>
  <x:si>
    <x:t xml:space="preserve">Administration API integration evidence</x:t>
  </x:si>
  <x:si>
    <x:t xml:space="preserve">WBS 7.6</x:t>
  </x:si>
  <x:si>
    <x:t xml:space="preserve">S4-EV-ADMINUI-001</x:t>
  </x:si>
  <x:si>
    <x:t xml:space="preserve">S4-ADMINUI-01 to S4-ADMINUI-08</x:t>
  </x:si>
  <x:si>
    <x:t xml:space="preserve">Screenshots</x:t>
  </x:si>
  <x:si>
    <x:t xml:space="preserve">Admin Dashboard integration evidence</x:t>
  </x:si>
  <x:si>
    <x:t xml:space="preserve">WBS 7.7</x:t>
  </x:si>
  <x:si>
    <x:t xml:space="preserve">S4-EV-PERM-001</x:t>
  </x:si>
  <x:si>
    <x:t xml:space="preserve">S4-PERM-01 to S4-PERM-06</x:t>
  </x:si>
  <x:si>
    <x:t xml:space="preserve">Role permission enforcement evidence</x:t>
  </x:si>
  <x:si>
    <x:t xml:space="preserve">WBS 7.8</x:t>
  </x:si>
  <x:si>
    <x:t xml:space="preserve">S4-EV-AUDIT-001</x:t>
  </x:si>
  <x:si>
    <x:t xml:space="preserve">S4-AUDIT-01 to S4-AUDIT-06</x:t>
  </x:si>
  <x:si>
    <x:t xml:space="preserve">Database / API evidence</x:t>
  </x:si>
  <x:si>
    <x:t xml:space="preserve">Audit record creation, content and permission evidence</x:t>
  </x:si>
  <x:si>
    <x:t xml:space="preserve">S4-EV-FE-001</x:t>
  </x:si>
  <x:si>
    <x:t xml:space="preserve">S4-FE-01 to S4-FE-08</x:t>
  </x:si>
  <x:si>
    <x:t xml:space="preserve">Screenshots / browser checklist</x:t>
  </x:si>
  <x:si>
    <x:t xml:space="preserve">Responsive, keyboard and browser compatibility evidence</x:t>
  </x:si>
  <x:si>
    <x:t xml:space="preserve">S4-EV-REG-001</x:t>
  </x:si>
  <x:si>
    <x:t xml:space="preserve">S4-REG-01 to S4-REG-06</x:t>
  </x:si>
  <x:si>
    <x:t xml:space="preserve">Automated + smoke evidence</x:t>
  </x:si>
  <x:si>
    <x:t xml:space="preserve">Sprint 1 to Sprint 3 regression and final Sprint 4 smoke evidence</x:t>
  </x:si>
</x:sst>
</file>

<file path=xl/styles.xml><?xml version="1.0" encoding="utf-8"?>
<x:styleSheet xmlns:x="http://schemas.openxmlformats.org/spreadsheetml/2006/main">
  <x:fonts count="5">
    <x:font>
      <x:sz val="11"/>
      <x:name val="Carlito"/>
    </x:font>
    <x:font>
      <x:b/>
      <x:sz val="16"/>
      <x:color rgb="FFFFFFFF"/>
      <x:name val="Carlito"/>
    </x:font>
    <x:font>
      <x:sz val="10"/>
      <x:color rgb="FF17324D"/>
      <x:name val="Carlito"/>
    </x:font>
    <x:font>
      <x:b/>
      <x:sz val="11"/>
      <x:color rgb="FFFFFFFF"/>
      <x:name val="Carlito"/>
    </x:font>
    <x:font>
      <x:sz val="10"/>
      <x:name val="Arial Unicode MS"/>
    </x:font>
  </x:fonts>
  <x:fills count="5">
    <x:fill>
      <x:patternFill patternType="none"/>
    </x:fill>
    <x:fill>
      <x:patternFill patternType="gray125"/>
    </x:fill>
    <x:fill>
      <x:patternFill patternType="solid">
        <x:fgColor rgb="FF17324D"/>
      </x:patternFill>
    </x:fill>
    <x:fill>
      <x:patternFill patternType="solid">
        <x:fgColor rgb="FFE7EEF5"/>
      </x:patternFill>
    </x:fill>
    <x:fill>
      <x:patternFill patternType="solid">
        <x:fgColor rgb="FF2F5D7E"/>
      </x:patternFill>
    </x:fill>
  </x:fills>
  <x:borders count="1">
    <x:border/>
  </x:borders>
  <x:cellStyleXfs count="1">
    <x:xf numFmtId="0" fontId="0" fillId="0" borderId="0"/>
  </x:cellStyleXfs>
  <x:cellXfs count="10">
    <x:xf numFmtId="0" fontId="0" fillId="0" borderId="0" xfId="0"/>
    <x:xf numFmtId="0" fontId="3" fillId="4" borderId="0" xfId="0" applyFont="1" applyFill="1" applyAlignment="1">
      <x:alignment horizontal="center" vertical="center" wrapText="1"/>
    </x:xf>
    <x:xf numFmtId="0" fontId="0" fillId="0" borderId="0" xfId="0" applyAlignment="1">
      <x:alignment wrapText="1"/>
    </x:xf>
    <x:xf numFmtId="0" fontId="0" fillId="0" borderId="0" xfId="0" applyAlignment="1">
      <x:alignment horizontal="left" vertical="center" wrapText="1"/>
    </x:xf>
    <x:xf numFmtId="0" fontId="0" fillId="0" borderId="0" xfId="0" applyAlignment="1">
      <x:alignment horizontal="center" vertical="center" wrapText="1"/>
    </x:xf>
    <x:xf numFmtId="0" fontId="0" fillId="0" borderId="0" xfId="0" applyAlignment="1">
      <x:alignment horizontal="left" vertical="top" wrapText="1"/>
    </x:xf>
    <x:xf numFmtId="0" fontId="4" fillId="0" borderId="0" xfId="0" applyFont="1" applyAlignment="1">
      <x:alignment horizontal="left" vertical="top" wrapText="1"/>
    </x:xf>
    <x:xf numFmtId="0" fontId="0" fillId="0" borderId="0" xfId="0" applyAlignment="1">
      <x:alignment vertical="center" wrapText="1"/>
    </x:xf>
    <x:xf numFmtId="0" fontId="1" fillId="2" borderId="0" xfId="0" applyFont="1" applyFill="1" applyAlignment="1">
      <x:alignment horizontal="left" vertical="center"/>
    </x:xf>
    <x:xf numFmtId="0" fontId="2" fillId="3" borderId="0" xfId="0" applyFont="1" applyFill="1" applyAlignment="1">
      <x:alignment vertical="center" wrapText="1"/>
    </x:xf>
  </x:cellXfs>
  <x:cellStyles count="1">
    <x:cellStyle name="Normal" xfId="0"/>
  </x:cellStyles>
  <x:dxfs count="60">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
      <x:fill>
        <x:patternFill>
          <x:bgColor rgb="FFFFF2CC"/>
        </x:patternFill>
      </x:fill>
    </x:dxf>
    <x:dxf>
      <x:fill>
        <x:patternFill>
          <x:bgColor rgb="FFEDEDED"/>
        </x:patternFill>
      </x:fill>
    </x:dxf>
    <x:dxf>
      <x:fill>
        <x:patternFill>
          <x:bgColor rgb="FFFCE5CD"/>
        </x:patternFill>
      </x:fill>
    </x:dxf>
    <x:dxf>
      <x:fill>
        <x:patternFill>
          <x:bgColor rgb="FFF4CC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11c753fd404595" /><Relationship Type="http://schemas.openxmlformats.org/officeDocument/2006/relationships/theme" Target="/xl/theme/theme1.xml" Id="Rd8c0315c514e4fad" /><Relationship Type="http://schemas.openxmlformats.org/officeDocument/2006/relationships/sharedStrings" Target="/xl/sharedStrings.xml" Id="R15206c125e204865" /><Relationship Type="http://schemas.openxmlformats.org/officeDocument/2006/relationships/worksheet" Target="/xl/worksheets/sheet1.xml" Id="R4f88b03441244812" /><Relationship Type="http://schemas.openxmlformats.org/officeDocument/2006/relationships/worksheet" Target="/xl/worksheets/sheet2.xml" Id="R7c98bc1bc33f4c28" /><Relationship Type="http://schemas.openxmlformats.org/officeDocument/2006/relationships/worksheet" Target="/xl/worksheets/sheet3.xml" Id="R83de0518da7648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abb521786949b2"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Sprint 4 Test Status</a:t>
            </a:r>
          </a:p>
        </c:rich>
      </c:tx>
      <c:overlay val="1"/>
    </c:title>
    <c:autoTitleDeleted val="0"/>
    <c:plotArea>
      <c:barChart>
        <c:barDir val="col"/>
        <c:grouping val="clustered"/>
        <c:varyColors val="0"/>
        <c:ser>
          <c:idx val="0"/>
          <c:order val="0"/>
          <c:tx>
            <c:v>Series 1</c:v>
          </c:tx>
          <c:cat>
            <c:strRef>
              <c:f>Dashboard!$A$5:$A$10</c:f>
              <c:strCache>
                <c:ptCount val="6"/>
                <c:pt idx="0">
                  <c:v>Total Test Cases</c:v>
                </c:pt>
                <c:pt idx="1">
                  <c:v>Pass</c:v>
                </c:pt>
                <c:pt idx="2">
                  <c:v>Fail</c:v>
                </c:pt>
                <c:pt idx="3">
                  <c:v>Blocked</c:v>
                </c:pt>
                <c:pt idx="4">
                  <c:v>Not Run</c:v>
                </c:pt>
                <c:pt idx="5">
                  <c:v>Retest</c:v>
                </c:pt>
              </c:strCache>
            </c:strRef>
          </c:cat>
          <c:val>
            <c:numRef>
              <c:f>Dashboard!$B$5:$B$10</c:f>
              <c:numCache>
                <c:formatCode>General</c:formatCode>
                <c:ptCount val="6"/>
                <c:pt idx="0">
                  <c:v>129</c:v>
                </c:pt>
                <c:pt idx="1">
                  <c:v>124</c:v>
                </c:pt>
                <c:pt idx="2">
                  <c:v>0</c:v>
                </c:pt>
                <c:pt idx="3">
                  <c:v>5</c:v>
                </c:pt>
                <c:pt idx="4">
                  <c:v>0</c:v>
                </c:pt>
                <c:pt idx="5">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abb521786949b2"/>
        </a:graphicData>
      </a:graphic>
    </xdr:graphicFrame>
    <xdr:clientData/>
  </xdr:twoCellAnchor>
</xdr:wsDr>
</file>

<file path=xl/tables/table1.xml><?xml version="1.0" encoding="utf-8"?>
<x:table xmlns:x="http://schemas.openxmlformats.org/spreadsheetml/2006/main" id="1" name="Sprint4TestCasesTable" displayName="Sprint4TestCasesTable" ref="A5:R134" totalsRowShown="0">
  <x:tableColumns count="18">
    <x:tableColumn id="1" name="Test ID"/>
    <x:tableColumn id="2" name="WBS"/>
    <x:tableColumn id="3" name="Area"/>
    <x:tableColumn id="4" name="Requirement"/>
    <x:tableColumn id="5" name="Priority"/>
    <x:tableColumn id="6" name="Test Level"/>
    <x:tableColumn id="7" name="Test Case"/>
    <x:tableColumn id="8" name="Preconditions"/>
    <x:tableColumn id="9" name="Steps"/>
    <x:tableColumn id="10" name="Expected Result"/>
    <x:tableColumn id="11" name="Owner"/>
    <x:tableColumn id="12" name="Status"/>
    <x:tableColumn id="13" name="Blocked By"/>
    <x:tableColumn id="14" name="Actual Result"/>
    <x:tableColumn id="15" name="Evidence ID"/>
    <x:tableColumn id="16" name="Defect Ref"/>
    <x:tableColumn id="17" name="Automation"/>
    <x:tableColumn id="18" name="Notes"/>
  </x:tableColumns>
  <x:tableStyleInfo name="TableStyleMedium2" showFirstColumn="0" showLastColumn="0" showRowStripes="1" showColumnStripes="0"/>
</x:table>
</file>

<file path=xl/tables/table2.xml><?xml version="1.0" encoding="utf-8"?>
<x:table xmlns:x="http://schemas.openxmlformats.org/spreadsheetml/2006/main" id="2" name="Sprint4EvidenceTable" displayName="Sprint4EvidenceTable" ref="A5:J16" totalsRowShown="0">
  <x:tableColumns count="10">
    <x:tableColumn id="1" name="Evidence ID"/>
    <x:tableColumn id="2" name="Related Test IDs"/>
    <x:tableColumn id="3" name="WBS"/>
    <x:tableColumn id="4" name="Evidence Type"/>
    <x:tableColumn id="5" name="Description"/>
    <x:tableColumn id="6" name="Repository Path / Planned File"/>
    <x:tableColumn id="7" name="Owner"/>
    <x:tableColumn id="8" name="Status"/>
    <x:tableColumn id="9" name="Captured Date"/>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d0180d9f52b48c3" /></Relationships>
</file>

<file path=xl/worksheets/_rels/sheet2.xml.rels>&#65279;<?xml version="1.0" encoding="utf-8"?><Relationships xmlns="http://schemas.openxmlformats.org/package/2006/relationships"><Relationship Type="http://schemas.openxmlformats.org/officeDocument/2006/relationships/table" Target="/xl/tables/table1.xml" Id="Rbb7c85abfd2a4f6f" /></Relationships>
</file>

<file path=xl/worksheets/_rels/sheet3.xml.rels>&#65279;<?xml version="1.0" encoding="utf-8"?><Relationships xmlns="http://schemas.openxmlformats.org/package/2006/relationships"><Relationship Type="http://schemas.openxmlformats.org/officeDocument/2006/relationships/table" Target="/xl/tables/table2.xml" Id="R964aa619511a4164" /></Relationships>
</file>

<file path=xl/worksheets/sheet1.xml><?xml version="1.0" encoding="utf-8"?>
<x:worksheet xmlns:x="http://schemas.openxmlformats.org/spreadsheetml/2006/main">
  <x:sheetFormatPr defaultRowHeight="14.25"/>
  <x:cols>
    <x:col min="1" max="1" width="24" customWidth="1"/>
    <x:col min="2" max="2" width="12" customWidth="1"/>
    <x:col min="3" max="3" width="3" customWidth="1"/>
    <x:col min="4" max="4" width="28" customWidth="1"/>
    <x:col min="5" max="8" width="10" customWidth="1"/>
  </x:cols>
  <x:sheetData>
    <x:row r="1" ht="20.25">
      <x:c r="A1" s="8" t="s">
        <x:v>0</x:v>
      </x:c>
      <x:c r="B1" s="8"/>
      <x:c r="C1" s="8"/>
      <x:c r="D1" s="8"/>
      <x:c r="E1" s="8"/>
      <x:c r="F1" s="8"/>
      <x:c r="G1" s="8"/>
      <x:c r="H1" s="8"/>
    </x:row>
    <x:row r="2">
      <x:c r="A2" s="9" t="str">
        <x:v>WBS 7.9 Sprint 4 Integration and Testing. Final execution tracker after completion of the remaining Sprint 4 tests.</x:v>
      </x:c>
      <x:c r="B2" s="9"/>
      <x:c r="C2" s="9"/>
      <x:c r="D2" s="9"/>
      <x:c r="E2" s="9"/>
      <x:c r="F2" s="9"/>
      <x:c r="G2" s="9"/>
      <x:c r="H2" s="9"/>
    </x:row>
    <x:row r="4" ht="15">
      <x:c r="A4" s="1" t="s">
        <x:v>1</x:v>
      </x:c>
      <x:c r="B4" s="1" t="s">
        <x:v>2</x:v>
      </x:c>
      <x:c r="C4" s="2"/>
      <x:c r="D4" s="1" t="s">
        <x:v>3</x:v>
      </x:c>
      <x:c r="E4" s="1" t="s">
        <x:v>4</x:v>
      </x:c>
      <x:c r="F4" s="1" t="s">
        <x:v>5</x:v>
      </x:c>
      <x:c r="G4" s="1" t="s">
        <x:v>6</x:v>
      </x:c>
      <x:c r="H4" s="1" t="s">
        <x:v>7</x:v>
      </x:c>
    </x:row>
    <x:row r="5">
      <x:c r="A5" s="2" t="s">
        <x:v>8</x:v>
      </x:c>
      <x:c r="B5" s="2" t="n">
        <x:f>COUNTA('Test Cases'!A6:A134)</x:f>
        <x:v>129</x:v>
      </x:c>
      <x:c r="C5" s="2"/>
      <x:c r="D5" s="2" t="s">
        <x:v>9</x:v>
      </x:c>
      <x:c r="E5" s="2" t="n">
        <x:f>COUNTIF('Test Cases'!C6:C134,D5)</x:f>
        <x:v>7</x:v>
      </x:c>
      <x:c r="F5" s="2" t="n">
        <x:f>COUNTIFS('Test Cases'!C6:C134,D5,'Test Cases'!L6:L134,"Blocked")</x:f>
        <x:v>0</x:v>
      </x:c>
      <x:c r="G5" s="2" t="n">
        <x:f>COUNTIFS('Test Cases'!C6:C134,D5,'Test Cases'!L6:L134,"Not Run")</x:f>
        <x:v>0</x:v>
      </x:c>
      <x:c r="H5" s="2" t="n">
        <x:f t="shared" ref="H5:H22" si="0">E5-F5-G5</x:f>
        <x:v>7</x:v>
      </x:c>
    </x:row>
    <x:row r="6">
      <x:c r="A6" s="2" t="s">
        <x:v>10</x:v>
      </x:c>
      <x:c r="B6" s="2" t="n">
        <x:f>COUNTIF('Test Cases'!L6:L134,"Pass")</x:f>
        <x:v>129</x:v>
      </x:c>
      <x:c r="C6" s="2"/>
      <x:c r="D6" s="2" t="s">
        <x:v>11</x:v>
      </x:c>
      <x:c r="E6" s="2" t="n">
        <x:f>COUNTIF('Test Cases'!C6:C134,D6)</x:f>
        <x:v>5</x:v>
      </x:c>
      <x:c r="F6" s="2" t="n">
        <x:f>COUNTIFS('Test Cases'!C6:C134,D6,'Test Cases'!L6:L134,"Blocked")</x:f>
        <x:v>0</x:v>
      </x:c>
      <x:c r="G6" s="2" t="n">
        <x:f>COUNTIFS('Test Cases'!C6:C134,D6,'Test Cases'!L6:L134,"Not Run")</x:f>
        <x:v>0</x:v>
      </x:c>
      <x:c r="H6" s="2">
        <x:f t="shared" si="0"/>
        <x:v>5</x:v>
      </x:c>
    </x:row>
    <x:row r="7">
      <x:c r="A7" s="2" t="s">
        <x:v>12</x:v>
      </x:c>
      <x:c r="B7" s="2" t="n">
        <x:f>COUNTIF('Test Cases'!L6:L134,"Fail")</x:f>
        <x:v>0</x:v>
      </x:c>
      <x:c r="C7" s="2"/>
      <x:c r="D7" s="2" t="s">
        <x:v>13</x:v>
      </x:c>
      <x:c r="E7" s="2" t="n">
        <x:f>COUNTIF('Test Cases'!C6:C134,D7)</x:f>
        <x:v>4</x:v>
      </x:c>
      <x:c r="F7" s="2" t="n">
        <x:f>COUNTIFS('Test Cases'!C6:C134,D7,'Test Cases'!L6:L134,"Blocked")</x:f>
        <x:v>0</x:v>
      </x:c>
      <x:c r="G7" s="2" t="n">
        <x:f>COUNTIFS('Test Cases'!C6:C134,D7,'Test Cases'!L6:L134,"Not Run")</x:f>
        <x:v>0</x:v>
      </x:c>
      <x:c r="H7" s="2">
        <x:f t="shared" si="0"/>
        <x:v>4</x:v>
      </x:c>
    </x:row>
    <x:row r="8">
      <x:c r="A8" s="2" t="s">
        <x:v>5</x:v>
      </x:c>
      <x:c r="B8" s="2" t="n">
        <x:f>COUNTIF('Test Cases'!L6:L134,"Blocked")</x:f>
        <x:v>0</x:v>
      </x:c>
      <x:c r="C8" s="2"/>
      <x:c r="D8" s="2" t="s">
        <x:v>14</x:v>
      </x:c>
      <x:c r="E8" s="2" t="n">
        <x:f>COUNTIF('Test Cases'!C6:C134,D8)</x:f>
        <x:v>6</x:v>
      </x:c>
      <x:c r="F8" s="2" t="n">
        <x:f>COUNTIFS('Test Cases'!C6:C134,D8,'Test Cases'!L6:L134,"Blocked")</x:f>
        <x:v>0</x:v>
      </x:c>
      <x:c r="G8" s="2" t="n">
        <x:f>COUNTIFS('Test Cases'!C6:C134,D8,'Test Cases'!L6:L134,"Not Run")</x:f>
        <x:v>0</x:v>
      </x:c>
      <x:c r="H8" s="2">
        <x:f t="shared" si="0"/>
        <x:v>6</x:v>
      </x:c>
    </x:row>
    <x:row r="9">
      <x:c r="A9" s="2" t="s">
        <x:v>6</x:v>
      </x:c>
      <x:c r="B9" s="2" t="n">
        <x:f>COUNTIF('Test Cases'!L6:L134,"Not Run")</x:f>
        <x:v>0</x:v>
      </x:c>
      <x:c r="C9" s="2"/>
      <x:c r="D9" s="2" t="s">
        <x:v>15</x:v>
      </x:c>
      <x:c r="E9" s="2" t="n">
        <x:f>COUNTIF('Test Cases'!C6:C134,D9)</x:f>
        <x:v>5</x:v>
      </x:c>
      <x:c r="F9" s="2" t="n">
        <x:f>COUNTIFS('Test Cases'!C6:C134,D9,'Test Cases'!L6:L134,"Blocked")</x:f>
        <x:v>0</x:v>
      </x:c>
      <x:c r="G9" s="2" t="n">
        <x:f>COUNTIFS('Test Cases'!C6:C134,D9,'Test Cases'!L6:L134,"Not Run")</x:f>
        <x:v>0</x:v>
      </x:c>
      <x:c r="H9" s="2">
        <x:f t="shared" si="0"/>
        <x:v>5</x:v>
      </x:c>
    </x:row>
    <x:row r="10">
      <x:c r="A10" s="2" t="s">
        <x:v>16</x:v>
      </x:c>
      <x:c r="B10" s="2" t="n">
        <x:f>COUNTIF('Test Cases'!L6:L134,"Retest")</x:f>
        <x:v>0</x:v>
      </x:c>
      <x:c r="C10" s="2"/>
      <x:c r="D10" s="2" t="s">
        <x:v>17</x:v>
      </x:c>
      <x:c r="E10" s="2" t="n">
        <x:f>COUNTIF('Test Cases'!C6:C134,D10)</x:f>
        <x:v>4</x:v>
      </x:c>
      <x:c r="F10" s="2" t="n">
        <x:f>COUNTIFS('Test Cases'!C6:C134,D10,'Test Cases'!L6:L134,"Blocked")</x:f>
        <x:v>0</x:v>
      </x:c>
      <x:c r="G10" s="2" t="n">
        <x:f>COUNTIFS('Test Cases'!C6:C134,D10,'Test Cases'!L6:L134,"Not Run")</x:f>
        <x:v>0</x:v>
      </x:c>
      <x:c r="H10" s="2">
        <x:f t="shared" si="0"/>
        <x:v>4</x:v>
      </x:c>
    </x:row>
    <x:row r="11">
      <x:c r="A11" s="2"/>
      <x:c r="B11" s="2"/>
      <x:c r="C11" s="2"/>
      <x:c r="D11" s="2" t="s">
        <x:v>18</x:v>
      </x:c>
      <x:c r="E11" s="2" t="n">
        <x:f>COUNTIF('Test Cases'!C6:C134,D11)</x:f>
        <x:v>4</x:v>
      </x:c>
      <x:c r="F11" s="2" t="n">
        <x:f>COUNTIFS('Test Cases'!C6:C134,D11,'Test Cases'!L6:L134,"Blocked")</x:f>
        <x:v>0</x:v>
      </x:c>
      <x:c r="G11" s="2" t="n">
        <x:f>COUNTIFS('Test Cases'!C6:C134,D11,'Test Cases'!L6:L134,"Not Run")</x:f>
        <x:v>0</x:v>
      </x:c>
      <x:c r="H11" s="2">
        <x:f t="shared" si="0"/>
        <x:v>4</x:v>
      </x:c>
    </x:row>
    <x:row r="12">
      <x:c r="A12" s="2"/>
      <x:c r="B12" s="2"/>
      <x:c r="C12" s="2"/>
      <x:c r="D12" s="2" t="s">
        <x:v>19</x:v>
      </x:c>
      <x:c r="E12" s="2" t="n">
        <x:f>COUNTIF('Test Cases'!C6:C134,D12)</x:f>
        <x:v>15</x:v>
      </x:c>
      <x:c r="F12" s="2" t="n">
        <x:f>COUNTIFS('Test Cases'!C6:C134,D12,'Test Cases'!L6:L134,"Blocked")</x:f>
        <x:v>0</x:v>
      </x:c>
      <x:c r="G12" s="2" t="n">
        <x:f>COUNTIFS('Test Cases'!C6:C134,D12,'Test Cases'!L6:L134,"Not Run")</x:f>
        <x:v>0</x:v>
      </x:c>
      <x:c r="H12" s="2">
        <x:f t="shared" si="0"/>
        <x:v>15</x:v>
      </x:c>
    </x:row>
    <x:row r="13">
      <x:c r="A13" s="2"/>
      <x:c r="B13" s="2"/>
      <x:c r="C13" s="2"/>
      <x:c r="D13" s="2" t="s">
        <x:v>20</x:v>
      </x:c>
      <x:c r="E13" s="2" t="n">
        <x:f>COUNTIF('Test Cases'!C6:C134,D13)</x:f>
        <x:v>7</x:v>
      </x:c>
      <x:c r="F13" s="2" t="n">
        <x:f>COUNTIFS('Test Cases'!C6:C134,D13,'Test Cases'!L6:L134,"Blocked")</x:f>
        <x:v>0</x:v>
      </x:c>
      <x:c r="G13" s="2" t="n">
        <x:f>COUNTIFS('Test Cases'!C6:C134,D13,'Test Cases'!L6:L134,"Not Run")</x:f>
        <x:v>0</x:v>
      </x:c>
      <x:c r="H13" s="2">
        <x:f t="shared" si="0"/>
        <x:v>7</x:v>
      </x:c>
    </x:row>
    <x:row r="14">
      <x:c r="A14" s="2"/>
      <x:c r="B14" s="2"/>
      <x:c r="C14" s="2"/>
      <x:c r="D14" s="2" t="s">
        <x:v>21</x:v>
      </x:c>
      <x:c r="E14" s="2" t="n">
        <x:f>COUNTIF('Test Cases'!C6:C134,D14)</x:f>
        <x:v>7</x:v>
      </x:c>
      <x:c r="F14" s="2" t="n">
        <x:f>COUNTIFS('Test Cases'!C6:C134,D14,'Test Cases'!L6:L134,"Blocked")</x:f>
        <x:v>0</x:v>
      </x:c>
      <x:c r="G14" s="2" t="n">
        <x:f>COUNTIFS('Test Cases'!C6:C134,D14,'Test Cases'!L6:L134,"Not Run")</x:f>
        <x:v>0</x:v>
      </x:c>
      <x:c r="H14" s="2">
        <x:f t="shared" si="0"/>
        <x:v>7</x:v>
      </x:c>
    </x:row>
    <x:row r="15">
      <x:c r="A15" s="2"/>
      <x:c r="B15" s="2"/>
      <x:c r="C15" s="2"/>
      <x:c r="D15" s="2" t="s">
        <x:v>22</x:v>
      </x:c>
      <x:c r="E15" s="2" t="n">
        <x:f>COUNTIF('Test Cases'!C6:C134,D15)</x:f>
        <x:v>9</x:v>
      </x:c>
      <x:c r="F15" s="2" t="n">
        <x:f>COUNTIFS('Test Cases'!C6:C134,D15,'Test Cases'!L6:L134,"Blocked")</x:f>
        <x:v>0</x:v>
      </x:c>
      <x:c r="G15" s="2" t="n">
        <x:f>COUNTIFS('Test Cases'!C6:C134,D15,'Test Cases'!L6:L134,"Not Run")</x:f>
        <x:v>0</x:v>
      </x:c>
      <x:c r="H15" s="2">
        <x:f t="shared" si="0"/>
        <x:v>9</x:v>
      </x:c>
    </x:row>
    <x:row r="16">
      <x:c r="A16" s="2"/>
      <x:c r="B16" s="2"/>
      <x:c r="C16" s="2"/>
      <x:c r="D16" s="2" t="s">
        <x:v>23</x:v>
      </x:c>
      <x:c r="E16" s="2" t="n">
        <x:f>COUNTIF('Test Cases'!C6:C134,D16)</x:f>
        <x:v>12</x:v>
      </x:c>
      <x:c r="F16" s="2" t="n">
        <x:f>COUNTIFS('Test Cases'!C6:C134,D16,'Test Cases'!L6:L134,"Blocked")</x:f>
        <x:v>0</x:v>
      </x:c>
      <x:c r="G16" s="2" t="n">
        <x:f>COUNTIFS('Test Cases'!C6:C134,D16,'Test Cases'!L6:L134,"Not Run")</x:f>
        <x:v>0</x:v>
      </x:c>
      <x:c r="H16" s="2">
        <x:f t="shared" si="0"/>
        <x:v>12</x:v>
      </x:c>
    </x:row>
    <x:row r="17">
      <x:c r="A17" s="2"/>
      <x:c r="B17" s="2"/>
      <x:c r="C17" s="2"/>
      <x:c r="D17" s="2" t="s">
        <x:v>24</x:v>
      </x:c>
      <x:c r="E17" s="2" t="n">
        <x:f>COUNTIF('Test Cases'!C6:C134,D17)</x:f>
        <x:v>10</x:v>
      </x:c>
      <x:c r="F17" s="2" t="n">
        <x:f>COUNTIFS('Test Cases'!C6:C134,D17,'Test Cases'!L6:L134,"Blocked")</x:f>
        <x:v>0</x:v>
      </x:c>
      <x:c r="G17" s="2" t="n">
        <x:f>COUNTIFS('Test Cases'!C6:C134,D17,'Test Cases'!L6:L134,"Not Run")</x:f>
        <x:v>0</x:v>
      </x:c>
      <x:c r="H17" s="2">
        <x:f t="shared" si="0"/>
        <x:v>10</x:v>
      </x:c>
    </x:row>
    <x:row r="18">
      <x:c r="A18" s="2"/>
      <x:c r="B18" s="2"/>
      <x:c r="C18" s="2"/>
      <x:c r="D18" s="2" t="s">
        <x:v>25</x:v>
      </x:c>
      <x:c r="E18" s="2" t="n">
        <x:f>COUNTIF('Test Cases'!C6:C134,D18)</x:f>
        <x:v>8</x:v>
      </x:c>
      <x:c r="F18" s="2" t="n">
        <x:f>COUNTIFS('Test Cases'!C6:C134,D18,'Test Cases'!L6:L134,"Blocked")</x:f>
        <x:v>0</x:v>
      </x:c>
      <x:c r="G18" s="2" t="n">
        <x:f>COUNTIFS('Test Cases'!C6:C134,D18,'Test Cases'!L6:L134,"Not Run")</x:f>
        <x:v>0</x:v>
      </x:c>
      <x:c r="H18" s="2">
        <x:f t="shared" si="0"/>
        <x:v>8</x:v>
      </x:c>
    </x:row>
    <x:row r="19">
      <x:c r="A19" s="2"/>
      <x:c r="B19" s="2"/>
      <x:c r="C19" s="2"/>
      <x:c r="D19" s="2" t="s">
        <x:v>26</x:v>
      </x:c>
      <x:c r="E19" s="2" t="n">
        <x:f>COUNTIF('Test Cases'!C6:C134,D19)</x:f>
        <x:v>6</x:v>
      </x:c>
      <x:c r="F19" s="2" t="n">
        <x:f>COUNTIFS('Test Cases'!C6:C134,D19,'Test Cases'!L6:L134,"Blocked")</x:f>
        <x:v>0</x:v>
      </x:c>
      <x:c r="G19" s="2" t="n">
        <x:f>COUNTIFS('Test Cases'!C6:C134,D19,'Test Cases'!L6:L134,"Not Run")</x:f>
        <x:v>0</x:v>
      </x:c>
      <x:c r="H19" s="2">
        <x:f t="shared" si="0"/>
        <x:v>6</x:v>
      </x:c>
    </x:row>
    <x:row r="20">
      <x:c r="A20" s="2"/>
      <x:c r="B20" s="2"/>
      <x:c r="C20" s="2"/>
      <x:c r="D20" s="2" t="s">
        <x:v>27</x:v>
      </x:c>
      <x:c r="E20" s="2" t="n">
        <x:f>COUNTIF('Test Cases'!C6:C134,D20)</x:f>
        <x:v>6</x:v>
      </x:c>
      <x:c r="F20" s="2" t="n">
        <x:f>COUNTIFS('Test Cases'!C6:C134,D20,'Test Cases'!L6:L134,"Blocked")</x:f>
        <x:v>0</x:v>
      </x:c>
      <x:c r="G20" s="2" t="n">
        <x:f>COUNTIFS('Test Cases'!C6:C134,D20,'Test Cases'!L6:L134,"Not Run")</x:f>
        <x:v>0</x:v>
      </x:c>
      <x:c r="H20" s="2">
        <x:f t="shared" si="0"/>
        <x:v>6</x:v>
      </x:c>
    </x:row>
    <x:row r="21">
      <x:c r="A21" s="2"/>
      <x:c r="B21" s="2"/>
      <x:c r="C21" s="2"/>
      <x:c r="D21" s="2" t="s">
        <x:v>28</x:v>
      </x:c>
      <x:c r="E21" s="2" t="n">
        <x:f>COUNTIF('Test Cases'!C6:C134,D21)</x:f>
        <x:v>8</x:v>
      </x:c>
      <x:c r="F21" s="2" t="n">
        <x:f>COUNTIFS('Test Cases'!C6:C134,D21,'Test Cases'!L6:L134,"Blocked")</x:f>
        <x:v>0</x:v>
      </x:c>
      <x:c r="G21" s="2" t="n">
        <x:f>COUNTIFS('Test Cases'!C6:C134,D21,'Test Cases'!L6:L134,"Not Run")</x:f>
        <x:v>0</x:v>
      </x:c>
      <x:c r="H21" s="2">
        <x:f t="shared" si="0"/>
        <x:v>8</x:v>
      </x:c>
    </x:row>
    <x:row r="22">
      <x:c r="A22" s="2"/>
      <x:c r="B22" s="2"/>
      <x:c r="C22" s="2"/>
      <x:c r="D22" s="2" t="s">
        <x:v>29</x:v>
      </x:c>
      <x:c r="E22" s="2" t="n">
        <x:f>COUNTIF('Test Cases'!C6:C134,D22)</x:f>
        <x:v>6</x:v>
      </x:c>
      <x:c r="F22" s="2" t="n">
        <x:f>COUNTIFS('Test Cases'!C6:C134,D22,'Test Cases'!L6:L134,"Blocked")</x:f>
        <x:v>0</x:v>
      </x:c>
      <x:c r="G22" s="2" t="n">
        <x:f>COUNTIFS('Test Cases'!C6:C134,D22,'Test Cases'!L6:L134,"Not Run")</x:f>
        <x:v>0</x:v>
      </x:c>
      <x:c r="H22" s="2" t="n">
        <x:f t="shared" si="0"/>
        <x:v>6</x:v>
      </x:c>
    </x:row>
    <x:row r="25">
      <x:c r="A25" t="s">
        <x:v>30</x:v>
      </x:c>
      <x:c r="B25" t="s">
        <x:v>31</x:v>
      </x:c>
    </x:row>
    <x:row r="26">
      <x:c r="A26" t="s">
        <x:v>32</x:v>
      </x:c>
      <x:c r="B26" t="n">
        <x:f>COUNTIF('Test Cases'!$K$6:$K$134,A26)</x:f>
        <x:v>46</x:v>
      </x:c>
    </x:row>
    <x:row r="27">
      <x:c r="A27" t="s">
        <x:v>33</x:v>
      </x:c>
      <x:c r="B27" t="n">
        <x:f>COUNTIF('Test Cases'!$K$6:$K$134,A27)</x:f>
        <x:v>38</x:v>
      </x:c>
    </x:row>
    <x:row r="28">
      <x:c r="A28" t="s">
        <x:v>34</x:v>
      </x:c>
      <x:c r="B28" t="n">
        <x:f>COUNTIF('Test Cases'!$K$6:$K$134,A28)</x:f>
        <x:v>45</x:v>
      </x:c>
    </x:row>
    <x:row r="29">
      <x:c r="A29" t="s">
        <x:v>4</x:v>
      </x:c>
      <x:c r="B29" t="n">
        <x:f>SUM(B26:B28)</x:f>
        <x:v>129</x:v>
      </x:c>
    </x:row>
  </x:sheetData>
  <x:mergeCells>
    <x:mergeCell ref="A1:H1"/>
    <x:mergeCell ref="A2:H2"/>
  </x:mergeCells>
  <x:pageMargins left="0.7" right="0.7" top="0.75" bottom="0.75" header="0.3" footer="0.3"/>
  <x:drawing xmlns:r="http://schemas.openxmlformats.org/officeDocument/2006/relationships" r:id="R7d0180d9f52b48c3"/>
</x:worksheet>
</file>

<file path=xl/worksheets/sheet2.xml><?xml version="1.0" encoding="utf-8"?>
<x:worksheet xmlns:x="http://schemas.openxmlformats.org/spreadsheetml/2006/main">
  <x:sheetFormatPr defaultRowHeight="14.25"/>
  <x:cols>
    <x:col min="1" max="1" width="14" customWidth="1"/>
    <x:col min="2" max="2" width="10" customWidth="1"/>
    <x:col min="3" max="3" width="24" customWidth="1"/>
    <x:col min="4" max="4" width="20" customWidth="1"/>
    <x:col min="5" max="5" width="12" customWidth="1"/>
    <x:col min="6" max="6" width="14" customWidth="1"/>
    <x:col min="7" max="8" width="34" customWidth="1"/>
    <x:col min="9" max="10" width="42" customWidth="1"/>
    <x:col min="11" max="11" width="16" customWidth="1"/>
    <x:col min="12" max="12" width="12" customWidth="1"/>
    <x:col min="13" max="13" width="28" customWidth="1"/>
    <x:col min="14" max="14" width="34" customWidth="1"/>
    <x:col min="15" max="16" width="16" customWidth="1"/>
    <x:col min="17" max="17" width="14" customWidth="1"/>
    <x:col min="18" max="18" width="30" customWidth="1"/>
  </x:cols>
  <x:sheetData>
    <x:row r="1" ht="20.25">
      <x:c r="A1" s="8" t="s">
        <x:v>35</x:v>
      </x:c>
      <x:c r="B1" s="8"/>
      <x:c r="C1" s="8"/>
      <x:c r="D1" s="8"/>
      <x:c r="E1" s="8"/>
      <x:c r="F1" s="8"/>
      <x:c r="G1" s="8"/>
      <x:c r="H1" s="8"/>
      <x:c r="I1" s="8"/>
      <x:c r="J1" s="8"/>
      <x:c r="K1" s="8"/>
      <x:c r="L1" s="8"/>
      <x:c r="M1" s="8"/>
      <x:c r="N1" s="8"/>
      <x:c r="O1" s="8"/>
      <x:c r="P1" s="8"/>
      <x:c r="Q1" s="8"/>
      <x:c r="R1" s="8"/>
    </x:row>
    <x:row r="2">
      <x:c r="A2" s="9" t="str">
        <x:v>WBS 7.9 final execution tracker. Status values reflect the latest verified test outcomes.</x:v>
      </x:c>
      <x:c r="B2" s="9"/>
      <x:c r="C2" s="9"/>
      <x:c r="D2" s="9"/>
      <x:c r="E2" s="9"/>
      <x:c r="F2" s="9"/>
      <x:c r="G2" s="9"/>
      <x:c r="H2" s="9"/>
      <x:c r="I2" s="9"/>
      <x:c r="J2" s="9"/>
      <x:c r="K2" s="9"/>
      <x:c r="L2" s="9"/>
      <x:c r="M2" s="9"/>
      <x:c r="N2" s="9"/>
      <x:c r="O2" s="9"/>
      <x:c r="P2" s="9"/>
      <x:c r="Q2" s="9"/>
      <x:c r="R2" s="9"/>
    </x:row>
    <x:row r="5" ht="15">
      <x:c r="A5" s="1" t="s">
        <x:v>36</x:v>
      </x:c>
      <x:c r="B5" s="1" t="s">
        <x:v>37</x:v>
      </x:c>
      <x:c r="C5" s="1" t="s">
        <x:v>3</x:v>
      </x:c>
      <x:c r="D5" s="1" t="s">
        <x:v>38</x:v>
      </x:c>
      <x:c r="E5" s="1" t="s">
        <x:v>39</x:v>
      </x:c>
      <x:c r="F5" s="1" t="s">
        <x:v>40</x:v>
      </x:c>
      <x:c r="G5" s="1" t="s">
        <x:v>41</x:v>
      </x:c>
      <x:c r="H5" s="1" t="s">
        <x:v>42</x:v>
      </x:c>
      <x:c r="I5" s="1" t="s">
        <x:v>43</x:v>
      </x:c>
      <x:c r="J5" s="1" t="s">
        <x:v>44</x:v>
      </x:c>
      <x:c r="K5" s="1" t="s">
        <x:v>45</x:v>
      </x:c>
      <x:c r="L5" s="1" t="s">
        <x:v>46</x:v>
      </x:c>
      <x:c r="M5" s="1" t="s">
        <x:v>47</x:v>
      </x:c>
      <x:c r="N5" s="1" t="s">
        <x:v>48</x:v>
      </x:c>
      <x:c r="O5" s="1" t="s">
        <x:v>49</x:v>
      </x:c>
      <x:c r="P5" s="1" t="s">
        <x:v>50</x:v>
      </x:c>
      <x:c r="Q5" s="1" t="s">
        <x:v>51</x:v>
      </x:c>
      <x:c r="R5" s="1" t="s">
        <x:v>52</x:v>
      </x:c>
    </x:row>
    <x:row r="6" ht="28.5">
      <x:c r="A6" s="2" t="s">
        <x:v>53</x:v>
      </x:c>
      <x:c r="B6" s="2" t="s">
        <x:v>54</x:v>
      </x:c>
      <x:c r="C6" s="2" t="s">
        <x:v>9</x:v>
      </x:c>
      <x:c r="D6" s="2" t="s">
        <x:v>55</x:v>
      </x:c>
      <x:c r="E6" s="2" t="s">
        <x:v>56</x:v>
      </x:c>
      <x:c r="F6" s="2" t="s">
        <x:v>57</x:v>
      </x:c>
      <x:c r="G6" s="2" t="s">
        <x:v>58</x:v>
      </x:c>
      <x:c r="H6" s="2" t="s">
        <x:v>59</x:v>
      </x:c>
      <x:c r="I6" s="2" t="s">
        <x:v>60</x:v>
      </x:c>
      <x:c r="J6" s="2" t="s">
        <x:v>61</x:v>
      </x:c>
      <x:c r="K6" s="2" t="s">
        <x:v>33</x:v>
      </x:c>
      <x:c r="L6" s="2" t="s">
        <x:v>10</x:v>
      </x:c>
      <x:c r="M6" s="2"/>
      <x:c r="N6" s="2" t="s">
        <x:v>62</x:v>
      </x:c>
      <x:c r="O6" s="2" t="s">
        <x:v>63</x:v>
      </x:c>
      <x:c r="P6" s="2"/>
      <x:c r="Q6" s="2" t="s">
        <x:v>64</x:v>
      </x:c>
      <x:c r="R6" s="6" t="s">
        <x:v>65</x:v>
      </x:c>
    </x:row>
    <x:row r="7" ht="28.5">
      <x:c r="A7" s="2" t="s">
        <x:v>66</x:v>
      </x:c>
      <x:c r="B7" s="2" t="s">
        <x:v>54</x:v>
      </x:c>
      <x:c r="C7" s="2" t="s">
        <x:v>9</x:v>
      </x:c>
      <x:c r="D7" s="2" t="s">
        <x:v>55</x:v>
      </x:c>
      <x:c r="E7" s="2" t="s">
        <x:v>56</x:v>
      </x:c>
      <x:c r="F7" s="2" t="s">
        <x:v>57</x:v>
      </x:c>
      <x:c r="G7" s="2" t="s">
        <x:v>67</x:v>
      </x:c>
      <x:c r="H7" s="2" t="s">
        <x:v>68</x:v>
      </x:c>
      <x:c r="I7" s="2" t="s">
        <x:v>69</x:v>
      </x:c>
      <x:c r="J7" s="2" t="s">
        <x:v>70</x:v>
      </x:c>
      <x:c r="K7" s="2" t="s">
        <x:v>33</x:v>
      </x:c>
      <x:c r="L7" s="2" t="s">
        <x:v>10</x:v>
      </x:c>
      <x:c r="M7" s="2"/>
      <x:c r="N7" s="2" t="s">
        <x:v>71</x:v>
      </x:c>
      <x:c r="O7" s="2" t="s">
        <x:v>72</x:v>
      </x:c>
      <x:c r="P7" s="2"/>
      <x:c r="Q7" s="2" t="s">
        <x:v>73</x:v>
      </x:c>
      <x:c r="R7" s="2"/>
    </x:row>
    <x:row r="8" ht="28.5">
      <x:c r="A8" s="2" t="s">
        <x:v>74</x:v>
      </x:c>
      <x:c r="B8" s="2" t="s">
        <x:v>54</x:v>
      </x:c>
      <x:c r="C8" s="2" t="s">
        <x:v>9</x:v>
      </x:c>
      <x:c r="D8" s="2" t="s">
        <x:v>55</x:v>
      </x:c>
      <x:c r="E8" s="2" t="s">
        <x:v>56</x:v>
      </x:c>
      <x:c r="F8" s="2" t="s">
        <x:v>57</x:v>
      </x:c>
      <x:c r="G8" s="2" t="s">
        <x:v>75</x:v>
      </x:c>
      <x:c r="H8" s="2" t="s">
        <x:v>68</x:v>
      </x:c>
      <x:c r="I8" s="2" t="s">
        <x:v>76</x:v>
      </x:c>
      <x:c r="J8" s="2" t="s">
        <x:v>77</x:v>
      </x:c>
      <x:c r="K8" s="2" t="s">
        <x:v>33</x:v>
      </x:c>
      <x:c r="L8" s="2" t="s">
        <x:v>10</x:v>
      </x:c>
      <x:c r="M8" s="2"/>
      <x:c r="N8" s="2" t="s">
        <x:v>78</x:v>
      </x:c>
      <x:c r="O8" s="2" t="s">
        <x:v>79</x:v>
      </x:c>
      <x:c r="P8" s="2"/>
      <x:c r="Q8" s="2" t="s">
        <x:v>73</x:v>
      </x:c>
      <x:c r="R8" s="6" t="s">
        <x:v>80</x:v>
      </x:c>
    </x:row>
    <x:row r="9" ht="28.5" customHeight="1">
      <x:c r="A9" s="2" t="s">
        <x:v>81</x:v>
      </x:c>
      <x:c r="B9" s="2" t="s">
        <x:v>54</x:v>
      </x:c>
      <x:c r="C9" s="2" t="s">
        <x:v>9</x:v>
      </x:c>
      <x:c r="D9" s="2" t="s">
        <x:v>55</x:v>
      </x:c>
      <x:c r="E9" s="2" t="s">
        <x:v>56</x:v>
      </x:c>
      <x:c r="F9" s="2" t="s">
        <x:v>82</x:v>
      </x:c>
      <x:c r="G9" s="2" t="s">
        <x:v>83</x:v>
      </x:c>
      <x:c r="H9" s="2" t="s">
        <x:v>84</x:v>
      </x:c>
      <x:c r="I9" s="2" t="s">
        <x:v>85</x:v>
      </x:c>
      <x:c r="J9" s="2" t="s">
        <x:v>86</x:v>
      </x:c>
      <x:c r="K9" s="2" t="s">
        <x:v>33</x:v>
      </x:c>
      <x:c r="L9" s="2" t="s">
        <x:v>10</x:v>
      </x:c>
      <x:c r="M9" s="2"/>
      <x:c r="N9" s="2" t="s">
        <x:v>87</x:v>
      </x:c>
      <x:c r="O9" s="2" t="s">
        <x:v>88</x:v>
      </x:c>
      <x:c r="P9" s="2"/>
      <x:c r="Q9" s="2" t="s">
        <x:v>73</x:v>
      </x:c>
      <x:c r="R9" s="2" t="s">
        <x:v>89</x:v>
      </x:c>
    </x:row>
    <x:row r="10" ht="71.25">
      <x:c r="A10" s="2" t="s">
        <x:v>90</x:v>
      </x:c>
      <x:c r="B10" s="2" t="s">
        <x:v>54</x:v>
      </x:c>
      <x:c r="C10" s="2" t="s">
        <x:v>9</x:v>
      </x:c>
      <x:c r="D10" s="2" t="s">
        <x:v>55</x:v>
      </x:c>
      <x:c r="E10" s="2" t="s">
        <x:v>56</x:v>
      </x:c>
      <x:c r="F10" s="2" t="s">
        <x:v>91</x:v>
      </x:c>
      <x:c r="G10" s="2" t="s">
        <x:v>92</x:v>
      </x:c>
      <x:c r="H10" s="2" t="s">
        <x:v>93</x:v>
      </x:c>
      <x:c r="I10" s="2" t="s">
        <x:v>94</x:v>
      </x:c>
      <x:c r="J10" s="2" t="s">
        <x:v>95</x:v>
      </x:c>
      <x:c r="K10" s="2" t="s">
        <x:v>34</x:v>
      </x:c>
      <x:c r="L10" s="2" t="s">
        <x:v>10</x:v>
      </x:c>
      <x:c r="M10" s="2"/>
      <x:c r="N10" s="2" t="s">
        <x:v>96</x:v>
      </x:c>
      <x:c r="O10" s="2" t="s">
        <x:v>97</x:v>
      </x:c>
      <x:c r="P10" s="2"/>
      <x:c r="Q10" s="2" t="s">
        <x:v>73</x:v>
      </x:c>
      <x:c r="R10" s="2" t="s">
        <x:v>98</x:v>
      </x:c>
    </x:row>
    <x:row r="11" ht="57">
      <x:c r="A11" s="2" t="s">
        <x:v>99</x:v>
      </x:c>
      <x:c r="B11" s="2" t="s">
        <x:v>54</x:v>
      </x:c>
      <x:c r="C11" s="2" t="s">
        <x:v>9</x:v>
      </x:c>
      <x:c r="D11" s="2" t="s">
        <x:v>55</x:v>
      </x:c>
      <x:c r="E11" s="2" t="s">
        <x:v>56</x:v>
      </x:c>
      <x:c r="F11" s="2" t="s">
        <x:v>91</x:v>
      </x:c>
      <x:c r="G11" s="2" t="s">
        <x:v>100</x:v>
      </x:c>
      <x:c r="H11" s="2" t="s">
        <x:v>93</x:v>
      </x:c>
      <x:c r="I11" s="2" t="s">
        <x:v>101</x:v>
      </x:c>
      <x:c r="J11" s="2" t="s">
        <x:v>102</x:v>
      </x:c>
      <x:c r="K11" s="2" t="s">
        <x:v>34</x:v>
      </x:c>
      <x:c r="L11" s="2" t="s">
        <x:v>10</x:v>
      </x:c>
      <x:c r="M11" s="2"/>
      <x:c r="N11" s="2" t="s">
        <x:v>103</x:v>
      </x:c>
      <x:c r="O11" s="2" t="s">
        <x:v>104</x:v>
      </x:c>
      <x:c r="P11" s="2"/>
      <x:c r="Q11" s="2" t="s">
        <x:v>73</x:v>
      </x:c>
      <x:c r="R11" s="2" t="s">
        <x:v>105</x:v>
      </x:c>
    </x:row>
    <x:row r="12" ht="28.5">
      <x:c r="A12" s="2" t="s">
        <x:v>106</x:v>
      </x:c>
      <x:c r="B12" s="2" t="s">
        <x:v>54</x:v>
      </x:c>
      <x:c r="C12" s="2" t="s">
        <x:v>9</x:v>
      </x:c>
      <x:c r="D12" s="2" t="s">
        <x:v>107</x:v>
      </x:c>
      <x:c r="E12" s="2" t="s">
        <x:v>108</x:v>
      </x:c>
      <x:c r="F12" s="2" t="s">
        <x:v>57</x:v>
      </x:c>
      <x:c r="G12" s="2" t="s">
        <x:v>109</x:v>
      </x:c>
      <x:c r="H12" s="2" t="s">
        <x:v>110</x:v>
      </x:c>
      <x:c r="I12" s="2" t="s">
        <x:v>111</x:v>
      </x:c>
      <x:c r="J12" s="2" t="s">
        <x:v>112</x:v>
      </x:c>
      <x:c r="K12" s="2" t="s">
        <x:v>32</x:v>
      </x:c>
      <x:c r="L12" s="2" t="str">
        <x:v>Pass</x:v>
      </x:c>
      <x:c r="M12" s="2"/>
      <x:c r="N12" s="2" t="str">
        <x:v>Shared Sprint 4 baseline verification passed. Local feature/sprint-4 and origin/feature/sprint-4 both resolved to commit 9c6295427ac98953a6f6d44bd0ac567a6a6d72aa. The current testing branch also contained the final Sprint 4 baseline.</x:v>
      </x:c>
      <x:c r="O12" s="2" t="str">
        <x:v>S4-ENV-07-EV-01</x:v>
      </x:c>
      <x:c r="P12" s="2"/>
      <x:c r="Q12" s="2" t="s">
        <x:v>73</x:v>
      </x:c>
      <x:c r="R12" s="2" t="str">
        <x:v>Verified with git fetch, git rev-parse and git merge-base --is-ancestor. Local and remote Sprint 4 heads matched and the final baseline was present.</x:v>
      </x:c>
    </x:row>
    <x:row r="13" ht="57">
      <x:c r="A13" s="2" t="s">
        <x:v>113</x:v>
      </x:c>
      <x:c r="B13" s="2" t="s">
        <x:v>54</x:v>
      </x:c>
      <x:c r="C13" s="2" t="s">
        <x:v>11</x:v>
      </x:c>
      <x:c r="D13" s="2" t="s">
        <x:v>114</x:v>
      </x:c>
      <x:c r="E13" s="2" t="s">
        <x:v>56</x:v>
      </x:c>
      <x:c r="F13" s="2" t="s">
        <x:v>82</x:v>
      </x:c>
      <x:c r="G13" s="2" t="s">
        <x:v>115</x:v>
      </x:c>
      <x:c r="H13" s="2" t="s">
        <x:v>116</x:v>
      </x:c>
      <x:c r="I13" s="2" t="s">
        <x:v>117</x:v>
      </x:c>
      <x:c r="J13" s="2" t="s">
        <x:v>118</x:v>
      </x:c>
      <x:c r="K13" s="2" t="s">
        <x:v>34</x:v>
      </x:c>
      <x:c r="L13" s="2" t="s">
        <x:v>10</x:v>
      </x:c>
      <x:c r="M13" s="2"/>
      <x:c r="N13" s="2" t="s">
        <x:v>119</x:v>
      </x:c>
      <x:c r="O13" s="2" t="s">
        <x:v>120</x:v>
      </x:c>
      <x:c r="P13" s="2"/>
      <x:c r="Q13" s="2" t="s">
        <x:v>64</x:v>
      </x:c>
      <x:c r="R13" s="2" t="s">
        <x:v>121</x:v>
      </x:c>
    </x:row>
    <x:row r="14" ht="57">
      <x:c r="A14" s="2" t="s">
        <x:v>122</x:v>
      </x:c>
      <x:c r="B14" s="2" t="s">
        <x:v>54</x:v>
      </x:c>
      <x:c r="C14" s="2" t="s">
        <x:v>11</x:v>
      </x:c>
      <x:c r="D14" s="2" t="s">
        <x:v>114</x:v>
      </x:c>
      <x:c r="E14" s="2" t="s">
        <x:v>56</x:v>
      </x:c>
      <x:c r="F14" s="2" t="s">
        <x:v>82</x:v>
      </x:c>
      <x:c r="G14" s="2" t="s">
        <x:v>123</x:v>
      </x:c>
      <x:c r="H14" s="2" t="s">
        <x:v>124</x:v>
      </x:c>
      <x:c r="I14" s="2" t="s">
        <x:v>125</x:v>
      </x:c>
      <x:c r="J14" s="2" t="s">
        <x:v>126</x:v>
      </x:c>
      <x:c r="K14" s="2" t="s">
        <x:v>34</x:v>
      </x:c>
      <x:c r="L14" s="2" t="s">
        <x:v>10</x:v>
      </x:c>
      <x:c r="M14" s="2"/>
      <x:c r="N14" s="2" t="s">
        <x:v>127</x:v>
      </x:c>
      <x:c r="O14" s="2" t="s">
        <x:v>128</x:v>
      </x:c>
      <x:c r="P14" s="2"/>
      <x:c r="Q14" s="2" t="s">
        <x:v>64</x:v>
      </x:c>
      <x:c r="R14" s="2" t="s">
        <x:v>129</x:v>
      </x:c>
    </x:row>
    <x:row r="15" ht="57">
      <x:c r="A15" s="2" t="s">
        <x:v>130</x:v>
      </x:c>
      <x:c r="B15" s="2" t="s">
        <x:v>54</x:v>
      </x:c>
      <x:c r="C15" s="2" t="s">
        <x:v>11</x:v>
      </x:c>
      <x:c r="D15" s="2" t="s">
        <x:v>114</x:v>
      </x:c>
      <x:c r="E15" s="2" t="s">
        <x:v>56</x:v>
      </x:c>
      <x:c r="F15" s="2" t="s">
        <x:v>82</x:v>
      </x:c>
      <x:c r="G15" s="2" t="s">
        <x:v>131</x:v>
      </x:c>
      <x:c r="H15" s="2" t="s">
        <x:v>132</x:v>
      </x:c>
      <x:c r="I15" s="2" t="s">
        <x:v>133</x:v>
      </x:c>
      <x:c r="J15" s="2" t="s">
        <x:v>134</x:v>
      </x:c>
      <x:c r="K15" s="2" t="s">
        <x:v>34</x:v>
      </x:c>
      <x:c r="L15" s="2" t="s">
        <x:v>10</x:v>
      </x:c>
      <x:c r="M15" s="2"/>
      <x:c r="N15" s="2" t="s">
        <x:v>135</x:v>
      </x:c>
      <x:c r="O15" s="2" t="s">
        <x:v>136</x:v>
      </x:c>
      <x:c r="P15" s="2"/>
      <x:c r="Q15" s="2" t="s">
        <x:v>64</x:v>
      </x:c>
      <x:c r="R15" s="2" t="s">
        <x:v>137</x:v>
      </x:c>
    </x:row>
    <x:row r="16" ht="99.75">
      <x:c r="A16" s="2" t="s">
        <x:v>138</x:v>
      </x:c>
      <x:c r="B16" s="2" t="s">
        <x:v>54</x:v>
      </x:c>
      <x:c r="C16" s="2" t="s">
        <x:v>11</x:v>
      </x:c>
      <x:c r="D16" s="2" t="s">
        <x:v>139</x:v>
      </x:c>
      <x:c r="E16" s="2" t="s">
        <x:v>56</x:v>
      </x:c>
      <x:c r="F16" s="2" t="s">
        <x:v>82</x:v>
      </x:c>
      <x:c r="G16" s="2" t="s">
        <x:v>140</x:v>
      </x:c>
      <x:c r="H16" s="2" t="s">
        <x:v>141</x:v>
      </x:c>
      <x:c r="I16" s="2" t="s">
        <x:v>142</x:v>
      </x:c>
      <x:c r="J16" s="2" t="s">
        <x:v>143</x:v>
      </x:c>
      <x:c r="K16" s="2" t="s">
        <x:v>32</x:v>
      </x:c>
      <x:c r="L16" s="2" t="s">
        <x:v>10</x:v>
      </x:c>
      <x:c r="M16" s="2"/>
      <x:c r="N16" s="2" t="s">
        <x:v>144</x:v>
      </x:c>
      <x:c r="O16" s="2" t="s">
        <x:v>145</x:v>
      </x:c>
      <x:c r="P16" s="2"/>
      <x:c r="Q16" s="2" t="s">
        <x:v>64</x:v>
      </x:c>
      <x:c r="R16" s="2" t="s">
        <x:v>146</x:v>
      </x:c>
    </x:row>
    <x:row r="17" ht="71.25">
      <x:c r="A17" s="2" t="s">
        <x:v>147</x:v>
      </x:c>
      <x:c r="B17" s="2" t="s">
        <x:v>54</x:v>
      </x:c>
      <x:c r="C17" s="2" t="s">
        <x:v>11</x:v>
      </x:c>
      <x:c r="D17" s="2" t="s">
        <x:v>114</x:v>
      </x:c>
      <x:c r="E17" s="2" t="s">
        <x:v>56</x:v>
      </x:c>
      <x:c r="F17" s="2" t="s">
        <x:v>82</x:v>
      </x:c>
      <x:c r="G17" s="2" t="s">
        <x:v>148</x:v>
      </x:c>
      <x:c r="H17" s="2" t="s">
        <x:v>149</x:v>
      </x:c>
      <x:c r="I17" s="2" t="s">
        <x:v>150</x:v>
      </x:c>
      <x:c r="J17" s="2" t="s">
        <x:v>151</x:v>
      </x:c>
      <x:c r="K17" s="2" t="s">
        <x:v>32</x:v>
      </x:c>
      <x:c r="L17" s="2" t="s">
        <x:v>10</x:v>
      </x:c>
      <x:c r="M17" s="2"/>
      <x:c r="N17" s="2" t="s">
        <x:v>152</x:v>
      </x:c>
      <x:c r="O17" s="2" t="s">
        <x:v>145</x:v>
      </x:c>
      <x:c r="P17" s="2"/>
      <x:c r="Q17" s="2" t="s">
        <x:v>64</x:v>
      </x:c>
      <x:c r="R17" s="2" t="s">
        <x:v>153</x:v>
      </x:c>
    </x:row>
    <x:row r="18" ht="42.75">
      <x:c r="A18" s="2" t="s">
        <x:v>154</x:v>
      </x:c>
      <x:c r="B18" s="2" t="s">
        <x:v>54</x:v>
      </x:c>
      <x:c r="C18" s="2" t="s">
        <x:v>13</x:v>
      </x:c>
      <x:c r="D18" s="2" t="s">
        <x:v>155</x:v>
      </x:c>
      <x:c r="E18" s="2" t="s">
        <x:v>56</x:v>
      </x:c>
      <x:c r="F18" s="2" t="s">
        <x:v>82</x:v>
      </x:c>
      <x:c r="G18" s="2" t="s">
        <x:v>156</x:v>
      </x:c>
      <x:c r="H18" s="2" t="s">
        <x:v>157</x:v>
      </x:c>
      <x:c r="I18" s="2" t="s">
        <x:v>158</x:v>
      </x:c>
      <x:c r="J18" s="2" t="s">
        <x:v>159</x:v>
      </x:c>
      <x:c r="K18" s="2" t="s">
        <x:v>34</x:v>
      </x:c>
      <x:c r="L18" s="2" t="s">
        <x:v>10</x:v>
      </x:c>
      <x:c r="M18" s="2"/>
      <x:c r="N18" s="2" t="s">
        <x:v>160</x:v>
      </x:c>
      <x:c r="O18" s="2" t="s">
        <x:v>161</x:v>
      </x:c>
      <x:c r="P18" s="2"/>
      <x:c r="Q18" s="2" t="s">
        <x:v>64</x:v>
      </x:c>
      <x:c r="R18" s="2" t="s">
        <x:v>162</x:v>
      </x:c>
    </x:row>
    <x:row r="19" ht="71.25">
      <x:c r="A19" s="2" t="s">
        <x:v>163</x:v>
      </x:c>
      <x:c r="B19" s="2" t="s">
        <x:v>54</x:v>
      </x:c>
      <x:c r="C19" s="2" t="s">
        <x:v>13</x:v>
      </x:c>
      <x:c r="D19" s="2" t="s">
        <x:v>155</x:v>
      </x:c>
      <x:c r="E19" s="2" t="s">
        <x:v>56</x:v>
      </x:c>
      <x:c r="F19" s="2" t="s">
        <x:v>82</x:v>
      </x:c>
      <x:c r="G19" s="2" t="s">
        <x:v>164</x:v>
      </x:c>
      <x:c r="H19" s="2" t="s">
        <x:v>149</x:v>
      </x:c>
      <x:c r="I19" s="2" t="s">
        <x:v>165</x:v>
      </x:c>
      <x:c r="J19" s="2" t="s">
        <x:v>166</x:v>
      </x:c>
      <x:c r="K19" s="2" t="s">
        <x:v>34</x:v>
      </x:c>
      <x:c r="L19" s="2" t="s">
        <x:v>10</x:v>
      </x:c>
      <x:c r="M19" s="2"/>
      <x:c r="N19" s="2" t="s">
        <x:v>167</x:v>
      </x:c>
      <x:c r="O19" s="2" t="s">
        <x:v>168</x:v>
      </x:c>
      <x:c r="P19" s="2"/>
      <x:c r="Q19" s="2" t="s">
        <x:v>64</x:v>
      </x:c>
      <x:c r="R19" s="2" t="s">
        <x:v>169</x:v>
      </x:c>
    </x:row>
    <x:row r="20" ht="71.25">
      <x:c r="A20" s="2" t="s">
        <x:v>170</x:v>
      </x:c>
      <x:c r="B20" s="2" t="s">
        <x:v>54</x:v>
      </x:c>
      <x:c r="C20" s="2" t="s">
        <x:v>13</x:v>
      </x:c>
      <x:c r="D20" s="2" t="s">
        <x:v>171</x:v>
      </x:c>
      <x:c r="E20" s="2" t="s">
        <x:v>56</x:v>
      </x:c>
      <x:c r="F20" s="2" t="s">
        <x:v>82</x:v>
      </x:c>
      <x:c r="G20" s="2" t="s">
        <x:v>172</x:v>
      </x:c>
      <x:c r="H20" s="2" t="s">
        <x:v>173</x:v>
      </x:c>
      <x:c r="I20" s="2" t="s">
        <x:v>174</x:v>
      </x:c>
      <x:c r="J20" s="2" t="s">
        <x:v>175</x:v>
      </x:c>
      <x:c r="K20" s="2" t="s">
        <x:v>33</x:v>
      </x:c>
      <x:c r="L20" s="4" t="s">
        <x:v>10</x:v>
      </x:c>
      <x:c r="M20" s="2"/>
      <x:c r="N20" s="3" t="s">
        <x:v>176</x:v>
      </x:c>
      <x:c r="O20" s="2"/>
      <x:c r="P20" s="2"/>
      <x:c r="Q20" s="2" t="s">
        <x:v>64</x:v>
      </x:c>
      <x:c r="R20" s="5" t="s">
        <x:v>177</x:v>
      </x:c>
    </x:row>
    <x:row r="21" ht="156.75">
      <x:c r="A21" s="2" t="s">
        <x:v>178</x:v>
      </x:c>
      <x:c r="B21" s="2" t="s">
        <x:v>54</x:v>
      </x:c>
      <x:c r="C21" s="2" t="s">
        <x:v>13</x:v>
      </x:c>
      <x:c r="D21" s="2" t="s">
        <x:v>155</x:v>
      </x:c>
      <x:c r="E21" s="2" t="s">
        <x:v>56</x:v>
      </x:c>
      <x:c r="F21" s="2" t="s">
        <x:v>82</x:v>
      </x:c>
      <x:c r="G21" s="2" t="s">
        <x:v>179</x:v>
      </x:c>
      <x:c r="H21" s="2" t="s">
        <x:v>180</x:v>
      </x:c>
      <x:c r="I21" s="2" t="s">
        <x:v>181</x:v>
      </x:c>
      <x:c r="J21" s="2" t="s">
        <x:v>182</x:v>
      </x:c>
      <x:c r="K21" s="2" t="s">
        <x:v>32</x:v>
      </x:c>
      <x:c r="L21" s="2" t="s">
        <x:v>10</x:v>
      </x:c>
      <x:c r="M21" s="2"/>
      <x:c r="N21" s="2" t="s">
        <x:v>183</x:v>
      </x:c>
      <x:c r="O21" s="2" t="s">
        <x:v>184</x:v>
      </x:c>
      <x:c r="P21" s="2"/>
      <x:c r="Q21" s="2" t="s">
        <x:v>64</x:v>
      </x:c>
      <x:c r="R21" s="2" t="s">
        <x:v>185</x:v>
      </x:c>
    </x:row>
    <x:row r="22" ht="99.75">
      <x:c r="A22" s="2" t="s">
        <x:v>186</x:v>
      </x:c>
      <x:c r="B22" s="2" t="s">
        <x:v>54</x:v>
      </x:c>
      <x:c r="C22" s="2" t="s">
        <x:v>14</x:v>
      </x:c>
      <x:c r="D22" s="2" t="s">
        <x:v>187</x:v>
      </x:c>
      <x:c r="E22" s="2" t="s">
        <x:v>56</x:v>
      </x:c>
      <x:c r="F22" s="2" t="s">
        <x:v>82</x:v>
      </x:c>
      <x:c r="G22" s="2" t="s">
        <x:v>188</x:v>
      </x:c>
      <x:c r="H22" s="2" t="s">
        <x:v>189</x:v>
      </x:c>
      <x:c r="I22" s="2" t="s">
        <x:v>190</x:v>
      </x:c>
      <x:c r="J22" s="2" t="s">
        <x:v>191</x:v>
      </x:c>
      <x:c r="K22" s="2" t="s">
        <x:v>32</x:v>
      </x:c>
      <x:c r="L22" s="2" t="s">
        <x:v>10</x:v>
      </x:c>
      <x:c r="M22" s="2"/>
      <x:c r="N22" s="2" t="s">
        <x:v>192</x:v>
      </x:c>
      <x:c r="O22" s="2" t="s">
        <x:v>193</x:v>
      </x:c>
      <x:c r="P22" s="2"/>
      <x:c r="Q22" s="2" t="s">
        <x:v>64</x:v>
      </x:c>
      <x:c r="R22" s="2" t="s">
        <x:v>194</x:v>
      </x:c>
    </x:row>
    <x:row r="23" ht="171">
      <x:c r="A23" s="2" t="s">
        <x:v>195</x:v>
      </x:c>
      <x:c r="B23" s="2" t="s">
        <x:v>54</x:v>
      </x:c>
      <x:c r="C23" s="2" t="s">
        <x:v>14</x:v>
      </x:c>
      <x:c r="D23" s="2" t="s">
        <x:v>196</x:v>
      </x:c>
      <x:c r="E23" s="2" t="s">
        <x:v>56</x:v>
      </x:c>
      <x:c r="F23" s="2" t="s">
        <x:v>82</x:v>
      </x:c>
      <x:c r="G23" s="2" t="s">
        <x:v>197</x:v>
      </x:c>
      <x:c r="H23" s="2" t="s">
        <x:v>198</x:v>
      </x:c>
      <x:c r="I23" s="2" t="s">
        <x:v>199</x:v>
      </x:c>
      <x:c r="J23" s="2" t="s">
        <x:v>200</x:v>
      </x:c>
      <x:c r="K23" s="2" t="s">
        <x:v>34</x:v>
      </x:c>
      <x:c r="L23" s="2" t="s">
        <x:v>10</x:v>
      </x:c>
      <x:c r="M23" s="2"/>
      <x:c r="N23" s="2" t="s">
        <x:v>201</x:v>
      </x:c>
      <x:c r="O23" s="2" t="s">
        <x:v>202</x:v>
      </x:c>
      <x:c r="P23" s="2"/>
      <x:c r="Q23" s="2" t="s">
        <x:v>64</x:v>
      </x:c>
      <x:c r="R23" s="2" t="s">
        <x:v>203</x:v>
      </x:c>
    </x:row>
    <x:row r="24" ht="128.25">
      <x:c r="A24" s="2" t="s">
        <x:v>204</x:v>
      </x:c>
      <x:c r="B24" s="2" t="s">
        <x:v>205</x:v>
      </x:c>
      <x:c r="C24" s="2" t="s">
        <x:v>14</x:v>
      </x:c>
      <x:c r="D24" s="2" t="s">
        <x:v>196</x:v>
      </x:c>
      <x:c r="E24" s="2" t="s">
        <x:v>56</x:v>
      </x:c>
      <x:c r="F24" s="2" t="s">
        <x:v>82</x:v>
      </x:c>
      <x:c r="G24" s="2" t="s">
        <x:v>206</x:v>
      </x:c>
      <x:c r="H24" s="2" t="s">
        <x:v>207</x:v>
      </x:c>
      <x:c r="I24" s="2" t="s">
        <x:v>208</x:v>
      </x:c>
      <x:c r="J24" s="2" t="s">
        <x:v>209</x:v>
      </x:c>
      <x:c r="K24" s="2" t="s">
        <x:v>32</x:v>
      </x:c>
      <x:c r="L24" s="2" t="s">
        <x:v>10</x:v>
      </x:c>
      <x:c r="M24" s="2"/>
      <x:c r="N24" s="2" t="s">
        <x:v>210</x:v>
      </x:c>
      <x:c r="O24" s="2" t="s">
        <x:v>211</x:v>
      </x:c>
      <x:c r="P24" s="2"/>
      <x:c r="Q24" s="2" t="s">
        <x:v>64</x:v>
      </x:c>
      <x:c r="R24" s="2" t="s">
        <x:v>212</x:v>
      </x:c>
    </x:row>
    <x:row r="25" ht="171">
      <x:c r="A25" s="2" t="s">
        <x:v>213</x:v>
      </x:c>
      <x:c r="B25" s="2" t="s">
        <x:v>54</x:v>
      </x:c>
      <x:c r="C25" s="2" t="s">
        <x:v>14</x:v>
      </x:c>
      <x:c r="D25" s="2" t="s">
        <x:v>214</x:v>
      </x:c>
      <x:c r="E25" s="2" t="s">
        <x:v>56</x:v>
      </x:c>
      <x:c r="F25" s="2" t="s">
        <x:v>82</x:v>
      </x:c>
      <x:c r="G25" s="2" t="s">
        <x:v>215</x:v>
      </x:c>
      <x:c r="H25" s="2" t="s">
        <x:v>216</x:v>
      </x:c>
      <x:c r="I25" s="2" t="s">
        <x:v>217</x:v>
      </x:c>
      <x:c r="J25" s="2" t="s">
        <x:v>218</x:v>
      </x:c>
      <x:c r="K25" s="2" t="s">
        <x:v>32</x:v>
      </x:c>
      <x:c r="L25" s="2" t="s">
        <x:v>10</x:v>
      </x:c>
      <x:c r="M25" s="2"/>
      <x:c r="N25" s="2" t="s">
        <x:v>219</x:v>
      </x:c>
      <x:c r="O25" s="2" t="s">
        <x:v>220</x:v>
      </x:c>
      <x:c r="P25" s="2"/>
      <x:c r="Q25" s="2" t="s">
        <x:v>64</x:v>
      </x:c>
      <x:c r="R25" s="2" t="s">
        <x:v>221</x:v>
      </x:c>
    </x:row>
    <x:row r="26" ht="85.5" customHeight="1">
      <x:c r="A26" s="2" t="s">
        <x:v>222</x:v>
      </x:c>
      <x:c r="B26" s="2" t="s">
        <x:v>54</x:v>
      </x:c>
      <x:c r="C26" s="2" t="s">
        <x:v>14</x:v>
      </x:c>
      <x:c r="D26" s="2" t="s">
        <x:v>171</x:v>
      </x:c>
      <x:c r="E26" s="2" t="s">
        <x:v>56</x:v>
      </x:c>
      <x:c r="F26" s="2" t="s">
        <x:v>82</x:v>
      </x:c>
      <x:c r="G26" s="2" t="s">
        <x:v>223</x:v>
      </x:c>
      <x:c r="H26" s="2" t="s">
        <x:v>224</x:v>
      </x:c>
      <x:c r="I26" s="2" t="s">
        <x:v>225</x:v>
      </x:c>
      <x:c r="J26" s="2" t="s">
        <x:v>226</x:v>
      </x:c>
      <x:c r="K26" s="2" t="s">
        <x:v>33</x:v>
      </x:c>
      <x:c r="L26" s="7" t="s">
        <x:v>10</x:v>
      </x:c>
      <x:c r="M26" s="2"/>
      <x:c r="N26" s="2" t="s">
        <x:v>227</x:v>
      </x:c>
      <x:c r="O26" t="s">
        <x:v>228</x:v>
      </x:c>
      <x:c r="P26" s="2"/>
      <x:c r="Q26" s="2" t="s">
        <x:v>64</x:v>
      </x:c>
      <x:c r="R26" s="2" t="s">
        <x:v>229</x:v>
      </x:c>
    </x:row>
    <x:row r="27" ht="99.75">
      <x:c r="A27" s="2" t="s">
        <x:v>230</x:v>
      </x:c>
      <x:c r="B27" s="2" t="s">
        <x:v>205</x:v>
      </x:c>
      <x:c r="C27" s="2" t="s">
        <x:v>14</x:v>
      </x:c>
      <x:c r="D27" s="2" t="s">
        <x:v>231</x:v>
      </x:c>
      <x:c r="E27" s="2" t="s">
        <x:v>56</x:v>
      </x:c>
      <x:c r="F27" s="2" t="s">
        <x:v>82</x:v>
      </x:c>
      <x:c r="G27" s="2" t="s">
        <x:v>232</x:v>
      </x:c>
      <x:c r="H27" s="2" t="s">
        <x:v>198</x:v>
      </x:c>
      <x:c r="I27" s="2" t="s">
        <x:v>233</x:v>
      </x:c>
      <x:c r="J27" s="2" t="s">
        <x:v>234</x:v>
      </x:c>
      <x:c r="K27" s="2" t="s">
        <x:v>32</x:v>
      </x:c>
      <x:c r="L27" s="2" t="s">
        <x:v>10</x:v>
      </x:c>
      <x:c r="M27" s="2"/>
      <x:c r="N27" s="2" t="s">
        <x:v>235</x:v>
      </x:c>
      <x:c r="O27" s="2" t="s">
        <x:v>236</x:v>
      </x:c>
      <x:c r="P27" s="2"/>
      <x:c r="Q27" s="2" t="s">
        <x:v>64</x:v>
      </x:c>
      <x:c r="R27" s="2" t="s">
        <x:v>237</x:v>
      </x:c>
    </x:row>
    <x:row r="28" ht="85.5">
      <x:c r="A28" s="2" t="s">
        <x:v>238</x:v>
      </x:c>
      <x:c r="B28" s="2" t="s">
        <x:v>54</x:v>
      </x:c>
      <x:c r="C28" s="2" t="s">
        <x:v>15</x:v>
      </x:c>
      <x:c r="D28" s="2" t="s">
        <x:v>239</x:v>
      </x:c>
      <x:c r="E28" s="2" t="s">
        <x:v>56</x:v>
      </x:c>
      <x:c r="F28" s="2" t="s">
        <x:v>82</x:v>
      </x:c>
      <x:c r="G28" s="2" t="s">
        <x:v>240</x:v>
      </x:c>
      <x:c r="H28" s="2" t="s">
        <x:v>241</x:v>
      </x:c>
      <x:c r="I28" s="2" t="s">
        <x:v>242</x:v>
      </x:c>
      <x:c r="J28" s="2" t="s">
        <x:v>243</x:v>
      </x:c>
      <x:c r="K28" s="2" t="s">
        <x:v>34</x:v>
      </x:c>
      <x:c r="L28" s="2" t="s">
        <x:v>10</x:v>
      </x:c>
      <x:c r="M28" s="2"/>
      <x:c r="N28" s="2" t="s">
        <x:v>244</x:v>
      </x:c>
      <x:c r="O28" s="2" t="s">
        <x:v>245</x:v>
      </x:c>
      <x:c r="P28" s="2"/>
      <x:c r="Q28" s="2" t="s">
        <x:v>64</x:v>
      </x:c>
      <x:c r="R28" s="2" t="s">
        <x:v>246</x:v>
      </x:c>
    </x:row>
    <x:row r="29" ht="57">
      <x:c r="A29" s="2" t="s">
        <x:v>247</x:v>
      </x:c>
      <x:c r="B29" s="2" t="s">
        <x:v>54</x:v>
      </x:c>
      <x:c r="C29" s="2" t="s">
        <x:v>15</x:v>
      </x:c>
      <x:c r="D29" s="2" t="s">
        <x:v>248</x:v>
      </x:c>
      <x:c r="E29" s="2" t="s">
        <x:v>56</x:v>
      </x:c>
      <x:c r="F29" s="2" t="s">
        <x:v>82</x:v>
      </x:c>
      <x:c r="G29" s="2" t="s">
        <x:v>249</x:v>
      </x:c>
      <x:c r="H29" s="2" t="s">
        <x:v>241</x:v>
      </x:c>
      <x:c r="I29" s="2" t="s">
        <x:v>250</x:v>
      </x:c>
      <x:c r="J29" s="2" t="s">
        <x:v>251</x:v>
      </x:c>
      <x:c r="K29" s="2" t="s">
        <x:v>34</x:v>
      </x:c>
      <x:c r="L29" s="2" t="s">
        <x:v>10</x:v>
      </x:c>
      <x:c r="M29" s="2"/>
      <x:c r="N29" s="2" t="s">
        <x:v>252</x:v>
      </x:c>
      <x:c r="O29" s="2" t="s">
        <x:v>253</x:v>
      </x:c>
      <x:c r="P29" s="2"/>
      <x:c r="Q29" s="2" t="s">
        <x:v>64</x:v>
      </x:c>
      <x:c r="R29" s="2" t="s">
        <x:v>254</x:v>
      </x:c>
    </x:row>
    <x:row r="30" ht="171">
      <x:c r="A30" s="2" t="s">
        <x:v>255</x:v>
      </x:c>
      <x:c r="B30" s="2" t="s">
        <x:v>54</x:v>
      </x:c>
      <x:c r="C30" s="2" t="s">
        <x:v>15</x:v>
      </x:c>
      <x:c r="D30" s="2" t="s">
        <x:v>214</x:v>
      </x:c>
      <x:c r="E30" s="2" t="s">
        <x:v>56</x:v>
      </x:c>
      <x:c r="F30" s="2" t="s">
        <x:v>82</x:v>
      </x:c>
      <x:c r="G30" s="2" t="s">
        <x:v>256</x:v>
      </x:c>
      <x:c r="H30" s="2" t="s">
        <x:v>257</x:v>
      </x:c>
      <x:c r="I30" s="2" t="s">
        <x:v>258</x:v>
      </x:c>
      <x:c r="J30" s="2" t="s">
        <x:v>259</x:v>
      </x:c>
      <x:c r="K30" s="2" t="s">
        <x:v>32</x:v>
      </x:c>
      <x:c r="L30" s="2" t="s">
        <x:v>10</x:v>
      </x:c>
      <x:c r="M30" s="2"/>
      <x:c r="N30" s="2" t="s">
        <x:v>260</x:v>
      </x:c>
      <x:c r="O30" s="2" t="s">
        <x:v>261</x:v>
      </x:c>
      <x:c r="P30" s="2"/>
      <x:c r="Q30" s="2" t="s">
        <x:v>64</x:v>
      </x:c>
      <x:c r="R30" s="2" t="s">
        <x:v>262</x:v>
      </x:c>
    </x:row>
    <x:row r="31" ht="85.5">
      <x:c r="A31" s="2" t="s">
        <x:v>263</x:v>
      </x:c>
      <x:c r="B31" s="2" t="s">
        <x:v>205</x:v>
      </x:c>
      <x:c r="C31" s="2" t="s">
        <x:v>15</x:v>
      </x:c>
      <x:c r="D31" s="2" t="s">
        <x:v>231</x:v>
      </x:c>
      <x:c r="E31" s="2" t="s">
        <x:v>56</x:v>
      </x:c>
      <x:c r="F31" s="2" t="s">
        <x:v>82</x:v>
      </x:c>
      <x:c r="G31" s="2" t="s">
        <x:v>264</x:v>
      </x:c>
      <x:c r="H31" s="2" t="s">
        <x:v>265</x:v>
      </x:c>
      <x:c r="I31" s="2" t="s">
        <x:v>266</x:v>
      </x:c>
      <x:c r="J31" s="2" t="s">
        <x:v>267</x:v>
      </x:c>
      <x:c r="K31" s="2" t="s">
        <x:v>32</x:v>
      </x:c>
      <x:c r="L31" s="2" t="s">
        <x:v>10</x:v>
      </x:c>
      <x:c r="M31" s="2"/>
      <x:c r="N31" s="2" t="s">
        <x:v>268</x:v>
      </x:c>
      <x:c r="O31" s="2" t="s">
        <x:v>269</x:v>
      </x:c>
      <x:c r="P31" s="2"/>
      <x:c r="Q31" s="2" t="s">
        <x:v>64</x:v>
      </x:c>
      <x:c r="R31" s="2" t="s">
        <x:v>270</x:v>
      </x:c>
    </x:row>
    <x:row r="32" ht="71.25">
      <x:c r="A32" s="2" t="s">
        <x:v>271</x:v>
      </x:c>
      <x:c r="B32" s="2" t="s">
        <x:v>205</x:v>
      </x:c>
      <x:c r="C32" s="2" t="s">
        <x:v>15</x:v>
      </x:c>
      <x:c r="D32" s="2" t="s">
        <x:v>231</x:v>
      </x:c>
      <x:c r="E32" s="2" t="s">
        <x:v>56</x:v>
      </x:c>
      <x:c r="F32" s="2" t="s">
        <x:v>82</x:v>
      </x:c>
      <x:c r="G32" s="2" t="s">
        <x:v>272</x:v>
      </x:c>
      <x:c r="H32" s="2" t="s">
        <x:v>273</x:v>
      </x:c>
      <x:c r="I32" s="2" t="s">
        <x:v>274</x:v>
      </x:c>
      <x:c r="J32" s="2" t="s">
        <x:v>275</x:v>
      </x:c>
      <x:c r="K32" s="2" t="s">
        <x:v>32</x:v>
      </x:c>
      <x:c r="L32" s="2" t="s">
        <x:v>10</x:v>
      </x:c>
      <x:c r="M32" s="2"/>
      <x:c r="N32" s="2" t="s">
        <x:v>276</x:v>
      </x:c>
      <x:c r="O32" s="2" t="s">
        <x:v>277</x:v>
      </x:c>
      <x:c r="P32" s="2"/>
      <x:c r="Q32" s="2" t="s">
        <x:v>64</x:v>
      </x:c>
      <x:c r="R32" s="2" t="s">
        <x:v>278</x:v>
      </x:c>
    </x:row>
    <x:row r="33" ht="71.25">
      <x:c r="A33" s="2" t="s">
        <x:v>279</x:v>
      </x:c>
      <x:c r="B33" s="2" t="s">
        <x:v>54</x:v>
      </x:c>
      <x:c r="C33" s="2" t="s">
        <x:v>17</x:v>
      </x:c>
      <x:c r="D33" s="2" t="s">
        <x:v>280</x:v>
      </x:c>
      <x:c r="E33" s="2" t="s">
        <x:v>108</x:v>
      </x:c>
      <x:c r="F33" s="2" t="s">
        <x:v>82</x:v>
      </x:c>
      <x:c r="G33" s="2" t="s">
        <x:v>281</x:v>
      </x:c>
      <x:c r="H33" s="2" t="s">
        <x:v>282</x:v>
      </x:c>
      <x:c r="I33" s="2" t="s">
        <x:v>283</x:v>
      </x:c>
      <x:c r="J33" s="2" t="s">
        <x:v>284</x:v>
      </x:c>
      <x:c r="K33" s="2" t="s">
        <x:v>34</x:v>
      </x:c>
      <x:c r="L33" s="2" t="s">
        <x:v>10</x:v>
      </x:c>
      <x:c r="M33" s="2"/>
      <x:c r="N33" s="2" t="s">
        <x:v>285</x:v>
      </x:c>
      <x:c r="O33" s="2" t="s">
        <x:v>286</x:v>
      </x:c>
      <x:c r="P33" s="2"/>
      <x:c r="Q33" s="2" t="s">
        <x:v>64</x:v>
      </x:c>
      <x:c r="R33" s="2" t="s">
        <x:v>287</x:v>
      </x:c>
    </x:row>
    <x:row r="34" ht="71.25">
      <x:c r="A34" s="2" t="s">
        <x:v>288</x:v>
      </x:c>
      <x:c r="B34" s="2" t="s">
        <x:v>54</x:v>
      </x:c>
      <x:c r="C34" s="2" t="s">
        <x:v>17</x:v>
      </x:c>
      <x:c r="D34" s="2" t="s">
        <x:v>280</x:v>
      </x:c>
      <x:c r="E34" s="2" t="s">
        <x:v>108</x:v>
      </x:c>
      <x:c r="F34" s="2" t="s">
        <x:v>82</x:v>
      </x:c>
      <x:c r="G34" s="2" t="s">
        <x:v>289</x:v>
      </x:c>
      <x:c r="H34" s="2" t="s">
        <x:v>290</x:v>
      </x:c>
      <x:c r="I34" s="2" t="s">
        <x:v>291</x:v>
      </x:c>
      <x:c r="J34" s="2" t="s">
        <x:v>292</x:v>
      </x:c>
      <x:c r="K34" s="2" t="s">
        <x:v>34</x:v>
      </x:c>
      <x:c r="L34" s="2" t="s">
        <x:v>10</x:v>
      </x:c>
      <x:c r="M34" s="2"/>
      <x:c r="N34" s="2" t="s">
        <x:v>293</x:v>
      </x:c>
      <x:c r="O34" s="2" t="s">
        <x:v>294</x:v>
      </x:c>
      <x:c r="P34" s="2"/>
      <x:c r="Q34" s="2" t="s">
        <x:v>64</x:v>
      </x:c>
      <x:c r="R34" s="2" t="s">
        <x:v>295</x:v>
      </x:c>
    </x:row>
    <x:row r="35" ht="75" customHeight="1">
      <x:c r="A35" s="2" t="s">
        <x:v>296</x:v>
      </x:c>
      <x:c r="B35" s="2" t="s">
        <x:v>54</x:v>
      </x:c>
      <x:c r="C35" s="2" t="s">
        <x:v>17</x:v>
      </x:c>
      <x:c r="D35" s="2" t="s">
        <x:v>280</x:v>
      </x:c>
      <x:c r="E35" s="2" t="s">
        <x:v>108</x:v>
      </x:c>
      <x:c r="F35" s="2" t="s">
        <x:v>82</x:v>
      </x:c>
      <x:c r="G35" s="2" t="s">
        <x:v>297</x:v>
      </x:c>
      <x:c r="H35" s="2" t="s">
        <x:v>298</x:v>
      </x:c>
      <x:c r="I35" s="2" t="s">
        <x:v>299</x:v>
      </x:c>
      <x:c r="J35" s="2" t="s">
        <x:v>300</x:v>
      </x:c>
      <x:c r="K35" s="2" t="s">
        <x:v>33</x:v>
      </x:c>
      <x:c r="L35" s="2" t="s">
        <x:v>10</x:v>
      </x:c>
      <x:c r="M35" s="2"/>
      <x:c r="N35" s="5" t="s">
        <x:v>301</x:v>
      </x:c>
      <x:c r="O35" s="5" t="s">
        <x:v>302</x:v>
      </x:c>
      <x:c r="P35" s="2"/>
      <x:c r="Q35" s="2" t="s">
        <x:v>64</x:v>
      </x:c>
      <x:c r="R35" s="2" t="s">
        <x:v>303</x:v>
      </x:c>
    </x:row>
    <x:row r="36" ht="28.5" customHeight="1">
      <x:c r="A36" s="2" t="s">
        <x:v>304</x:v>
      </x:c>
      <x:c r="B36" s="2" t="s">
        <x:v>54</x:v>
      </x:c>
      <x:c r="C36" s="2" t="s">
        <x:v>17</x:v>
      </x:c>
      <x:c r="D36" s="2" t="s">
        <x:v>280</x:v>
      </x:c>
      <x:c r="E36" s="2" t="s">
        <x:v>108</x:v>
      </x:c>
      <x:c r="F36" s="2" t="s">
        <x:v>82</x:v>
      </x:c>
      <x:c r="G36" s="2" t="s">
        <x:v>305</x:v>
      </x:c>
      <x:c r="H36" s="2" t="s">
        <x:v>306</x:v>
      </x:c>
      <x:c r="I36" s="2" t="s">
        <x:v>307</x:v>
      </x:c>
      <x:c r="J36" s="2" t="s">
        <x:v>308</x:v>
      </x:c>
      <x:c r="K36" s="2" t="s">
        <x:v>33</x:v>
      </x:c>
      <x:c r="L36" s="2" t="s">
        <x:v>10</x:v>
      </x:c>
      <x:c r="M36" s="2"/>
      <x:c r="N36" s="2" t="s">
        <x:v>309</x:v>
      </x:c>
      <x:c r="O36" s="2" t="s">
        <x:v>310</x:v>
      </x:c>
      <x:c r="P36" s="2"/>
      <x:c r="Q36" s="2" t="s">
        <x:v>64</x:v>
      </x:c>
      <x:c r="R36" s="2" t="s">
        <x:v>311</x:v>
      </x:c>
    </x:row>
    <x:row r="37" ht="71.25">
      <x:c r="A37" s="2" t="s">
        <x:v>312</x:v>
      </x:c>
      <x:c r="B37" s="2" t="s">
        <x:v>54</x:v>
      </x:c>
      <x:c r="C37" s="2" t="s">
        <x:v>18</x:v>
      </x:c>
      <x:c r="D37" s="2" t="s">
        <x:v>313</x:v>
      </x:c>
      <x:c r="E37" s="2" t="s">
        <x:v>108</x:v>
      </x:c>
      <x:c r="F37" s="2" t="s">
        <x:v>82</x:v>
      </x:c>
      <x:c r="G37" s="2" t="s">
        <x:v>314</x:v>
      </x:c>
      <x:c r="H37" s="2" t="s">
        <x:v>282</x:v>
      </x:c>
      <x:c r="I37" s="2" t="s">
        <x:v>315</x:v>
      </x:c>
      <x:c r="J37" s="2" t="s">
        <x:v>316</x:v>
      </x:c>
      <x:c r="K37" s="2" t="s">
        <x:v>34</x:v>
      </x:c>
      <x:c r="L37" s="2" t="s">
        <x:v>10</x:v>
      </x:c>
      <x:c r="M37" s="2"/>
      <x:c r="N37" s="2" t="s">
        <x:v>317</x:v>
      </x:c>
      <x:c r="O37" s="2" t="s">
        <x:v>318</x:v>
      </x:c>
      <x:c r="P37" s="2"/>
      <x:c r="Q37" s="2" t="s">
        <x:v>64</x:v>
      </x:c>
      <x:c r="R37" s="2" t="s">
        <x:v>319</x:v>
      </x:c>
    </x:row>
    <x:row r="38" ht="28.5" customHeight="1">
      <x:c r="A38" s="2" t="s">
        <x:v>320</x:v>
      </x:c>
      <x:c r="B38" s="2" t="s">
        <x:v>54</x:v>
      </x:c>
      <x:c r="C38" s="2" t="s">
        <x:v>18</x:v>
      </x:c>
      <x:c r="D38" s="2" t="s">
        <x:v>313</x:v>
      </x:c>
      <x:c r="E38" s="2" t="s">
        <x:v>108</x:v>
      </x:c>
      <x:c r="F38" s="2" t="s">
        <x:v>82</x:v>
      </x:c>
      <x:c r="G38" s="2" t="s">
        <x:v>321</x:v>
      </x:c>
      <x:c r="H38" s="2" t="s">
        <x:v>322</x:v>
      </x:c>
      <x:c r="I38" s="2" t="s">
        <x:v>323</x:v>
      </x:c>
      <x:c r="J38" s="2" t="s">
        <x:v>324</x:v>
      </x:c>
      <x:c r="K38" s="2" t="s">
        <x:v>33</x:v>
      </x:c>
      <x:c r="L38" s="2" t="s">
        <x:v>10</x:v>
      </x:c>
      <x:c r="M38" s="2"/>
      <x:c r="N38" s="2" t="s">
        <x:v>325</x:v>
      </x:c>
      <x:c r="O38" s="2" t="s">
        <x:v>326</x:v>
      </x:c>
      <x:c r="P38" s="2"/>
      <x:c r="Q38" s="2" t="s">
        <x:v>64</x:v>
      </x:c>
      <x:c r="R38" s="2" t="s">
        <x:v>327</x:v>
      </x:c>
    </x:row>
    <x:row r="39" ht="142.5">
      <x:c r="A39" s="2" t="s">
        <x:v>328</x:v>
      </x:c>
      <x:c r="B39" s="2" t="s">
        <x:v>54</x:v>
      </x:c>
      <x:c r="C39" s="2" t="s">
        <x:v>18</x:v>
      </x:c>
      <x:c r="D39" s="2" t="s">
        <x:v>313</x:v>
      </x:c>
      <x:c r="E39" s="2" t="s">
        <x:v>108</x:v>
      </x:c>
      <x:c r="F39" s="2" t="s">
        <x:v>82</x:v>
      </x:c>
      <x:c r="G39" s="2" t="s">
        <x:v>329</x:v>
      </x:c>
      <x:c r="H39" s="2" t="s">
        <x:v>330</x:v>
      </x:c>
      <x:c r="I39" s="2" t="s">
        <x:v>331</x:v>
      </x:c>
      <x:c r="J39" s="2" t="s">
        <x:v>332</x:v>
      </x:c>
      <x:c r="K39" s="2" t="s">
        <x:v>33</x:v>
      </x:c>
      <x:c r="L39" s="2" t="s">
        <x:v>10</x:v>
      </x:c>
      <x:c r="M39" s="2"/>
      <x:c r="N39" s="5" t="s">
        <x:v>333</x:v>
      </x:c>
      <x:c r="O39" s="2"/>
      <x:c r="P39" s="2"/>
      <x:c r="Q39" s="2" t="s">
        <x:v>64</x:v>
      </x:c>
      <x:c r="R39" s="2" t="s">
        <x:v>334</x:v>
      </x:c>
    </x:row>
    <x:row r="40" ht="28.5" customHeight="1">
      <x:c r="A40" s="2" t="s">
        <x:v>335</x:v>
      </x:c>
      <x:c r="B40" s="2" t="s">
        <x:v>54</x:v>
      </x:c>
      <x:c r="C40" s="2" t="s">
        <x:v>18</x:v>
      </x:c>
      <x:c r="D40" s="2" t="s">
        <x:v>171</x:v>
      </x:c>
      <x:c r="E40" s="2" t="s">
        <x:v>108</x:v>
      </x:c>
      <x:c r="F40" s="2" t="s">
        <x:v>82</x:v>
      </x:c>
      <x:c r="G40" s="2" t="s">
        <x:v>336</x:v>
      </x:c>
      <x:c r="H40" s="2" t="s">
        <x:v>337</x:v>
      </x:c>
      <x:c r="I40" s="2" t="s">
        <x:v>338</x:v>
      </x:c>
      <x:c r="J40" s="2" t="s">
        <x:v>175</x:v>
      </x:c>
      <x:c r="K40" s="2" t="s">
        <x:v>33</x:v>
      </x:c>
      <x:c r="L40" s="2" t="s">
        <x:v>10</x:v>
      </x:c>
      <x:c r="M40" s="2"/>
      <x:c r="N40" s="2" t="s">
        <x:v>339</x:v>
      </x:c>
      <x:c r="O40" s="2"/>
      <x:c r="P40" s="2"/>
      <x:c r="Q40" s="2" t="s">
        <x:v>64</x:v>
      </x:c>
      <x:c r="R40" s="2" t="s">
        <x:v>340</x:v>
      </x:c>
    </x:row>
    <x:row r="41" ht="42.75">
      <x:c r="A41" s="2" t="s">
        <x:v>341</x:v>
      </x:c>
      <x:c r="B41" s="2" t="s">
        <x:v>342</x:v>
      </x:c>
      <x:c r="C41" s="2" t="s">
        <x:v>19</x:v>
      </x:c>
      <x:c r="D41" s="2" t="s">
        <x:v>343</x:v>
      </x:c>
      <x:c r="E41" s="2" t="s">
        <x:v>56</x:v>
      </x:c>
      <x:c r="F41" s="2" t="s">
        <x:v>57</x:v>
      </x:c>
      <x:c r="G41" s="2" t="s">
        <x:v>344</x:v>
      </x:c>
      <x:c r="H41" s="2" t="s">
        <x:v>149</x:v>
      </x:c>
      <x:c r="I41" s="2" t="s">
        <x:v>345</x:v>
      </x:c>
      <x:c r="J41" s="2" t="s">
        <x:v>346</x:v>
      </x:c>
      <x:c r="K41" s="2" t="s">
        <x:v>34</x:v>
      </x:c>
      <x:c r="L41" s="2" t="s">
        <x:v>10</x:v>
      </x:c>
      <x:c r="M41" s="2"/>
      <x:c r="N41" s="2" t="s">
        <x:v>347</x:v>
      </x:c>
      <x:c r="O41" s="2" t="s">
        <x:v>348</x:v>
      </x:c>
      <x:c r="P41" s="2"/>
      <x:c r="Q41" s="2" t="s">
        <x:v>64</x:v>
      </x:c>
      <x:c r="R41" s="2" t="s">
        <x:v>349</x:v>
      </x:c>
    </x:row>
    <x:row r="42" ht="114">
      <x:c r="A42" s="2" t="s">
        <x:v>350</x:v>
      </x:c>
      <x:c r="B42" s="2" t="s">
        <x:v>351</x:v>
      </x:c>
      <x:c r="C42" s="2" t="s">
        <x:v>19</x:v>
      </x:c>
      <x:c r="D42" s="2" t="s">
        <x:v>343</x:v>
      </x:c>
      <x:c r="E42" s="2" t="s">
        <x:v>56</x:v>
      </x:c>
      <x:c r="F42" s="2" t="s">
        <x:v>57</x:v>
      </x:c>
      <x:c r="G42" s="2" t="s">
        <x:v>352</x:v>
      </x:c>
      <x:c r="H42" s="2" t="s">
        <x:v>353</x:v>
      </x:c>
      <x:c r="I42" s="2" t="s">
        <x:v>354</x:v>
      </x:c>
      <x:c r="J42" s="2" t="s">
        <x:v>355</x:v>
      </x:c>
      <x:c r="K42" s="2" t="s">
        <x:v>32</x:v>
      </x:c>
      <x:c r="L42" s="2" t="s">
        <x:v>10</x:v>
      </x:c>
      <x:c r="M42" s="2"/>
      <x:c r="N42" s="2" t="s">
        <x:v>356</x:v>
      </x:c>
      <x:c r="O42" s="2" t="s">
        <x:v>357</x:v>
      </x:c>
      <x:c r="P42" s="2"/>
      <x:c r="Q42" s="2" t="s">
        <x:v>64</x:v>
      </x:c>
      <x:c r="R42" s="2" t="s">
        <x:v>358</x:v>
      </x:c>
    </x:row>
    <x:row r="43" ht="71.25">
      <x:c r="A43" s="2" t="s">
        <x:v>359</x:v>
      </x:c>
      <x:c r="B43" s="2" t="s">
        <x:v>351</x:v>
      </x:c>
      <x:c r="C43" s="2" t="s">
        <x:v>19</x:v>
      </x:c>
      <x:c r="D43" s="2" t="s">
        <x:v>343</x:v>
      </x:c>
      <x:c r="E43" s="2" t="s">
        <x:v>56</x:v>
      </x:c>
      <x:c r="F43" s="2" t="s">
        <x:v>57</x:v>
      </x:c>
      <x:c r="G43" s="2" t="s">
        <x:v>360</x:v>
      </x:c>
      <x:c r="H43" s="2" t="s">
        <x:v>149</x:v>
      </x:c>
      <x:c r="I43" s="2" t="s">
        <x:v>361</x:v>
      </x:c>
      <x:c r="J43" s="2" t="s">
        <x:v>362</x:v>
      </x:c>
      <x:c r="K43" s="2" t="s">
        <x:v>32</x:v>
      </x:c>
      <x:c r="L43" s="2" t="s">
        <x:v>10</x:v>
      </x:c>
      <x:c r="M43" s="2"/>
      <x:c r="N43" s="2" t="s">
        <x:v>363</x:v>
      </x:c>
      <x:c r="O43" s="2" t="s">
        <x:v>364</x:v>
      </x:c>
      <x:c r="P43" s="2"/>
      <x:c r="Q43" s="2" t="s">
        <x:v>64</x:v>
      </x:c>
      <x:c r="R43" s="2" t="s">
        <x:v>365</x:v>
      </x:c>
    </x:row>
    <x:row r="44" ht="71.25">
      <x:c r="A44" s="2" t="s">
        <x:v>366</x:v>
      </x:c>
      <x:c r="B44" s="2" t="s">
        <x:v>351</x:v>
      </x:c>
      <x:c r="C44" s="2" t="s">
        <x:v>19</x:v>
      </x:c>
      <x:c r="D44" s="2" t="s">
        <x:v>343</x:v>
      </x:c>
      <x:c r="E44" s="2" t="s">
        <x:v>56</x:v>
      </x:c>
      <x:c r="F44" s="2" t="s">
        <x:v>57</x:v>
      </x:c>
      <x:c r="G44" s="2" t="s">
        <x:v>367</x:v>
      </x:c>
      <x:c r="H44" s="2" t="s">
        <x:v>149</x:v>
      </x:c>
      <x:c r="I44" s="2" t="s">
        <x:v>368</x:v>
      </x:c>
      <x:c r="J44" s="2" t="s">
        <x:v>369</x:v>
      </x:c>
      <x:c r="K44" s="2" t="s">
        <x:v>32</x:v>
      </x:c>
      <x:c r="L44" s="2" t="s">
        <x:v>10</x:v>
      </x:c>
      <x:c r="M44" s="2"/>
      <x:c r="N44" s="2" t="s">
        <x:v>370</x:v>
      </x:c>
      <x:c r="O44" s="2" t="s">
        <x:v>371</x:v>
      </x:c>
      <x:c r="P44" s="2"/>
      <x:c r="Q44" s="2" t="s">
        <x:v>64</x:v>
      </x:c>
      <x:c r="R44" s="2" t="s">
        <x:v>372</x:v>
      </x:c>
    </x:row>
    <x:row r="45" ht="85.5">
      <x:c r="A45" s="2" t="s">
        <x:v>373</x:v>
      </x:c>
      <x:c r="B45" s="2" t="s">
        <x:v>351</x:v>
      </x:c>
      <x:c r="C45" s="2" t="s">
        <x:v>19</x:v>
      </x:c>
      <x:c r="D45" s="2" t="s">
        <x:v>343</x:v>
      </x:c>
      <x:c r="E45" s="2" t="s">
        <x:v>56</x:v>
      </x:c>
      <x:c r="F45" s="2" t="s">
        <x:v>57</x:v>
      </x:c>
      <x:c r="G45" s="2" t="s">
        <x:v>374</x:v>
      </x:c>
      <x:c r="H45" s="2" t="s">
        <x:v>375</x:v>
      </x:c>
      <x:c r="I45" s="2" t="s">
        <x:v>376</x:v>
      </x:c>
      <x:c r="J45" s="2" t="s">
        <x:v>377</x:v>
      </x:c>
      <x:c r="K45" s="2" t="s">
        <x:v>34</x:v>
      </x:c>
      <x:c r="L45" s="2" t="s">
        <x:v>10</x:v>
      </x:c>
      <x:c r="M45" s="2"/>
      <x:c r="N45" s="2" t="s">
        <x:v>378</x:v>
      </x:c>
      <x:c r="O45" s="2" t="s">
        <x:v>379</x:v>
      </x:c>
      <x:c r="P45" s="2"/>
      <x:c r="Q45" s="2" t="s">
        <x:v>64</x:v>
      </x:c>
      <x:c r="R45" s="2" t="s">
        <x:v>380</x:v>
      </x:c>
    </x:row>
    <x:row r="46" ht="57">
      <x:c r="A46" s="2" t="s">
        <x:v>381</x:v>
      </x:c>
      <x:c r="B46" s="2" t="s">
        <x:v>351</x:v>
      </x:c>
      <x:c r="C46" s="2" t="s">
        <x:v>19</x:v>
      </x:c>
      <x:c r="D46" s="2" t="s">
        <x:v>343</x:v>
      </x:c>
      <x:c r="E46" s="2" t="s">
        <x:v>56</x:v>
      </x:c>
      <x:c r="F46" s="2" t="s">
        <x:v>57</x:v>
      </x:c>
      <x:c r="G46" s="2" t="s">
        <x:v>382</x:v>
      </x:c>
      <x:c r="H46" s="2" t="s">
        <x:v>383</x:v>
      </x:c>
      <x:c r="I46" s="2" t="s">
        <x:v>376</x:v>
      </x:c>
      <x:c r="J46" s="2" t="s">
        <x:v>384</x:v>
      </x:c>
      <x:c r="K46" s="2" t="s">
        <x:v>34</x:v>
      </x:c>
      <x:c r="L46" s="2" t="s">
        <x:v>10</x:v>
      </x:c>
      <x:c r="M46" s="2"/>
      <x:c r="N46" s="2" t="s">
        <x:v>385</x:v>
      </x:c>
      <x:c r="O46" s="2" t="s">
        <x:v>386</x:v>
      </x:c>
      <x:c r="P46" s="2"/>
      <x:c r="Q46" s="2" t="s">
        <x:v>64</x:v>
      </x:c>
      <x:c r="R46" s="2" t="s">
        <x:v>387</x:v>
      </x:c>
    </x:row>
    <x:row r="47" ht="114">
      <x:c r="A47" s="2" t="s">
        <x:v>388</x:v>
      </x:c>
      <x:c r="B47" s="2" t="s">
        <x:v>389</x:v>
      </x:c>
      <x:c r="C47" s="2" t="s">
        <x:v>19</x:v>
      </x:c>
      <x:c r="D47" s="2" t="s">
        <x:v>343</x:v>
      </x:c>
      <x:c r="E47" s="2" t="s">
        <x:v>56</x:v>
      </x:c>
      <x:c r="F47" s="2" t="s">
        <x:v>57</x:v>
      </x:c>
      <x:c r="G47" s="2" t="s">
        <x:v>390</x:v>
      </x:c>
      <x:c r="H47" s="2" t="s">
        <x:v>391</x:v>
      </x:c>
      <x:c r="I47" s="2" t="s">
        <x:v>376</x:v>
      </x:c>
      <x:c r="J47" s="2" t="s">
        <x:v>392</x:v>
      </x:c>
      <x:c r="K47" s="2" t="s">
        <x:v>32</x:v>
      </x:c>
      <x:c r="L47" s="2" t="s">
        <x:v>10</x:v>
      </x:c>
      <x:c r="M47" s="2"/>
      <x:c r="N47" s="2" t="s">
        <x:v>393</x:v>
      </x:c>
      <x:c r="O47" s="2" t="s">
        <x:v>394</x:v>
      </x:c>
      <x:c r="P47" s="2"/>
      <x:c r="Q47" s="2" t="s">
        <x:v>64</x:v>
      </x:c>
      <x:c r="R47" s="2" t="s">
        <x:v>395</x:v>
      </x:c>
    </x:row>
    <x:row r="48" ht="71.25">
      <x:c r="A48" s="2" t="s">
        <x:v>396</x:v>
      </x:c>
      <x:c r="B48" s="2" t="s">
        <x:v>389</x:v>
      </x:c>
      <x:c r="C48" s="2" t="s">
        <x:v>19</x:v>
      </x:c>
      <x:c r="D48" s="2" t="s">
        <x:v>343</x:v>
      </x:c>
      <x:c r="E48" s="2" t="s">
        <x:v>56</x:v>
      </x:c>
      <x:c r="F48" s="2" t="s">
        <x:v>57</x:v>
      </x:c>
      <x:c r="G48" s="2" t="s">
        <x:v>397</x:v>
      </x:c>
      <x:c r="H48" s="2" t="s">
        <x:v>398</x:v>
      </x:c>
      <x:c r="I48" s="2" t="s">
        <x:v>376</x:v>
      </x:c>
      <x:c r="J48" s="2" t="s">
        <x:v>399</x:v>
      </x:c>
      <x:c r="K48" s="2" t="s">
        <x:v>32</x:v>
      </x:c>
      <x:c r="L48" s="2" t="s">
        <x:v>10</x:v>
      </x:c>
      <x:c r="M48" s="2"/>
      <x:c r="N48" s="2" t="s">
        <x:v>400</x:v>
      </x:c>
      <x:c r="O48" s="2" t="s">
        <x:v>401</x:v>
      </x:c>
      <x:c r="P48" s="2"/>
      <x:c r="Q48" s="2" t="s">
        <x:v>64</x:v>
      </x:c>
      <x:c r="R48" s="2" t="s">
        <x:v>402</x:v>
      </x:c>
    </x:row>
    <x:row r="49" ht="85.5">
      <x:c r="A49" s="2" t="s">
        <x:v>403</x:v>
      </x:c>
      <x:c r="B49" s="2" t="s">
        <x:v>389</x:v>
      </x:c>
      <x:c r="C49" s="2" t="s">
        <x:v>19</x:v>
      </x:c>
      <x:c r="D49" s="2" t="s">
        <x:v>343</x:v>
      </x:c>
      <x:c r="E49" s="2" t="s">
        <x:v>56</x:v>
      </x:c>
      <x:c r="F49" s="2" t="s">
        <x:v>57</x:v>
      </x:c>
      <x:c r="G49" s="2" t="s">
        <x:v>404</x:v>
      </x:c>
      <x:c r="H49" s="2" t="s">
        <x:v>405</x:v>
      </x:c>
      <x:c r="I49" s="2" t="s">
        <x:v>376</x:v>
      </x:c>
      <x:c r="J49" s="2" t="s">
        <x:v>406</x:v>
      </x:c>
      <x:c r="K49" s="2" t="s">
        <x:v>32</x:v>
      </x:c>
      <x:c r="L49" s="2" t="s">
        <x:v>10</x:v>
      </x:c>
      <x:c r="M49" s="2"/>
      <x:c r="N49" s="2" t="s">
        <x:v>407</x:v>
      </x:c>
      <x:c r="O49" s="2" t="s">
        <x:v>408</x:v>
      </x:c>
      <x:c r="P49" s="2"/>
      <x:c r="Q49" s="2" t="s">
        <x:v>64</x:v>
      </x:c>
      <x:c r="R49" s="2" t="s">
        <x:v>409</x:v>
      </x:c>
    </x:row>
    <x:row r="50" ht="85.5">
      <x:c r="A50" s="2" t="s">
        <x:v>410</x:v>
      </x:c>
      <x:c r="B50" s="2" t="s">
        <x:v>389</x:v>
      </x:c>
      <x:c r="C50" s="2" t="s">
        <x:v>19</x:v>
      </x:c>
      <x:c r="D50" s="2" t="s">
        <x:v>343</x:v>
      </x:c>
      <x:c r="E50" s="2" t="s">
        <x:v>56</x:v>
      </x:c>
      <x:c r="F50" s="2" t="s">
        <x:v>57</x:v>
      </x:c>
      <x:c r="G50" s="2" t="s">
        <x:v>411</x:v>
      </x:c>
      <x:c r="H50" s="2" t="s">
        <x:v>412</x:v>
      </x:c>
      <x:c r="I50" s="2" t="s">
        <x:v>376</x:v>
      </x:c>
      <x:c r="J50" s="2" t="s">
        <x:v>413</x:v>
      </x:c>
      <x:c r="K50" s="2" t="s">
        <x:v>32</x:v>
      </x:c>
      <x:c r="L50" s="2" t="s">
        <x:v>10</x:v>
      </x:c>
      <x:c r="M50" s="2"/>
      <x:c r="N50" s="2" t="s">
        <x:v>414</x:v>
      </x:c>
      <x:c r="O50" s="2" t="s">
        <x:v>415</x:v>
      </x:c>
      <x:c r="P50" s="2"/>
      <x:c r="Q50" s="2" t="s">
        <x:v>64</x:v>
      </x:c>
      <x:c r="R50" s="2" t="s">
        <x:v>416</x:v>
      </x:c>
    </x:row>
    <x:row r="51" ht="114">
      <x:c r="A51" s="2" t="s">
        <x:v>417</x:v>
      </x:c>
      <x:c r="B51" s="2" t="s">
        <x:v>389</x:v>
      </x:c>
      <x:c r="C51" s="2" t="s">
        <x:v>19</x:v>
      </x:c>
      <x:c r="D51" s="2" t="s">
        <x:v>343</x:v>
      </x:c>
      <x:c r="E51" s="2" t="s">
        <x:v>56</x:v>
      </x:c>
      <x:c r="F51" s="2" t="s">
        <x:v>57</x:v>
      </x:c>
      <x:c r="G51" s="2" t="s">
        <x:v>418</x:v>
      </x:c>
      <x:c r="H51" s="2" t="s">
        <x:v>419</x:v>
      </x:c>
      <x:c r="I51" s="2" t="s">
        <x:v>420</x:v>
      </x:c>
      <x:c r="J51" s="2" t="s">
        <x:v>421</x:v>
      </x:c>
      <x:c r="K51" s="2" t="s">
        <x:v>32</x:v>
      </x:c>
      <x:c r="L51" s="2" t="s">
        <x:v>10</x:v>
      </x:c>
      <x:c r="M51" s="2"/>
      <x:c r="N51" s="2" t="s">
        <x:v>422</x:v>
      </x:c>
      <x:c r="O51" s="2" t="s">
        <x:v>423</x:v>
      </x:c>
      <x:c r="P51" s="2"/>
      <x:c r="Q51" s="2" t="s">
        <x:v>64</x:v>
      </x:c>
      <x:c r="R51" s="2" t="s">
        <x:v>424</x:v>
      </x:c>
    </x:row>
    <x:row r="52" ht="85.5">
      <x:c r="A52" s="2" t="s">
        <x:v>425</x:v>
      </x:c>
      <x:c r="B52" s="2" t="s">
        <x:v>389</x:v>
      </x:c>
      <x:c r="C52" s="2" t="s">
        <x:v>19</x:v>
      </x:c>
      <x:c r="D52" s="2" t="s">
        <x:v>343</x:v>
      </x:c>
      <x:c r="E52" s="2" t="s">
        <x:v>56</x:v>
      </x:c>
      <x:c r="F52" s="2" t="s">
        <x:v>57</x:v>
      </x:c>
      <x:c r="G52" s="2" t="s">
        <x:v>426</x:v>
      </x:c>
      <x:c r="H52" s="2" t="s">
        <x:v>149</x:v>
      </x:c>
      <x:c r="I52" s="2" t="s">
        <x:v>427</x:v>
      </x:c>
      <x:c r="J52" s="2" t="s">
        <x:v>428</x:v>
      </x:c>
      <x:c r="K52" s="2" t="s">
        <x:v>32</x:v>
      </x:c>
      <x:c r="L52" s="2" t="s">
        <x:v>10</x:v>
      </x:c>
      <x:c r="M52" s="2"/>
      <x:c r="N52" s="2" t="s">
        <x:v>429</x:v>
      </x:c>
      <x:c r="O52" s="2" t="s">
        <x:v>430</x:v>
      </x:c>
      <x:c r="P52" s="2"/>
      <x:c r="Q52" s="2" t="s">
        <x:v>64</x:v>
      </x:c>
      <x:c r="R52" s="2" t="s">
        <x:v>431</x:v>
      </x:c>
    </x:row>
    <x:row r="53" ht="99.75">
      <x:c r="A53" s="2" t="s">
        <x:v>432</x:v>
      </x:c>
      <x:c r="B53" s="2" t="s">
        <x:v>389</x:v>
      </x:c>
      <x:c r="C53" s="2" t="s">
        <x:v>19</x:v>
      </x:c>
      <x:c r="D53" s="2" t="s">
        <x:v>343</x:v>
      </x:c>
      <x:c r="E53" s="2" t="s">
        <x:v>56</x:v>
      </x:c>
      <x:c r="F53" s="2" t="s">
        <x:v>57</x:v>
      </x:c>
      <x:c r="G53" s="2" t="s">
        <x:v>433</x:v>
      </x:c>
      <x:c r="H53" s="2" t="s">
        <x:v>434</x:v>
      </x:c>
      <x:c r="I53" s="2" t="s">
        <x:v>435</x:v>
      </x:c>
      <x:c r="J53" s="2" t="s">
        <x:v>436</x:v>
      </x:c>
      <x:c r="K53" s="2" t="s">
        <x:v>32</x:v>
      </x:c>
      <x:c r="L53" s="2" t="s">
        <x:v>10</x:v>
      </x:c>
      <x:c r="M53" s="2"/>
      <x:c r="N53" s="2" t="s">
        <x:v>437</x:v>
      </x:c>
      <x:c r="O53" s="2" t="s">
        <x:v>438</x:v>
      </x:c>
      <x:c r="P53" s="2"/>
      <x:c r="Q53" s="2" t="s">
        <x:v>64</x:v>
      </x:c>
      <x:c r="R53" s="2" t="s">
        <x:v>439</x:v>
      </x:c>
    </x:row>
    <x:row r="54" ht="57">
      <x:c r="A54" s="2" t="s">
        <x:v>440</x:v>
      </x:c>
      <x:c r="B54" s="2" t="s">
        <x:v>342</x:v>
      </x:c>
      <x:c r="C54" s="2" t="s">
        <x:v>19</x:v>
      </x:c>
      <x:c r="D54" s="2" t="s">
        <x:v>343</x:v>
      </x:c>
      <x:c r="E54" s="2" t="s">
        <x:v>56</x:v>
      </x:c>
      <x:c r="F54" s="2" t="s">
        <x:v>57</x:v>
      </x:c>
      <x:c r="G54" s="2" t="s">
        <x:v>441</x:v>
      </x:c>
      <x:c r="H54" s="2" t="s">
        <x:v>442</x:v>
      </x:c>
      <x:c r="I54" s="2" t="s">
        <x:v>443</x:v>
      </x:c>
      <x:c r="J54" s="2" t="s">
        <x:v>444</x:v>
      </x:c>
      <x:c r="K54" s="2" t="s">
        <x:v>34</x:v>
      </x:c>
      <x:c r="L54" s="2" t="s">
        <x:v>10</x:v>
      </x:c>
      <x:c r="M54" s="2"/>
      <x:c r="N54" s="2" t="s">
        <x:v>445</x:v>
      </x:c>
      <x:c r="O54" s="2" t="s">
        <x:v>446</x:v>
      </x:c>
      <x:c r="P54" s="2"/>
      <x:c r="Q54" s="2" t="s">
        <x:v>64</x:v>
      </x:c>
      <x:c r="R54" s="2" t="s">
        <x:v>447</x:v>
      </x:c>
    </x:row>
    <x:row r="55" ht="57">
      <x:c r="A55" s="2" t="s">
        <x:v>448</x:v>
      </x:c>
      <x:c r="B55" s="2" t="s">
        <x:v>342</x:v>
      </x:c>
      <x:c r="C55" s="2" t="s">
        <x:v>19</x:v>
      </x:c>
      <x:c r="D55" s="2" t="s">
        <x:v>343</x:v>
      </x:c>
      <x:c r="E55" s="2" t="s">
        <x:v>56</x:v>
      </x:c>
      <x:c r="F55" s="2" t="s">
        <x:v>57</x:v>
      </x:c>
      <x:c r="G55" s="2" t="s">
        <x:v>449</x:v>
      </x:c>
      <x:c r="H55" s="2" t="s">
        <x:v>442</x:v>
      </x:c>
      <x:c r="I55" s="2" t="s">
        <x:v>450</x:v>
      </x:c>
      <x:c r="J55" s="2" t="s">
        <x:v>451</x:v>
      </x:c>
      <x:c r="K55" s="2" t="s">
        <x:v>34</x:v>
      </x:c>
      <x:c r="L55" s="2" t="s">
        <x:v>10</x:v>
      </x:c>
      <x:c r="M55" s="2"/>
      <x:c r="N55" s="2" t="s">
        <x:v>452</x:v>
      </x:c>
      <x:c r="O55" s="2" t="s">
        <x:v>453</x:v>
      </x:c>
      <x:c r="P55" s="2"/>
      <x:c r="Q55" s="2" t="s">
        <x:v>64</x:v>
      </x:c>
      <x:c r="R55" s="2" t="s">
        <x:v>454</x:v>
      </x:c>
    </x:row>
    <x:row r="56" ht="28.5">
      <x:c r="A56" s="2" t="s">
        <x:v>455</x:v>
      </x:c>
      <x:c r="B56" s="2" t="s">
        <x:v>54</x:v>
      </x:c>
      <x:c r="C56" s="2" t="s">
        <x:v>20</x:v>
      </x:c>
      <x:c r="D56" s="2" t="s">
        <x:v>456</x:v>
      </x:c>
      <x:c r="E56" s="2" t="s">
        <x:v>56</x:v>
      </x:c>
      <x:c r="F56" s="2" t="s">
        <x:v>57</x:v>
      </x:c>
      <x:c r="G56" s="2" t="s">
        <x:v>457</x:v>
      </x:c>
      <x:c r="H56" s="2" t="s">
        <x:v>149</x:v>
      </x:c>
      <x:c r="I56" s="2" t="s">
        <x:v>458</x:v>
      </x:c>
      <x:c r="J56" s="2" t="s">
        <x:v>459</x:v>
      </x:c>
      <x:c r="K56" s="2" t="s">
        <x:v>34</x:v>
      </x:c>
      <x:c r="L56" s="2" t="s">
        <x:v>10</x:v>
      </x:c>
      <x:c r="M56" s="2"/>
      <x:c r="N56" s="2" t="s">
        <x:v>460</x:v>
      </x:c>
      <x:c r="O56" s="2" t="s">
        <x:v>461</x:v>
      </x:c>
      <x:c r="P56" s="2"/>
      <x:c r="Q56" s="2" t="s">
        <x:v>64</x:v>
      </x:c>
      <x:c r="R56" s="2" t="s">
        <x:v>462</x:v>
      </x:c>
    </x:row>
    <x:row r="57" ht="28.5" customHeight="1">
      <x:c r="A57" s="2" t="s">
        <x:v>463</x:v>
      </x:c>
      <x:c r="B57" s="2" t="s">
        <x:v>464</x:v>
      </x:c>
      <x:c r="C57" s="2" t="s">
        <x:v>20</x:v>
      </x:c>
      <x:c r="D57" s="2" t="s">
        <x:v>456</x:v>
      </x:c>
      <x:c r="E57" s="2" t="s">
        <x:v>56</x:v>
      </x:c>
      <x:c r="F57" s="2" t="s">
        <x:v>57</x:v>
      </x:c>
      <x:c r="G57" s="2" t="s">
        <x:v>465</x:v>
      </x:c>
      <x:c r="H57" s="2" t="s">
        <x:v>466</x:v>
      </x:c>
      <x:c r="I57" s="2" t="s">
        <x:v>467</x:v>
      </x:c>
      <x:c r="J57" s="2" t="s">
        <x:v>468</x:v>
      </x:c>
      <x:c r="K57" s="2" t="s">
        <x:v>33</x:v>
      </x:c>
      <x:c r="L57" s="2" t="s">
        <x:v>10</x:v>
      </x:c>
      <x:c r="M57" s="2"/>
      <x:c r="N57" s="2" t="s">
        <x:v>469</x:v>
      </x:c>
      <x:c r="O57" s="2" t="s">
        <x:v>470</x:v>
      </x:c>
      <x:c r="P57" s="2"/>
      <x:c r="Q57" s="2" t="s">
        <x:v>64</x:v>
      </x:c>
      <x:c r="R57" s="2" t="s">
        <x:v>471</x:v>
      </x:c>
    </x:row>
    <x:row r="58" ht="57">
      <x:c r="A58" s="2" t="s">
        <x:v>472</x:v>
      </x:c>
      <x:c r="B58" s="2" t="s">
        <x:v>54</x:v>
      </x:c>
      <x:c r="C58" s="2" t="s">
        <x:v>20</x:v>
      </x:c>
      <x:c r="D58" s="2" t="s">
        <x:v>456</x:v>
      </x:c>
      <x:c r="E58" s="2" t="s">
        <x:v>56</x:v>
      </x:c>
      <x:c r="F58" s="2" t="s">
        <x:v>57</x:v>
      </x:c>
      <x:c r="G58" s="2" t="s">
        <x:v>473</x:v>
      </x:c>
      <x:c r="H58" s="2" t="s">
        <x:v>474</x:v>
      </x:c>
      <x:c r="I58" s="2" t="s">
        <x:v>475</x:v>
      </x:c>
      <x:c r="J58" s="2" t="s">
        <x:v>476</x:v>
      </x:c>
      <x:c r="K58" s="2" t="s">
        <x:v>34</x:v>
      </x:c>
      <x:c r="L58" s="2" t="s">
        <x:v>10</x:v>
      </x:c>
      <x:c r="M58" s="2"/>
      <x:c r="N58" s="2" t="s">
        <x:v>477</x:v>
      </x:c>
      <x:c r="O58" s="2" t="s">
        <x:v>478</x:v>
      </x:c>
      <x:c r="P58" s="2"/>
      <x:c r="Q58" s="2" t="s">
        <x:v>64</x:v>
      </x:c>
      <x:c r="R58" s="2" t="s">
        <x:v>479</x:v>
      </x:c>
    </x:row>
    <x:row r="59" ht="142.5">
      <x:c r="A59" s="2" t="s">
        <x:v>480</x:v>
      </x:c>
      <x:c r="B59" s="2" t="s">
        <x:v>54</x:v>
      </x:c>
      <x:c r="C59" s="2" t="s">
        <x:v>20</x:v>
      </x:c>
      <x:c r="D59" s="2" t="s">
        <x:v>456</x:v>
      </x:c>
      <x:c r="E59" s="2" t="s">
        <x:v>56</x:v>
      </x:c>
      <x:c r="F59" s="2" t="s">
        <x:v>57</x:v>
      </x:c>
      <x:c r="G59" s="2" t="s">
        <x:v>481</x:v>
      </x:c>
      <x:c r="H59" s="2" t="s">
        <x:v>474</x:v>
      </x:c>
      <x:c r="I59" s="2" t="s">
        <x:v>482</x:v>
      </x:c>
      <x:c r="J59" s="2" t="s">
        <x:v>483</x:v>
      </x:c>
      <x:c r="K59" s="2" t="s">
        <x:v>34</x:v>
      </x:c>
      <x:c r="L59" s="2" t="s">
        <x:v>10</x:v>
      </x:c>
      <x:c r="M59" s="2"/>
      <x:c r="N59" s="2" t="s">
        <x:v>484</x:v>
      </x:c>
      <x:c r="O59" s="2" t="s">
        <x:v>485</x:v>
      </x:c>
      <x:c r="P59" s="2"/>
      <x:c r="Q59" s="2" t="s">
        <x:v>64</x:v>
      </x:c>
      <x:c r="R59" s="2" t="s">
        <x:v>486</x:v>
      </x:c>
    </x:row>
    <x:row r="60" ht="85.5">
      <x:c r="A60" s="2" t="s">
        <x:v>487</x:v>
      </x:c>
      <x:c r="B60" s="2" t="s">
        <x:v>205</x:v>
      </x:c>
      <x:c r="C60" s="2" t="s">
        <x:v>20</x:v>
      </x:c>
      <x:c r="D60" s="2" t="s">
        <x:v>456</x:v>
      </x:c>
      <x:c r="E60" s="2" t="s">
        <x:v>56</x:v>
      </x:c>
      <x:c r="F60" s="2" t="s">
        <x:v>57</x:v>
      </x:c>
      <x:c r="G60" s="2" t="s">
        <x:v>488</x:v>
      </x:c>
      <x:c r="H60" s="2" t="s">
        <x:v>149</x:v>
      </x:c>
      <x:c r="I60" s="2" t="s">
        <x:v>489</x:v>
      </x:c>
      <x:c r="J60" s="2" t="s">
        <x:v>490</x:v>
      </x:c>
      <x:c r="K60" s="2" t="s">
        <x:v>32</x:v>
      </x:c>
      <x:c r="L60" s="2" t="s">
        <x:v>10</x:v>
      </x:c>
      <x:c r="M60" s="2"/>
      <x:c r="N60" s="2" t="s">
        <x:v>491</x:v>
      </x:c>
      <x:c r="O60" s="2" t="s">
        <x:v>492</x:v>
      </x:c>
      <x:c r="P60" s="2"/>
      <x:c r="Q60" s="2" t="s">
        <x:v>64</x:v>
      </x:c>
      <x:c r="R60" s="2" t="s">
        <x:v>493</x:v>
      </x:c>
    </x:row>
    <x:row r="61" ht="114">
      <x:c r="A61" s="2" t="s">
        <x:v>494</x:v>
      </x:c>
      <x:c r="B61" s="2" t="s">
        <x:v>205</x:v>
      </x:c>
      <x:c r="C61" s="2" t="s">
        <x:v>20</x:v>
      </x:c>
      <x:c r="D61" s="2" t="s">
        <x:v>456</x:v>
      </x:c>
      <x:c r="E61" s="2" t="s">
        <x:v>56</x:v>
      </x:c>
      <x:c r="F61" s="2" t="s">
        <x:v>57</x:v>
      </x:c>
      <x:c r="G61" s="2" t="s">
        <x:v>495</x:v>
      </x:c>
      <x:c r="H61" s="2" t="s">
        <x:v>496</x:v>
      </x:c>
      <x:c r="I61" s="2" t="s">
        <x:v>497</x:v>
      </x:c>
      <x:c r="J61" s="2" t="s">
        <x:v>498</x:v>
      </x:c>
      <x:c r="K61" s="2" t="s">
        <x:v>32</x:v>
      </x:c>
      <x:c r="L61" s="2" t="s">
        <x:v>10</x:v>
      </x:c>
      <x:c r="M61" s="2"/>
      <x:c r="N61" s="2" t="s">
        <x:v>499</x:v>
      </x:c>
      <x:c r="O61" s="2" t="s">
        <x:v>500</x:v>
      </x:c>
      <x:c r="P61" s="2"/>
      <x:c r="Q61" s="2" t="s">
        <x:v>64</x:v>
      </x:c>
      <x:c r="R61" s="2" t="s">
        <x:v>501</x:v>
      </x:c>
    </x:row>
    <x:row r="62" ht="42.75">
      <x:c r="A62" s="2" t="s">
        <x:v>502</x:v>
      </x:c>
      <x:c r="B62" s="2" t="s">
        <x:v>342</x:v>
      </x:c>
      <x:c r="C62" s="2" t="s">
        <x:v>20</x:v>
      </x:c>
      <x:c r="D62" s="2" t="s">
        <x:v>456</x:v>
      </x:c>
      <x:c r="E62" s="2" t="s">
        <x:v>56</x:v>
      </x:c>
      <x:c r="F62" s="2" t="s">
        <x:v>57</x:v>
      </x:c>
      <x:c r="G62" s="2" t="s">
        <x:v>503</x:v>
      </x:c>
      <x:c r="H62" s="2" t="s">
        <x:v>504</x:v>
      </x:c>
      <x:c r="I62" s="2" t="s">
        <x:v>505</x:v>
      </x:c>
      <x:c r="J62" s="2" t="s">
        <x:v>506</x:v>
      </x:c>
      <x:c r="K62" s="2" t="s">
        <x:v>34</x:v>
      </x:c>
      <x:c r="L62" s="2" t="s">
        <x:v>10</x:v>
      </x:c>
      <x:c r="M62" s="2"/>
      <x:c r="N62" s="2" t="s">
        <x:v>507</x:v>
      </x:c>
      <x:c r="O62" s="2" t="s">
        <x:v>508</x:v>
      </x:c>
      <x:c r="P62" s="2"/>
      <x:c r="Q62" s="2" t="s">
        <x:v>64</x:v>
      </x:c>
      <x:c r="R62" s="2" t="s">
        <x:v>509</x:v>
      </x:c>
    </x:row>
    <x:row r="63" ht="28.5">
      <x:c r="A63" s="2" t="s">
        <x:v>510</x:v>
      </x:c>
      <x:c r="B63" s="2" t="s">
        <x:v>54</x:v>
      </x:c>
      <x:c r="C63" s="2" t="s">
        <x:v>21</x:v>
      </x:c>
      <x:c r="D63" s="2" t="s">
        <x:v>511</x:v>
      </x:c>
      <x:c r="E63" s="2" t="s">
        <x:v>56</x:v>
      </x:c>
      <x:c r="F63" s="2" t="s">
        <x:v>57</x:v>
      </x:c>
      <x:c r="G63" s="2" t="s">
        <x:v>512</x:v>
      </x:c>
      <x:c r="H63" s="2" t="s">
        <x:v>149</x:v>
      </x:c>
      <x:c r="I63" s="2" t="s">
        <x:v>513</x:v>
      </x:c>
      <x:c r="J63" s="2" t="s">
        <x:v>514</x:v>
      </x:c>
      <x:c r="K63" s="2" t="s">
        <x:v>34</x:v>
      </x:c>
      <x:c r="L63" s="2" t="s">
        <x:v>10</x:v>
      </x:c>
      <x:c r="M63" s="2"/>
      <x:c r="N63" s="2" t="s">
        <x:v>515</x:v>
      </x:c>
      <x:c r="O63" s="2" t="s">
        <x:v>516</x:v>
      </x:c>
      <x:c r="P63" s="2"/>
      <x:c r="Q63" s="2" t="s">
        <x:v>64</x:v>
      </x:c>
      <x:c r="R63" s="2" t="s">
        <x:v>517</x:v>
      </x:c>
    </x:row>
    <x:row r="64" ht="28.5" customHeight="1">
      <x:c r="A64" s="2" t="s">
        <x:v>518</x:v>
      </x:c>
      <x:c r="B64" s="2" t="s">
        <x:v>54</x:v>
      </x:c>
      <x:c r="C64" s="2" t="s">
        <x:v>21</x:v>
      </x:c>
      <x:c r="D64" s="2" t="s">
        <x:v>511</x:v>
      </x:c>
      <x:c r="E64" s="2" t="s">
        <x:v>56</x:v>
      </x:c>
      <x:c r="F64" s="2" t="s">
        <x:v>57</x:v>
      </x:c>
      <x:c r="G64" s="2" t="s">
        <x:v>519</x:v>
      </x:c>
      <x:c r="H64" s="2" t="s">
        <x:v>149</x:v>
      </x:c>
      <x:c r="I64" s="2" t="s">
        <x:v>520</x:v>
      </x:c>
      <x:c r="J64" s="2" t="s">
        <x:v>521</x:v>
      </x:c>
      <x:c r="K64" s="2" t="s">
        <x:v>33</x:v>
      </x:c>
      <x:c r="L64" s="2" t="s">
        <x:v>10</x:v>
      </x:c>
      <x:c r="M64" s="2"/>
      <x:c r="N64" s="2" t="s">
        <x:v>522</x:v>
      </x:c>
      <x:c r="O64" s="2" t="s">
        <x:v>523</x:v>
      </x:c>
      <x:c r="P64" s="2"/>
      <x:c r="Q64" s="2" t="s">
        <x:v>64</x:v>
      </x:c>
      <x:c r="R64" s="2" t="s">
        <x:v>524</x:v>
      </x:c>
    </x:row>
    <x:row r="65" ht="28.5" customHeight="1">
      <x:c r="A65" s="2" t="s">
        <x:v>525</x:v>
      </x:c>
      <x:c r="B65" s="2" t="s">
        <x:v>464</x:v>
      </x:c>
      <x:c r="C65" s="2" t="s">
        <x:v>21</x:v>
      </x:c>
      <x:c r="D65" s="2" t="s">
        <x:v>511</x:v>
      </x:c>
      <x:c r="E65" s="2" t="s">
        <x:v>56</x:v>
      </x:c>
      <x:c r="F65" s="2" t="s">
        <x:v>57</x:v>
      </x:c>
      <x:c r="G65" s="2" t="s">
        <x:v>526</x:v>
      </x:c>
      <x:c r="H65" s="2" t="s">
        <x:v>527</x:v>
      </x:c>
      <x:c r="I65" s="2" t="s">
        <x:v>528</x:v>
      </x:c>
      <x:c r="J65" s="2" t="s">
        <x:v>529</x:v>
      </x:c>
      <x:c r="K65" s="2" t="s">
        <x:v>33</x:v>
      </x:c>
      <x:c r="L65" s="2" t="s">
        <x:v>10</x:v>
      </x:c>
      <x:c r="M65" s="2"/>
      <x:c r="N65" s="2" t="s">
        <x:v>530</x:v>
      </x:c>
      <x:c r="O65" s="2" t="s">
        <x:v>531</x:v>
      </x:c>
      <x:c r="P65" s="2"/>
      <x:c r="Q65" s="2" t="s">
        <x:v>64</x:v>
      </x:c>
      <x:c r="R65" s="2" t="s">
        <x:v>532</x:v>
      </x:c>
    </x:row>
    <x:row r="66" ht="57">
      <x:c r="A66" s="2" t="s">
        <x:v>533</x:v>
      </x:c>
      <x:c r="B66" s="2" t="s">
        <x:v>54</x:v>
      </x:c>
      <x:c r="C66" s="2" t="s">
        <x:v>21</x:v>
      </x:c>
      <x:c r="D66" s="2" t="s">
        <x:v>511</x:v>
      </x:c>
      <x:c r="E66" s="2" t="s">
        <x:v>56</x:v>
      </x:c>
      <x:c r="F66" s="2" t="s">
        <x:v>57</x:v>
      </x:c>
      <x:c r="G66" s="2" t="s">
        <x:v>534</x:v>
      </x:c>
      <x:c r="H66" s="2" t="s">
        <x:v>535</x:v>
      </x:c>
      <x:c r="I66" s="2" t="s">
        <x:v>536</x:v>
      </x:c>
      <x:c r="J66" s="2" t="s">
        <x:v>476</x:v>
      </x:c>
      <x:c r="K66" s="2" t="s">
        <x:v>34</x:v>
      </x:c>
      <x:c r="L66" s="2" t="s">
        <x:v>10</x:v>
      </x:c>
      <x:c r="M66" s="2"/>
      <x:c r="N66" s="2" t="s">
        <x:v>537</x:v>
      </x:c>
      <x:c r="O66" s="2" t="s">
        <x:v>538</x:v>
      </x:c>
      <x:c r="P66" s="2"/>
      <x:c r="Q66" s="2" t="s">
        <x:v>64</x:v>
      </x:c>
      <x:c r="R66" s="2" t="s">
        <x:v>539</x:v>
      </x:c>
    </x:row>
    <x:row r="67" ht="71.25">
      <x:c r="A67" s="2" t="s">
        <x:v>540</x:v>
      </x:c>
      <x:c r="B67" s="2" t="s">
        <x:v>54</x:v>
      </x:c>
      <x:c r="C67" s="2" t="s">
        <x:v>21</x:v>
      </x:c>
      <x:c r="D67" s="2" t="s">
        <x:v>511</x:v>
      </x:c>
      <x:c r="E67" s="2" t="s">
        <x:v>56</x:v>
      </x:c>
      <x:c r="F67" s="2" t="s">
        <x:v>57</x:v>
      </x:c>
      <x:c r="G67" s="2" t="s">
        <x:v>541</x:v>
      </x:c>
      <x:c r="H67" s="2" t="s">
        <x:v>535</x:v>
      </x:c>
      <x:c r="I67" s="2" t="s">
        <x:v>482</x:v>
      </x:c>
      <x:c r="J67" s="2" t="s">
        <x:v>483</x:v>
      </x:c>
      <x:c r="K67" s="2" t="s">
        <x:v>34</x:v>
      </x:c>
      <x:c r="L67" s="2" t="s">
        <x:v>10</x:v>
      </x:c>
      <x:c r="M67" s="2"/>
      <x:c r="N67" s="2" t="s">
        <x:v>542</x:v>
      </x:c>
      <x:c r="O67" s="2" t="s">
        <x:v>543</x:v>
      </x:c>
      <x:c r="P67" s="2"/>
      <x:c r="Q67" s="2" t="s">
        <x:v>64</x:v>
      </x:c>
      <x:c r="R67" s="2" t="s">
        <x:v>544</x:v>
      </x:c>
    </x:row>
    <x:row r="68" ht="85.5">
      <x:c r="A68" s="2" t="s">
        <x:v>545</x:v>
      </x:c>
      <x:c r="B68" s="2" t="s">
        <x:v>205</x:v>
      </x:c>
      <x:c r="C68" s="2" t="s">
        <x:v>21</x:v>
      </x:c>
      <x:c r="D68" s="2" t="s">
        <x:v>511</x:v>
      </x:c>
      <x:c r="E68" s="2" t="s">
        <x:v>56</x:v>
      </x:c>
      <x:c r="F68" s="2" t="s">
        <x:v>57</x:v>
      </x:c>
      <x:c r="G68" s="2" t="s">
        <x:v>546</x:v>
      </x:c>
      <x:c r="H68" s="2" t="s">
        <x:v>149</x:v>
      </x:c>
      <x:c r="I68" s="2" t="s">
        <x:v>489</x:v>
      </x:c>
      <x:c r="J68" s="2" t="s">
        <x:v>490</x:v>
      </x:c>
      <x:c r="K68" s="2" t="s">
        <x:v>32</x:v>
      </x:c>
      <x:c r="L68" s="2" t="s">
        <x:v>10</x:v>
      </x:c>
      <x:c r="M68" s="2"/>
      <x:c r="N68" s="2" t="s">
        <x:v>547</x:v>
      </x:c>
      <x:c r="O68" s="2" t="s">
        <x:v>548</x:v>
      </x:c>
      <x:c r="P68" s="2"/>
      <x:c r="Q68" s="2" t="s">
        <x:v>64</x:v>
      </x:c>
      <x:c r="R68" s="2" t="s">
        <x:v>549</x:v>
      </x:c>
    </x:row>
    <x:row r="69" ht="42.75">
      <x:c r="A69" s="2" t="s">
        <x:v>550</x:v>
      </x:c>
      <x:c r="B69" s="2" t="s">
        <x:v>342</x:v>
      </x:c>
      <x:c r="C69" s="2" t="s">
        <x:v>21</x:v>
      </x:c>
      <x:c r="D69" s="2" t="s">
        <x:v>511</x:v>
      </x:c>
      <x:c r="E69" s="2" t="s">
        <x:v>56</x:v>
      </x:c>
      <x:c r="F69" s="2" t="s">
        <x:v>57</x:v>
      </x:c>
      <x:c r="G69" s="2" t="s">
        <x:v>551</x:v>
      </x:c>
      <x:c r="H69" s="2" t="s">
        <x:v>504</x:v>
      </x:c>
      <x:c r="I69" s="2" t="s">
        <x:v>552</x:v>
      </x:c>
      <x:c r="J69" s="2" t="s">
        <x:v>553</x:v>
      </x:c>
      <x:c r="K69" s="2" t="s">
        <x:v>34</x:v>
      </x:c>
      <x:c r="L69" s="2" t="s">
        <x:v>10</x:v>
      </x:c>
      <x:c r="M69" s="2"/>
      <x:c r="N69" s="2" t="s">
        <x:v>554</x:v>
      </x:c>
      <x:c r="O69" s="2" t="s">
        <x:v>555</x:v>
      </x:c>
      <x:c r="P69" s="2"/>
      <x:c r="Q69" s="2" t="s">
        <x:v>64</x:v>
      </x:c>
      <x:c r="R69" s="2" t="s">
        <x:v>556</x:v>
      </x:c>
    </x:row>
    <x:row r="70" ht="42.75">
      <x:c r="A70" s="2" t="s">
        <x:v>557</x:v>
      </x:c>
      <x:c r="B70" s="2" t="s">
        <x:v>54</x:v>
      </x:c>
      <x:c r="C70" s="2" t="s">
        <x:v>22</x:v>
      </x:c>
      <x:c r="D70" s="2" t="s">
        <x:v>558</x:v>
      </x:c>
      <x:c r="E70" s="2" t="s">
        <x:v>56</x:v>
      </x:c>
      <x:c r="F70" s="2" t="s">
        <x:v>57</x:v>
      </x:c>
      <x:c r="G70" s="2" t="s">
        <x:v>559</x:v>
      </x:c>
      <x:c r="H70" s="2" t="s">
        <x:v>149</x:v>
      </x:c>
      <x:c r="I70" s="2" t="s">
        <x:v>560</x:v>
      </x:c>
      <x:c r="J70" s="2" t="s">
        <x:v>561</x:v>
      </x:c>
      <x:c r="K70" s="2" t="s">
        <x:v>34</x:v>
      </x:c>
      <x:c r="L70" s="2" t="s">
        <x:v>10</x:v>
      </x:c>
      <x:c r="M70" s="2"/>
      <x:c r="N70" s="2" t="s">
        <x:v>562</x:v>
      </x:c>
      <x:c r="O70" s="2" t="s">
        <x:v>563</x:v>
      </x:c>
      <x:c r="P70" s="2"/>
      <x:c r="Q70" s="2" t="s">
        <x:v>64</x:v>
      </x:c>
      <x:c r="R70" s="2" t="s">
        <x:v>564</x:v>
      </x:c>
    </x:row>
    <x:row r="71" ht="99.75">
      <x:c r="A71" s="2" t="s">
        <x:v>565</x:v>
      </x:c>
      <x:c r="B71" s="2" t="s">
        <x:v>464</x:v>
      </x:c>
      <x:c r="C71" s="2" t="s">
        <x:v>22</x:v>
      </x:c>
      <x:c r="D71" s="2" t="s">
        <x:v>558</x:v>
      </x:c>
      <x:c r="E71" s="2" t="s">
        <x:v>56</x:v>
      </x:c>
      <x:c r="F71" s="2" t="s">
        <x:v>57</x:v>
      </x:c>
      <x:c r="G71" s="2" t="s">
        <x:v>566</x:v>
      </x:c>
      <x:c r="H71" s="2" t="s">
        <x:v>567</x:v>
      </x:c>
      <x:c r="I71" s="2" t="s">
        <x:v>568</x:v>
      </x:c>
      <x:c r="J71" s="2" t="s">
        <x:v>569</x:v>
      </x:c>
      <x:c r="K71" s="2" t="s">
        <x:v>32</x:v>
      </x:c>
      <x:c r="L71" s="2" t="s">
        <x:v>10</x:v>
      </x:c>
      <x:c r="M71" s="2"/>
      <x:c r="N71" s="2" t="s">
        <x:v>570</x:v>
      </x:c>
      <x:c r="O71" s="2" t="s">
        <x:v>571</x:v>
      </x:c>
      <x:c r="P71" s="2"/>
      <x:c r="Q71" s="2" t="s">
        <x:v>64</x:v>
      </x:c>
      <x:c r="R71" s="2" t="s">
        <x:v>572</x:v>
      </x:c>
    </x:row>
    <x:row r="72" ht="99.75">
      <x:c r="A72" s="2" t="s">
        <x:v>573</x:v>
      </x:c>
      <x:c r="B72" s="2" t="s">
        <x:v>54</x:v>
      </x:c>
      <x:c r="C72" s="2" t="s">
        <x:v>22</x:v>
      </x:c>
      <x:c r="D72" s="2" t="s">
        <x:v>558</x:v>
      </x:c>
      <x:c r="E72" s="2" t="s">
        <x:v>56</x:v>
      </x:c>
      <x:c r="F72" s="2" t="s">
        <x:v>57</x:v>
      </x:c>
      <x:c r="G72" s="2" t="s">
        <x:v>574</x:v>
      </x:c>
      <x:c r="H72" s="2" t="s">
        <x:v>149</x:v>
      </x:c>
      <x:c r="I72" s="2" t="s">
        <x:v>575</x:v>
      </x:c>
      <x:c r="J72" s="2" t="s">
        <x:v>576</x:v>
      </x:c>
      <x:c r="K72" s="2" t="s">
        <x:v>32</x:v>
      </x:c>
      <x:c r="L72" s="2" t="s">
        <x:v>10</x:v>
      </x:c>
      <x:c r="M72" s="2"/>
      <x:c r="N72" s="2" t="s">
        <x:v>577</x:v>
      </x:c>
      <x:c r="O72" s="2" t="s">
        <x:v>578</x:v>
      </x:c>
      <x:c r="P72" s="2"/>
      <x:c r="Q72" s="2" t="s">
        <x:v>64</x:v>
      </x:c>
      <x:c r="R72" s="2" t="s">
        <x:v>579</x:v>
      </x:c>
    </x:row>
    <x:row r="73" ht="99.75">
      <x:c r="A73" s="2" t="s">
        <x:v>580</x:v>
      </x:c>
      <x:c r="B73" s="2" t="s">
        <x:v>54</x:v>
      </x:c>
      <x:c r="C73" s="2" t="s">
        <x:v>22</x:v>
      </x:c>
      <x:c r="D73" s="2" t="s">
        <x:v>558</x:v>
      </x:c>
      <x:c r="E73" s="2" t="s">
        <x:v>56</x:v>
      </x:c>
      <x:c r="F73" s="2" t="s">
        <x:v>57</x:v>
      </x:c>
      <x:c r="G73" s="2" t="s">
        <x:v>581</x:v>
      </x:c>
      <x:c r="H73" s="2" t="s">
        <x:v>149</x:v>
      </x:c>
      <x:c r="I73" s="2" t="s">
        <x:v>582</x:v>
      </x:c>
      <x:c r="J73" s="2" t="s">
        <x:v>576</x:v>
      </x:c>
      <x:c r="K73" s="2" t="s">
        <x:v>32</x:v>
      </x:c>
      <x:c r="L73" s="2" t="s">
        <x:v>10</x:v>
      </x:c>
      <x:c r="M73" s="2"/>
      <x:c r="N73" s="2" t="s">
        <x:v>583</x:v>
      </x:c>
      <x:c r="O73" s="2" t="s">
        <x:v>584</x:v>
      </x:c>
      <x:c r="P73" s="2"/>
      <x:c r="Q73" s="2" t="s">
        <x:v>64</x:v>
      </x:c>
      <x:c r="R73" s="2" t="s">
        <x:v>585</x:v>
      </x:c>
    </x:row>
    <x:row r="74" ht="42.75">
      <x:c r="A74" s="2" t="s">
        <x:v>586</x:v>
      </x:c>
      <x:c r="B74" s="2" t="s">
        <x:v>54</x:v>
      </x:c>
      <x:c r="C74" s="2" t="s">
        <x:v>22</x:v>
      </x:c>
      <x:c r="D74" s="2" t="s">
        <x:v>558</x:v>
      </x:c>
      <x:c r="E74" s="2" t="s">
        <x:v>56</x:v>
      </x:c>
      <x:c r="F74" s="2" t="s">
        <x:v>57</x:v>
      </x:c>
      <x:c r="G74" s="2" t="s">
        <x:v>587</x:v>
      </x:c>
      <x:c r="H74" s="2" t="s">
        <x:v>588</x:v>
      </x:c>
      <x:c r="I74" s="2" t="s">
        <x:v>589</x:v>
      </x:c>
      <x:c r="J74" s="2" t="s">
        <x:v>590</x:v>
      </x:c>
      <x:c r="K74" s="2" t="s">
        <x:v>34</x:v>
      </x:c>
      <x:c r="L74" s="2" t="s">
        <x:v>10</x:v>
      </x:c>
      <x:c r="M74" s="2"/>
      <x:c r="N74" s="2" t="s">
        <x:v>591</x:v>
      </x:c>
      <x:c r="O74" s="2" t="s">
        <x:v>592</x:v>
      </x:c>
      <x:c r="P74" s="2"/>
      <x:c r="Q74" s="2" t="s">
        <x:v>64</x:v>
      </x:c>
      <x:c r="R74" s="2" t="s">
        <x:v>593</x:v>
      </x:c>
    </x:row>
    <x:row r="75" ht="71.25">
      <x:c r="A75" s="2" t="s">
        <x:v>594</x:v>
      </x:c>
      <x:c r="B75" s="2" t="s">
        <x:v>54</x:v>
      </x:c>
      <x:c r="C75" s="2" t="s">
        <x:v>22</x:v>
      </x:c>
      <x:c r="D75" s="2" t="s">
        <x:v>558</x:v>
      </x:c>
      <x:c r="E75" s="2" t="s">
        <x:v>56</x:v>
      </x:c>
      <x:c r="F75" s="2" t="s">
        <x:v>57</x:v>
      </x:c>
      <x:c r="G75" s="2" t="s">
        <x:v>595</x:v>
      </x:c>
      <x:c r="H75" s="2" t="s">
        <x:v>596</x:v>
      </x:c>
      <x:c r="I75" s="2" t="s">
        <x:v>597</x:v>
      </x:c>
      <x:c r="J75" s="2" t="s">
        <x:v>598</x:v>
      </x:c>
      <x:c r="K75" s="2" t="s">
        <x:v>34</x:v>
      </x:c>
      <x:c r="L75" s="2" t="s">
        <x:v>10</x:v>
      </x:c>
      <x:c r="M75" s="2"/>
      <x:c r="N75" s="2" t="s">
        <x:v>599</x:v>
      </x:c>
      <x:c r="O75" s="2" t="s">
        <x:v>600</x:v>
      </x:c>
      <x:c r="P75" s="2"/>
      <x:c r="Q75" s="2" t="s">
        <x:v>64</x:v>
      </x:c>
      <x:c r="R75" s="2" t="s">
        <x:v>601</x:v>
      </x:c>
    </x:row>
    <x:row r="76" ht="85.5">
      <x:c r="A76" s="2" t="s">
        <x:v>602</x:v>
      </x:c>
      <x:c r="B76" s="2" t="s">
        <x:v>464</x:v>
      </x:c>
      <x:c r="C76" s="2" t="s">
        <x:v>22</x:v>
      </x:c>
      <x:c r="D76" s="2" t="s">
        <x:v>558</x:v>
      </x:c>
      <x:c r="E76" s="2" t="s">
        <x:v>56</x:v>
      </x:c>
      <x:c r="F76" s="2" t="s">
        <x:v>57</x:v>
      </x:c>
      <x:c r="G76" s="2" t="s">
        <x:v>603</x:v>
      </x:c>
      <x:c r="H76" s="2" t="s">
        <x:v>604</x:v>
      </x:c>
      <x:c r="I76" s="2" t="s">
        <x:v>605</x:v>
      </x:c>
      <x:c r="J76" s="2" t="s">
        <x:v>606</x:v>
      </x:c>
      <x:c r="K76" s="2" t="s">
        <x:v>32</x:v>
      </x:c>
      <x:c r="L76" s="2" t="s">
        <x:v>10</x:v>
      </x:c>
      <x:c r="M76" s="2"/>
      <x:c r="N76" s="2" t="s">
        <x:v>607</x:v>
      </x:c>
      <x:c r="O76" s="2" t="s">
        <x:v>608</x:v>
      </x:c>
      <x:c r="P76" s="2"/>
      <x:c r="Q76" s="2" t="s">
        <x:v>64</x:v>
      </x:c>
      <x:c r="R76" s="2" t="s">
        <x:v>609</x:v>
      </x:c>
    </x:row>
    <x:row r="77" ht="114">
      <x:c r="A77" s="2" t="s">
        <x:v>610</x:v>
      </x:c>
      <x:c r="B77" s="2" t="s">
        <x:v>205</x:v>
      </x:c>
      <x:c r="C77" s="2" t="s">
        <x:v>22</x:v>
      </x:c>
      <x:c r="D77" s="2" t="s">
        <x:v>558</x:v>
      </x:c>
      <x:c r="E77" s="2" t="s">
        <x:v>56</x:v>
      </x:c>
      <x:c r="F77" s="2" t="s">
        <x:v>57</x:v>
      </x:c>
      <x:c r="G77" s="2" t="s">
        <x:v>611</x:v>
      </x:c>
      <x:c r="H77" s="2" t="s">
        <x:v>496</x:v>
      </x:c>
      <x:c r="I77" s="2" t="s">
        <x:v>612</x:v>
      </x:c>
      <x:c r="J77" s="2" t="s">
        <x:v>613</x:v>
      </x:c>
      <x:c r="K77" s="2" t="s">
        <x:v>32</x:v>
      </x:c>
      <x:c r="L77" s="2" t="s">
        <x:v>10</x:v>
      </x:c>
      <x:c r="M77" s="2"/>
      <x:c r="N77" s="2" t="s">
        <x:v>614</x:v>
      </x:c>
      <x:c r="O77" s="2" t="s">
        <x:v>615</x:v>
      </x:c>
      <x:c r="P77" s="2"/>
      <x:c r="Q77" s="2" t="s">
        <x:v>64</x:v>
      </x:c>
      <x:c r="R77" s="2" t="s">
        <x:v>616</x:v>
      </x:c>
    </x:row>
    <x:row r="78" ht="85.5">
      <x:c r="A78" s="2" t="s">
        <x:v>617</x:v>
      </x:c>
      <x:c r="B78" s="2" t="s">
        <x:v>54</x:v>
      </x:c>
      <x:c r="C78" s="2" t="s">
        <x:v>22</x:v>
      </x:c>
      <x:c r="D78" s="2" t="s">
        <x:v>558</x:v>
      </x:c>
      <x:c r="E78" s="2" t="s">
        <x:v>56</x:v>
      </x:c>
      <x:c r="F78" s="2" t="s">
        <x:v>57</x:v>
      </x:c>
      <x:c r="G78" s="2" t="s">
        <x:v>618</x:v>
      </x:c>
      <x:c r="H78" s="2" t="s">
        <x:v>619</x:v>
      </x:c>
      <x:c r="I78" s="2" t="s">
        <x:v>620</x:v>
      </x:c>
      <x:c r="J78" s="2" t="s">
        <x:v>621</x:v>
      </x:c>
      <x:c r="K78" s="2" t="s">
        <x:v>32</x:v>
      </x:c>
      <x:c r="L78" s="2" t="s">
        <x:v>10</x:v>
      </x:c>
      <x:c r="M78" s="2"/>
      <x:c r="N78" s="2" t="s">
        <x:v>622</x:v>
      </x:c>
      <x:c r="O78" s="2" t="s">
        <x:v>623</x:v>
      </x:c>
      <x:c r="P78" s="2"/>
      <x:c r="Q78" s="2" t="s">
        <x:v>64</x:v>
      </x:c>
      <x:c r="R78" s="2" t="s">
        <x:v>624</x:v>
      </x:c>
    </x:row>
    <x:row r="79" ht="85.5">
      <x:c r="A79" s="2" t="s">
        <x:v>625</x:v>
      </x:c>
      <x:c r="B79" s="2" t="s">
        <x:v>205</x:v>
      </x:c>
      <x:c r="C79" s="2" t="s">
        <x:v>23</x:v>
      </x:c>
      <x:c r="D79" s="2" t="s">
        <x:v>231</x:v>
      </x:c>
      <x:c r="E79" s="2" t="s">
        <x:v>56</x:v>
      </x:c>
      <x:c r="F79" s="2" t="s">
        <x:v>57</x:v>
      </x:c>
      <x:c r="G79" s="2" t="s">
        <x:v>626</x:v>
      </x:c>
      <x:c r="H79" s="2" t="s">
        <x:v>627</x:v>
      </x:c>
      <x:c r="I79" s="2" t="s">
        <x:v>628</x:v>
      </x:c>
      <x:c r="J79" s="2" t="s">
        <x:v>629</x:v>
      </x:c>
      <x:c r="K79" s="2" t="s">
        <x:v>32</x:v>
      </x:c>
      <x:c r="L79" s="2" t="s">
        <x:v>10</x:v>
      </x:c>
      <x:c r="M79" s="2"/>
      <x:c r="N79" s="2" t="s">
        <x:v>630</x:v>
      </x:c>
      <x:c r="O79" s="2" t="s">
        <x:v>631</x:v>
      </x:c>
      <x:c r="P79" s="2"/>
      <x:c r="Q79" s="2" t="s">
        <x:v>73</x:v>
      </x:c>
      <x:c r="R79" s="2" t="s">
        <x:v>632</x:v>
      </x:c>
    </x:row>
    <x:row r="80" ht="71.25">
      <x:c r="A80" s="2" t="s">
        <x:v>633</x:v>
      </x:c>
      <x:c r="B80" s="2" t="s">
        <x:v>205</x:v>
      </x:c>
      <x:c r="C80" s="2" t="s">
        <x:v>23</x:v>
      </x:c>
      <x:c r="D80" s="2" t="s">
        <x:v>231</x:v>
      </x:c>
      <x:c r="E80" s="2" t="s">
        <x:v>56</x:v>
      </x:c>
      <x:c r="F80" s="2" t="s">
        <x:v>57</x:v>
      </x:c>
      <x:c r="G80" s="2" t="s">
        <x:v>634</x:v>
      </x:c>
      <x:c r="H80" s="2" t="s">
        <x:v>635</x:v>
      </x:c>
      <x:c r="I80" s="2" t="s">
        <x:v>628</x:v>
      </x:c>
      <x:c r="J80" s="2" t="s">
        <x:v>636</x:v>
      </x:c>
      <x:c r="K80" s="2" t="s">
        <x:v>32</x:v>
      </x:c>
      <x:c r="L80" s="2" t="s">
        <x:v>10</x:v>
      </x:c>
      <x:c r="M80" s="2"/>
      <x:c r="N80" s="2" t="s">
        <x:v>637</x:v>
      </x:c>
      <x:c r="O80" s="2" t="s">
        <x:v>638</x:v>
      </x:c>
      <x:c r="P80" s="2"/>
      <x:c r="Q80" s="2" t="s">
        <x:v>73</x:v>
      </x:c>
      <x:c r="R80" s="2" t="s">
        <x:v>639</x:v>
      </x:c>
    </x:row>
    <x:row r="81" ht="71.25">
      <x:c r="A81" s="2" t="s">
        <x:v>640</x:v>
      </x:c>
      <x:c r="B81" s="2" t="s">
        <x:v>205</x:v>
      </x:c>
      <x:c r="C81" s="2" t="s">
        <x:v>23</x:v>
      </x:c>
      <x:c r="D81" s="2" t="s">
        <x:v>231</x:v>
      </x:c>
      <x:c r="E81" s="2" t="s">
        <x:v>56</x:v>
      </x:c>
      <x:c r="F81" s="2" t="s">
        <x:v>57</x:v>
      </x:c>
      <x:c r="G81" s="2" t="s">
        <x:v>641</x:v>
      </x:c>
      <x:c r="H81" s="2" t="s">
        <x:v>642</x:v>
      </x:c>
      <x:c r="I81" s="2" t="s">
        <x:v>628</x:v>
      </x:c>
      <x:c r="J81" s="2" t="s">
        <x:v>643</x:v>
      </x:c>
      <x:c r="K81" s="2" t="s">
        <x:v>32</x:v>
      </x:c>
      <x:c r="L81" s="2" t="s">
        <x:v>10</x:v>
      </x:c>
      <x:c r="M81" s="2"/>
      <x:c r="N81" s="2" t="s">
        <x:v>644</x:v>
      </x:c>
      <x:c r="O81" s="2" t="s">
        <x:v>645</x:v>
      </x:c>
      <x:c r="P81" s="2"/>
      <x:c r="Q81" s="2" t="s">
        <x:v>73</x:v>
      </x:c>
      <x:c r="R81" s="2" t="s">
        <x:v>646</x:v>
      </x:c>
    </x:row>
    <x:row r="82" ht="71.25">
      <x:c r="A82" s="2" t="s">
        <x:v>647</x:v>
      </x:c>
      <x:c r="B82" s="2" t="s">
        <x:v>205</x:v>
      </x:c>
      <x:c r="C82" s="2" t="s">
        <x:v>23</x:v>
      </x:c>
      <x:c r="D82" s="2" t="s">
        <x:v>231</x:v>
      </x:c>
      <x:c r="E82" s="2" t="s">
        <x:v>56</x:v>
      </x:c>
      <x:c r="F82" s="2" t="s">
        <x:v>57</x:v>
      </x:c>
      <x:c r="G82" s="2" t="s">
        <x:v>648</x:v>
      </x:c>
      <x:c r="H82" s="2" t="s">
        <x:v>649</x:v>
      </x:c>
      <x:c r="I82" s="2" t="s">
        <x:v>628</x:v>
      </x:c>
      <x:c r="J82" s="2" t="s">
        <x:v>650</x:v>
      </x:c>
      <x:c r="K82" s="2" t="s">
        <x:v>32</x:v>
      </x:c>
      <x:c r="L82" s="2" t="s">
        <x:v>10</x:v>
      </x:c>
      <x:c r="M82" s="2"/>
      <x:c r="N82" s="2" t="s">
        <x:v>651</x:v>
      </x:c>
      <x:c r="O82" s="2" t="s">
        <x:v>652</x:v>
      </x:c>
      <x:c r="P82" s="2"/>
      <x:c r="Q82" s="2" t="s">
        <x:v>73</x:v>
      </x:c>
      <x:c r="R82" s="2" t="s">
        <x:v>646</x:v>
      </x:c>
    </x:row>
    <x:row r="83" ht="71.25">
      <x:c r="A83" s="2" t="s">
        <x:v>653</x:v>
      </x:c>
      <x:c r="B83" s="2" t="s">
        <x:v>205</x:v>
      </x:c>
      <x:c r="C83" s="2" t="s">
        <x:v>23</x:v>
      </x:c>
      <x:c r="D83" s="2" t="s">
        <x:v>231</x:v>
      </x:c>
      <x:c r="E83" s="2" t="s">
        <x:v>56</x:v>
      </x:c>
      <x:c r="F83" s="2" t="s">
        <x:v>57</x:v>
      </x:c>
      <x:c r="G83" s="2" t="s">
        <x:v>654</x:v>
      </x:c>
      <x:c r="H83" s="2" t="s">
        <x:v>655</x:v>
      </x:c>
      <x:c r="I83" s="2" t="s">
        <x:v>628</x:v>
      </x:c>
      <x:c r="J83" s="2" t="s">
        <x:v>656</x:v>
      </x:c>
      <x:c r="K83" s="2" t="s">
        <x:v>32</x:v>
      </x:c>
      <x:c r="L83" s="2" t="s">
        <x:v>10</x:v>
      </x:c>
      <x:c r="M83" s="2"/>
      <x:c r="N83" s="2" t="s">
        <x:v>657</x:v>
      </x:c>
      <x:c r="O83" s="2" t="s">
        <x:v>658</x:v>
      </x:c>
      <x:c r="P83" s="2"/>
      <x:c r="Q83" s="2" t="s">
        <x:v>73</x:v>
      </x:c>
      <x:c r="R83" s="2" t="s">
        <x:v>646</x:v>
      </x:c>
    </x:row>
    <x:row r="84" ht="71.25">
      <x:c r="A84" s="2" t="s">
        <x:v>659</x:v>
      </x:c>
      <x:c r="B84" s="2" t="s">
        <x:v>205</x:v>
      </x:c>
      <x:c r="C84" s="2" t="s">
        <x:v>23</x:v>
      </x:c>
      <x:c r="D84" s="2" t="s">
        <x:v>231</x:v>
      </x:c>
      <x:c r="E84" s="2" t="s">
        <x:v>56</x:v>
      </x:c>
      <x:c r="F84" s="2" t="s">
        <x:v>57</x:v>
      </x:c>
      <x:c r="G84" s="2" t="s">
        <x:v>660</x:v>
      </x:c>
      <x:c r="H84" s="2" t="s">
        <x:v>661</x:v>
      </x:c>
      <x:c r="I84" s="2" t="s">
        <x:v>628</x:v>
      </x:c>
      <x:c r="J84" s="2" t="s">
        <x:v>662</x:v>
      </x:c>
      <x:c r="K84" s="2" t="s">
        <x:v>32</x:v>
      </x:c>
      <x:c r="L84" s="2" t="s">
        <x:v>10</x:v>
      </x:c>
      <x:c r="M84" s="2"/>
      <x:c r="N84" s="2" t="s">
        <x:v>663</x:v>
      </x:c>
      <x:c r="O84" s="2" t="s">
        <x:v>664</x:v>
      </x:c>
      <x:c r="P84" s="2"/>
      <x:c r="Q84" s="2" t="s">
        <x:v>73</x:v>
      </x:c>
      <x:c r="R84" s="2" t="s">
        <x:v>665</x:v>
      </x:c>
    </x:row>
    <x:row r="85" ht="71.25">
      <x:c r="A85" s="2" t="s">
        <x:v>666</x:v>
      </x:c>
      <x:c r="B85" s="2" t="s">
        <x:v>205</x:v>
      </x:c>
      <x:c r="C85" s="2" t="s">
        <x:v>23</x:v>
      </x:c>
      <x:c r="D85" s="2" t="s">
        <x:v>231</x:v>
      </x:c>
      <x:c r="E85" s="2" t="s">
        <x:v>56</x:v>
      </x:c>
      <x:c r="F85" s="2" t="s">
        <x:v>57</x:v>
      </x:c>
      <x:c r="G85" s="2" t="s">
        <x:v>667</x:v>
      </x:c>
      <x:c r="H85" s="2" t="s">
        <x:v>668</x:v>
      </x:c>
      <x:c r="I85" s="2" t="s">
        <x:v>628</x:v>
      </x:c>
      <x:c r="J85" s="2" t="s">
        <x:v>669</x:v>
      </x:c>
      <x:c r="K85" s="2" t="s">
        <x:v>32</x:v>
      </x:c>
      <x:c r="L85" s="2" t="s">
        <x:v>10</x:v>
      </x:c>
      <x:c r="M85" s="2"/>
      <x:c r="N85" s="2" t="s">
        <x:v>670</x:v>
      </x:c>
      <x:c r="O85" s="2" t="s">
        <x:v>671</x:v>
      </x:c>
      <x:c r="P85" s="2"/>
      <x:c r="Q85" s="2" t="s">
        <x:v>73</x:v>
      </x:c>
      <x:c r="R85" s="2" t="s">
        <x:v>672</x:v>
      </x:c>
    </x:row>
    <x:row r="86" ht="85.5">
      <x:c r="A86" s="2" t="s">
        <x:v>673</x:v>
      </x:c>
      <x:c r="B86" s="2" t="s">
        <x:v>205</x:v>
      </x:c>
      <x:c r="C86" s="2" t="s">
        <x:v>23</x:v>
      </x:c>
      <x:c r="D86" s="2" t="s">
        <x:v>231</x:v>
      </x:c>
      <x:c r="E86" s="2" t="s">
        <x:v>56</x:v>
      </x:c>
      <x:c r="F86" s="2" t="s">
        <x:v>57</x:v>
      </x:c>
      <x:c r="G86" s="2" t="s">
        <x:v>674</x:v>
      </x:c>
      <x:c r="H86" s="2" t="s">
        <x:v>675</x:v>
      </x:c>
      <x:c r="I86" s="2" t="s">
        <x:v>628</x:v>
      </x:c>
      <x:c r="J86" s="2" t="s">
        <x:v>676</x:v>
      </x:c>
      <x:c r="K86" s="2" t="s">
        <x:v>32</x:v>
      </x:c>
      <x:c r="L86" s="2" t="s">
        <x:v>10</x:v>
      </x:c>
      <x:c r="M86" s="2"/>
      <x:c r="N86" s="2" t="s">
        <x:v>677</x:v>
      </x:c>
      <x:c r="O86" s="2" t="s">
        <x:v>678</x:v>
      </x:c>
      <x:c r="P86" s="2"/>
      <x:c r="Q86" s="2" t="s">
        <x:v>73</x:v>
      </x:c>
      <x:c r="R86" s="2" t="s">
        <x:v>679</x:v>
      </x:c>
    </x:row>
    <x:row r="87" ht="85.5">
      <x:c r="A87" s="2" t="s">
        <x:v>680</x:v>
      </x:c>
      <x:c r="B87" s="2" t="s">
        <x:v>205</x:v>
      </x:c>
      <x:c r="C87" s="2" t="s">
        <x:v>23</x:v>
      </x:c>
      <x:c r="D87" s="2" t="s">
        <x:v>231</x:v>
      </x:c>
      <x:c r="E87" s="2" t="s">
        <x:v>56</x:v>
      </x:c>
      <x:c r="F87" s="2" t="s">
        <x:v>57</x:v>
      </x:c>
      <x:c r="G87" s="2" t="s">
        <x:v>681</x:v>
      </x:c>
      <x:c r="H87" s="2" t="s">
        <x:v>682</x:v>
      </x:c>
      <x:c r="I87" s="2" t="s">
        <x:v>628</x:v>
      </x:c>
      <x:c r="J87" s="2" t="s">
        <x:v>683</x:v>
      </x:c>
      <x:c r="K87" s="2" t="s">
        <x:v>32</x:v>
      </x:c>
      <x:c r="L87" s="2" t="s">
        <x:v>10</x:v>
      </x:c>
      <x:c r="M87" s="2"/>
      <x:c r="N87" s="2" t="s">
        <x:v>684</x:v>
      </x:c>
      <x:c r="O87" s="2" t="s">
        <x:v>685</x:v>
      </x:c>
      <x:c r="P87" s="2"/>
      <x:c r="Q87" s="2" t="s">
        <x:v>73</x:v>
      </x:c>
      <x:c r="R87" s="2" t="s">
        <x:v>686</x:v>
      </x:c>
    </x:row>
    <x:row r="88" ht="85.5">
      <x:c r="A88" s="2" t="s">
        <x:v>687</x:v>
      </x:c>
      <x:c r="B88" s="2" t="s">
        <x:v>205</x:v>
      </x:c>
      <x:c r="C88" s="2" t="s">
        <x:v>23</x:v>
      </x:c>
      <x:c r="D88" s="2" t="s">
        <x:v>231</x:v>
      </x:c>
      <x:c r="E88" s="2" t="s">
        <x:v>56</x:v>
      </x:c>
      <x:c r="F88" s="2" t="s">
        <x:v>57</x:v>
      </x:c>
      <x:c r="G88" s="2" t="s">
        <x:v>688</x:v>
      </x:c>
      <x:c r="H88" s="2" t="s">
        <x:v>689</x:v>
      </x:c>
      <x:c r="I88" s="2" t="s">
        <x:v>628</x:v>
      </x:c>
      <x:c r="J88" s="2" t="s">
        <x:v>690</x:v>
      </x:c>
      <x:c r="K88" s="2" t="s">
        <x:v>32</x:v>
      </x:c>
      <x:c r="L88" s="2" t="s">
        <x:v>10</x:v>
      </x:c>
      <x:c r="M88" s="2"/>
      <x:c r="N88" s="2" t="s">
        <x:v>691</x:v>
      </x:c>
      <x:c r="O88" s="2" t="s">
        <x:v>692</x:v>
      </x:c>
      <x:c r="P88" s="2"/>
      <x:c r="Q88" s="2" t="s">
        <x:v>73</x:v>
      </x:c>
      <x:c r="R88" s="2" t="s">
        <x:v>693</x:v>
      </x:c>
    </x:row>
    <x:row r="89" ht="85.5">
      <x:c r="A89" s="2" t="s">
        <x:v>694</x:v>
      </x:c>
      <x:c r="B89" s="2" t="s">
        <x:v>205</x:v>
      </x:c>
      <x:c r="C89" s="2" t="s">
        <x:v>23</x:v>
      </x:c>
      <x:c r="D89" s="2" t="s">
        <x:v>231</x:v>
      </x:c>
      <x:c r="E89" s="2" t="s">
        <x:v>56</x:v>
      </x:c>
      <x:c r="F89" s="2" t="s">
        <x:v>57</x:v>
      </x:c>
      <x:c r="G89" s="2" t="s">
        <x:v>695</x:v>
      </x:c>
      <x:c r="H89" s="2" t="s">
        <x:v>696</x:v>
      </x:c>
      <x:c r="I89" s="2" t="s">
        <x:v>628</x:v>
      </x:c>
      <x:c r="J89" s="2" t="s">
        <x:v>690</x:v>
      </x:c>
      <x:c r="K89" s="2" t="s">
        <x:v>32</x:v>
      </x:c>
      <x:c r="L89" s="2" t="s">
        <x:v>10</x:v>
      </x:c>
      <x:c r="M89" s="2"/>
      <x:c r="N89" s="2" t="s">
        <x:v>697</x:v>
      </x:c>
      <x:c r="O89" s="2" t="s">
        <x:v>698</x:v>
      </x:c>
      <x:c r="P89" s="2"/>
      <x:c r="Q89" s="2" t="s">
        <x:v>73</x:v>
      </x:c>
      <x:c r="R89" s="2" t="s">
        <x:v>699</x:v>
      </x:c>
    </x:row>
    <x:row r="90" ht="99.75">
      <x:c r="A90" s="2" t="s">
        <x:v>700</x:v>
      </x:c>
      <x:c r="B90" s="2" t="s">
        <x:v>205</x:v>
      </x:c>
      <x:c r="C90" s="2" t="s">
        <x:v>23</x:v>
      </x:c>
      <x:c r="D90" s="2" t="s">
        <x:v>231</x:v>
      </x:c>
      <x:c r="E90" s="2" t="s">
        <x:v>56</x:v>
      </x:c>
      <x:c r="F90" s="2" t="s">
        <x:v>57</x:v>
      </x:c>
      <x:c r="G90" s="2" t="s">
        <x:v>701</x:v>
      </x:c>
      <x:c r="H90" s="2" t="s">
        <x:v>702</x:v>
      </x:c>
      <x:c r="I90" s="2" t="s">
        <x:v>703</x:v>
      </x:c>
      <x:c r="J90" s="2" t="s">
        <x:v>704</x:v>
      </x:c>
      <x:c r="K90" s="2" t="s">
        <x:v>32</x:v>
      </x:c>
      <x:c r="L90" s="2" t="s">
        <x:v>10</x:v>
      </x:c>
      <x:c r="M90" s="2"/>
      <x:c r="N90" s="2" t="s">
        <x:v>705</x:v>
      </x:c>
      <x:c r="O90" s="2" t="s">
        <x:v>706</x:v>
      </x:c>
      <x:c r="P90" s="2"/>
      <x:c r="Q90" s="2" t="s">
        <x:v>73</x:v>
      </x:c>
      <x:c r="R90" s="2" t="s">
        <x:v>707</x:v>
      </x:c>
    </x:row>
    <x:row r="91" ht="114">
      <x:c r="A91" s="2" t="s">
        <x:v>708</x:v>
      </x:c>
      <x:c r="B91" s="2" t="s">
        <x:v>709</x:v>
      </x:c>
      <x:c r="C91" s="2" t="s">
        <x:v>24</x:v>
      </x:c>
      <x:c r="D91" s="2" t="s">
        <x:v>710</x:v>
      </x:c>
      <x:c r="E91" s="2" t="s">
        <x:v>56</x:v>
      </x:c>
      <x:c r="F91" s="2" t="s">
        <x:v>711</x:v>
      </x:c>
      <x:c r="G91" s="2" t="s">
        <x:v>712</x:v>
      </x:c>
      <x:c r="H91" s="2" t="s">
        <x:v>713</x:v>
      </x:c>
      <x:c r="I91" s="2" t="s">
        <x:v>714</x:v>
      </x:c>
      <x:c r="J91" s="2" t="s">
        <x:v>715</x:v>
      </x:c>
      <x:c r="K91" s="2" t="s">
        <x:v>33</x:v>
      </x:c>
      <x:c r="L91" s="2" t="s">
        <x:v>10</x:v>
      </x:c>
      <x:c r="M91" s="2"/>
      <x:c r="N91" s="2" t="s">
        <x:v>716</x:v>
      </x:c>
      <x:c r="O91" s="2" t="s">
        <x:v>717</x:v>
      </x:c>
      <x:c r="P91" s="2" t="s">
        <x:v>718</x:v>
      </x:c>
      <x:c r="Q91" s="2" t="s">
        <x:v>64</x:v>
      </x:c>
      <x:c r="R91" s="2" t="s">
        <x:v>719</x:v>
      </x:c>
    </x:row>
    <x:row r="92" ht="28.5" customHeight="1">
      <x:c r="A92" s="2" t="s">
        <x:v>720</x:v>
      </x:c>
      <x:c r="B92" s="2" t="s">
        <x:v>709</x:v>
      </x:c>
      <x:c r="C92" s="2" t="s">
        <x:v>24</x:v>
      </x:c>
      <x:c r="D92" s="2" t="s">
        <x:v>710</x:v>
      </x:c>
      <x:c r="E92" s="2" t="s">
        <x:v>56</x:v>
      </x:c>
      <x:c r="F92" s="2" t="s">
        <x:v>711</x:v>
      </x:c>
      <x:c r="G92" s="2" t="s">
        <x:v>721</x:v>
      </x:c>
      <x:c r="H92" s="2" t="s">
        <x:v>149</x:v>
      </x:c>
      <x:c r="I92" s="2" t="s">
        <x:v>714</x:v>
      </x:c>
      <x:c r="J92" s="2" t="s">
        <x:v>722</x:v>
      </x:c>
      <x:c r="K92" s="2" t="s">
        <x:v>33</x:v>
      </x:c>
      <x:c r="L92" s="2" t="s">
        <x:v>10</x:v>
      </x:c>
      <x:c r="M92" s="2"/>
      <x:c r="N92" s="2" t="s">
        <x:v>723</x:v>
      </x:c>
      <x:c r="O92" s="2" t="s">
        <x:v>724</x:v>
      </x:c>
      <x:c r="P92" s="2" t="s">
        <x:v>718</x:v>
      </x:c>
      <x:c r="Q92" s="2" t="s">
        <x:v>64</x:v>
      </x:c>
      <x:c r="R92" s="2" t="s">
        <x:v>725</x:v>
      </x:c>
    </x:row>
    <x:row r="93" ht="28.5" customHeight="1">
      <x:c r="A93" s="2" t="s">
        <x:v>726</x:v>
      </x:c>
      <x:c r="B93" s="2" t="s">
        <x:v>709</x:v>
      </x:c>
      <x:c r="C93" s="2" t="s">
        <x:v>24</x:v>
      </x:c>
      <x:c r="D93" s="2" t="s">
        <x:v>710</x:v>
      </x:c>
      <x:c r="E93" s="2" t="s">
        <x:v>56</x:v>
      </x:c>
      <x:c r="F93" s="2" t="s">
        <x:v>711</x:v>
      </x:c>
      <x:c r="G93" s="2" t="s">
        <x:v>727</x:v>
      </x:c>
      <x:c r="H93" s="2" t="s">
        <x:v>728</x:v>
      </x:c>
      <x:c r="I93" s="2" t="s">
        <x:v>729</x:v>
      </x:c>
      <x:c r="J93" s="2" t="s">
        <x:v>730</x:v>
      </x:c>
      <x:c r="K93" s="2" t="s">
        <x:v>33</x:v>
      </x:c>
      <x:c r="L93" s="2" t="s">
        <x:v>10</x:v>
      </x:c>
      <x:c r="M93" s="2"/>
      <x:c r="N93" s="2" t="s">
        <x:v>731</x:v>
      </x:c>
      <x:c r="O93" s="2" t="s">
        <x:v>732</x:v>
      </x:c>
      <x:c r="P93" s="2" t="s">
        <x:v>718</x:v>
      </x:c>
      <x:c r="Q93" s="2" t="s">
        <x:v>64</x:v>
      </x:c>
      <x:c r="R93" s="2" t="s">
        <x:v>733</x:v>
      </x:c>
    </x:row>
    <x:row r="94" ht="114">
      <x:c r="A94" s="2" t="s">
        <x:v>734</x:v>
      </x:c>
      <x:c r="B94" s="2" t="s">
        <x:v>709</x:v>
      </x:c>
      <x:c r="C94" s="2" t="s">
        <x:v>24</x:v>
      </x:c>
      <x:c r="D94" s="2" t="s">
        <x:v>710</x:v>
      </x:c>
      <x:c r="E94" s="2" t="s">
        <x:v>56</x:v>
      </x:c>
      <x:c r="F94" s="2" t="s">
        <x:v>711</x:v>
      </x:c>
      <x:c r="G94" s="2" t="s">
        <x:v>735</x:v>
      </x:c>
      <x:c r="H94" s="2" t="s">
        <x:v>728</x:v>
      </x:c>
      <x:c r="I94" s="2" t="s">
        <x:v>736</x:v>
      </x:c>
      <x:c r="J94" s="2" t="s">
        <x:v>737</x:v>
      </x:c>
      <x:c r="K94" s="2" t="s">
        <x:v>33</x:v>
      </x:c>
      <x:c r="L94" s="2" t="s">
        <x:v>10</x:v>
      </x:c>
      <x:c r="M94" s="2"/>
      <x:c r="N94" s="2" t="s">
        <x:v>738</x:v>
      </x:c>
      <x:c r="O94" s="2" t="s">
        <x:v>739</x:v>
      </x:c>
      <x:c r="P94" s="2" t="s">
        <x:v>718</x:v>
      </x:c>
      <x:c r="Q94" s="2" t="s">
        <x:v>64</x:v>
      </x:c>
      <x:c r="R94" s="2" t="s">
        <x:v>740</x:v>
      </x:c>
    </x:row>
    <x:row r="95" ht="28.5" customHeight="1">
      <x:c r="A95" s="2" t="s">
        <x:v>741</x:v>
      </x:c>
      <x:c r="B95" s="2" t="s">
        <x:v>709</x:v>
      </x:c>
      <x:c r="C95" s="2" t="s">
        <x:v>24</x:v>
      </x:c>
      <x:c r="D95" s="2" t="s">
        <x:v>710</x:v>
      </x:c>
      <x:c r="E95" s="2" t="s">
        <x:v>56</x:v>
      </x:c>
      <x:c r="F95" s="2" t="s">
        <x:v>711</x:v>
      </x:c>
      <x:c r="G95" s="2" t="s">
        <x:v>742</x:v>
      </x:c>
      <x:c r="H95" s="2" t="s">
        <x:v>743</x:v>
      </x:c>
      <x:c r="I95" s="2" t="s">
        <x:v>744</x:v>
      </x:c>
      <x:c r="J95" s="2" t="s">
        <x:v>745</x:v>
      </x:c>
      <x:c r="K95" s="2" t="s">
        <x:v>33</x:v>
      </x:c>
      <x:c r="L95" s="2" t="s">
        <x:v>10</x:v>
      </x:c>
      <x:c r="M95" s="2"/>
      <x:c r="N95" s="2" t="s">
        <x:v>746</x:v>
      </x:c>
      <x:c r="O95" s="2" t="s">
        <x:v>747</x:v>
      </x:c>
      <x:c r="P95" s="2" t="s">
        <x:v>718</x:v>
      </x:c>
      <x:c r="Q95" s="2" t="s">
        <x:v>64</x:v>
      </x:c>
      <x:c r="R95" s="2" t="s">
        <x:v>748</x:v>
      </x:c>
    </x:row>
    <x:row r="96" ht="28.5" customHeight="1">
      <x:c r="A96" s="2" t="s">
        <x:v>749</x:v>
      </x:c>
      <x:c r="B96" s="2" t="s">
        <x:v>709</x:v>
      </x:c>
      <x:c r="C96" s="2" t="s">
        <x:v>24</x:v>
      </x:c>
      <x:c r="D96" s="2" t="s">
        <x:v>710</x:v>
      </x:c>
      <x:c r="E96" s="2" t="s">
        <x:v>56</x:v>
      </x:c>
      <x:c r="F96" s="2" t="s">
        <x:v>711</x:v>
      </x:c>
      <x:c r="G96" s="2" t="s">
        <x:v>750</x:v>
      </x:c>
      <x:c r="H96" s="2" t="s">
        <x:v>728</x:v>
      </x:c>
      <x:c r="I96" s="2" t="s">
        <x:v>751</x:v>
      </x:c>
      <x:c r="J96" s="2" t="s">
        <x:v>752</x:v>
      </x:c>
      <x:c r="K96" s="2" t="s">
        <x:v>33</x:v>
      </x:c>
      <x:c r="L96" s="2" t="s">
        <x:v>10</x:v>
      </x:c>
      <x:c r="M96" s="2"/>
      <x:c r="N96" s="2" t="s">
        <x:v>753</x:v>
      </x:c>
      <x:c r="O96" s="2" t="s">
        <x:v>754</x:v>
      </x:c>
      <x:c r="P96" s="2" t="s">
        <x:v>718</x:v>
      </x:c>
      <x:c r="Q96" s="2" t="s">
        <x:v>64</x:v>
      </x:c>
      <x:c r="R96" s="2" t="s">
        <x:v>755</x:v>
      </x:c>
    </x:row>
    <x:row r="97" ht="28.5" customHeight="1">
      <x:c r="A97" s="2" t="s">
        <x:v>756</x:v>
      </x:c>
      <x:c r="B97" s="2" t="s">
        <x:v>709</x:v>
      </x:c>
      <x:c r="C97" s="2" t="s">
        <x:v>24</x:v>
      </x:c>
      <x:c r="D97" s="2" t="s">
        <x:v>710</x:v>
      </x:c>
      <x:c r="E97" s="2" t="s">
        <x:v>56</x:v>
      </x:c>
      <x:c r="F97" s="2" t="s">
        <x:v>711</x:v>
      </x:c>
      <x:c r="G97" s="2" t="s">
        <x:v>757</x:v>
      </x:c>
      <x:c r="H97" s="2" t="s">
        <x:v>728</x:v>
      </x:c>
      <x:c r="I97" s="2" t="s">
        <x:v>758</x:v>
      </x:c>
      <x:c r="J97" s="2" t="s">
        <x:v>759</x:v>
      </x:c>
      <x:c r="K97" s="2" t="s">
        <x:v>33</x:v>
      </x:c>
      <x:c r="L97" s="2" t="s">
        <x:v>10</x:v>
      </x:c>
      <x:c r="M97" s="2"/>
      <x:c r="N97" s="2" t="s">
        <x:v>760</x:v>
      </x:c>
      <x:c r="O97" s="2" t="s">
        <x:v>761</x:v>
      </x:c>
      <x:c r="P97" s="2" t="s">
        <x:v>718</x:v>
      </x:c>
      <x:c r="Q97" s="2" t="s">
        <x:v>64</x:v>
      </x:c>
      <x:c r="R97" s="2" t="s">
        <x:v>762</x:v>
      </x:c>
    </x:row>
    <x:row r="98" ht="99.75">
      <x:c r="A98" s="2" t="s">
        <x:v>763</x:v>
      </x:c>
      <x:c r="B98" s="2" t="s">
        <x:v>709</x:v>
      </x:c>
      <x:c r="C98" s="2" t="s">
        <x:v>24</x:v>
      </x:c>
      <x:c r="D98" s="2" t="s">
        <x:v>710</x:v>
      </x:c>
      <x:c r="E98" s="2" t="s">
        <x:v>56</x:v>
      </x:c>
      <x:c r="F98" s="2" t="s">
        <x:v>711</x:v>
      </x:c>
      <x:c r="G98" s="2" t="s">
        <x:v>764</x:v>
      </x:c>
      <x:c r="H98" s="2" t="s">
        <x:v>728</x:v>
      </x:c>
      <x:c r="I98" s="2" t="s">
        <x:v>765</x:v>
      </x:c>
      <x:c r="J98" s="2" t="s">
        <x:v>766</x:v>
      </x:c>
      <x:c r="K98" s="2" t="s">
        <x:v>33</x:v>
      </x:c>
      <x:c r="L98" s="2" t="s">
        <x:v>10</x:v>
      </x:c>
      <x:c r="M98" s="2"/>
      <x:c r="N98" s="2" t="s">
        <x:v>767</x:v>
      </x:c>
      <x:c r="O98" s="2" t="s">
        <x:v>768</x:v>
      </x:c>
      <x:c r="P98" s="2" t="s">
        <x:v>718</x:v>
      </x:c>
      <x:c r="Q98" s="2" t="s">
        <x:v>64</x:v>
      </x:c>
      <x:c r="R98" s="2" t="s">
        <x:v>769</x:v>
      </x:c>
    </x:row>
    <x:row r="99" ht="28.5" customHeight="1">
      <x:c r="A99" s="2" t="s">
        <x:v>770</x:v>
      </x:c>
      <x:c r="B99" s="2" t="s">
        <x:v>709</x:v>
      </x:c>
      <x:c r="C99" s="2" t="s">
        <x:v>24</x:v>
      </x:c>
      <x:c r="D99" s="2" t="s">
        <x:v>710</x:v>
      </x:c>
      <x:c r="E99" s="2" t="s">
        <x:v>56</x:v>
      </x:c>
      <x:c r="F99" s="2" t="s">
        <x:v>711</x:v>
      </x:c>
      <x:c r="G99" s="2" t="s">
        <x:v>771</x:v>
      </x:c>
      <x:c r="H99" s="2" t="s">
        <x:v>728</x:v>
      </x:c>
      <x:c r="I99" s="2" t="s">
        <x:v>772</x:v>
      </x:c>
      <x:c r="J99" s="2" t="s">
        <x:v>773</x:v>
      </x:c>
      <x:c r="K99" s="2" t="s">
        <x:v>33</x:v>
      </x:c>
      <x:c r="L99" s="2" t="s">
        <x:v>10</x:v>
      </x:c>
      <x:c r="M99" s="2"/>
      <x:c r="N99" s="2" t="s">
        <x:v>774</x:v>
      </x:c>
      <x:c r="O99" s="2" t="s">
        <x:v>775</x:v>
      </x:c>
      <x:c r="P99" s="2" t="s">
        <x:v>718</x:v>
      </x:c>
      <x:c r="Q99" s="2" t="s">
        <x:v>64</x:v>
      </x:c>
      <x:c r="R99" s="2" t="s">
        <x:v>776</x:v>
      </x:c>
    </x:row>
    <x:row r="100" ht="28.5" customHeight="1">
      <x:c r="A100" s="2" t="s">
        <x:v>777</x:v>
      </x:c>
      <x:c r="B100" s="2" t="s">
        <x:v>709</x:v>
      </x:c>
      <x:c r="C100" s="2" t="s">
        <x:v>24</x:v>
      </x:c>
      <x:c r="D100" s="2" t="s">
        <x:v>710</x:v>
      </x:c>
      <x:c r="E100" s="2" t="s">
        <x:v>56</x:v>
      </x:c>
      <x:c r="F100" s="2" t="s">
        <x:v>711</x:v>
      </x:c>
      <x:c r="G100" s="2" t="s">
        <x:v>778</x:v>
      </x:c>
      <x:c r="H100" s="2" t="s">
        <x:v>779</x:v>
      </x:c>
      <x:c r="I100" s="2" t="s">
        <x:v>780</x:v>
      </x:c>
      <x:c r="J100" s="2" t="s">
        <x:v>781</x:v>
      </x:c>
      <x:c r="K100" s="2" t="s">
        <x:v>33</x:v>
      </x:c>
      <x:c r="L100" s="2" t="s">
        <x:v>10</x:v>
      </x:c>
      <x:c r="M100" s="2"/>
      <x:c r="N100" s="2" t="s">
        <x:v>782</x:v>
      </x:c>
      <x:c r="O100" s="2" t="s">
        <x:v>783</x:v>
      </x:c>
      <x:c r="P100" s="2" t="s">
        <x:v>718</x:v>
      </x:c>
      <x:c r="Q100" s="2" t="s">
        <x:v>64</x:v>
      </x:c>
      <x:c r="R100" s="2" t="s">
        <x:v>784</x:v>
      </x:c>
    </x:row>
    <x:row r="101" ht="42.75">
      <x:c r="A101" s="2" t="s">
        <x:v>785</x:v>
      </x:c>
      <x:c r="B101" s="2" t="s">
        <x:v>786</x:v>
      </x:c>
      <x:c r="C101" s="2" t="s">
        <x:v>25</x:v>
      </x:c>
      <x:c r="D101" s="2" t="s">
        <x:v>710</x:v>
      </x:c>
      <x:c r="E101" s="2" t="s">
        <x:v>56</x:v>
      </x:c>
      <x:c r="F101" s="2" t="s">
        <x:v>91</x:v>
      </x:c>
      <x:c r="G101" s="2" t="s">
        <x:v>787</x:v>
      </x:c>
      <x:c r="H101" s="2" t="s">
        <x:v>788</x:v>
      </x:c>
      <x:c r="I101" s="2" t="s">
        <x:v>789</x:v>
      </x:c>
      <x:c r="J101" s="2" t="s">
        <x:v>790</x:v>
      </x:c>
      <x:c r="K101" s="2" t="s">
        <x:v>34</x:v>
      </x:c>
      <x:c r="L101" s="2" t="s">
        <x:v>10</x:v>
      </x:c>
      <x:c r="M101" s="2"/>
      <x:c r="N101" s="2" t="s">
        <x:v>791</x:v>
      </x:c>
      <x:c r="O101" s="2" t="s">
        <x:v>792</x:v>
      </x:c>
      <x:c r="P101" s="2"/>
      <x:c r="Q101" s="2" t="s">
        <x:v>793</x:v>
      </x:c>
      <x:c r="R101" s="2" t="s">
        <x:v>794</x:v>
      </x:c>
    </x:row>
    <x:row r="102" ht="42.75">
      <x:c r="A102" s="2" t="s">
        <x:v>795</x:v>
      </x:c>
      <x:c r="B102" s="2" t="s">
        <x:v>786</x:v>
      </x:c>
      <x:c r="C102" s="2" t="s">
        <x:v>25</x:v>
      </x:c>
      <x:c r="D102" s="2" t="s">
        <x:v>710</x:v>
      </x:c>
      <x:c r="E102" s="2" t="s">
        <x:v>56</x:v>
      </x:c>
      <x:c r="F102" s="2" t="s">
        <x:v>91</x:v>
      </x:c>
      <x:c r="G102" s="2" t="s">
        <x:v>796</x:v>
      </x:c>
      <x:c r="H102" s="2" t="s">
        <x:v>149</x:v>
      </x:c>
      <x:c r="I102" s="2" t="s">
        <x:v>789</x:v>
      </x:c>
      <x:c r="J102" s="2" t="s">
        <x:v>797</x:v>
      </x:c>
      <x:c r="K102" s="2" t="s">
        <x:v>34</x:v>
      </x:c>
      <x:c r="L102" s="2" t="s">
        <x:v>10</x:v>
      </x:c>
      <x:c r="M102" s="2"/>
      <x:c r="N102" s="2" t="s">
        <x:v>798</x:v>
      </x:c>
      <x:c r="O102" s="2" t="s">
        <x:v>799</x:v>
      </x:c>
      <x:c r="P102" s="2"/>
      <x:c r="Q102" s="2" t="s">
        <x:v>793</x:v>
      </x:c>
      <x:c r="R102" s="2" t="s">
        <x:v>800</x:v>
      </x:c>
    </x:row>
    <x:row r="103" ht="28.5">
      <x:c r="A103" s="2" t="s">
        <x:v>801</x:v>
      </x:c>
      <x:c r="B103" s="2" t="s">
        <x:v>786</x:v>
      </x:c>
      <x:c r="C103" s="2" t="s">
        <x:v>25</x:v>
      </x:c>
      <x:c r="D103" s="2" t="s">
        <x:v>710</x:v>
      </x:c>
      <x:c r="E103" s="2" t="s">
        <x:v>56</x:v>
      </x:c>
      <x:c r="F103" s="2" t="s">
        <x:v>91</x:v>
      </x:c>
      <x:c r="G103" s="2" t="s">
        <x:v>802</x:v>
      </x:c>
      <x:c r="H103" s="2" t="s">
        <x:v>728</x:v>
      </x:c>
      <x:c r="I103" s="2" t="s">
        <x:v>803</x:v>
      </x:c>
      <x:c r="J103" s="2" t="s">
        <x:v>804</x:v>
      </x:c>
      <x:c r="K103" s="2" t="s">
        <x:v>34</x:v>
      </x:c>
      <x:c r="L103" s="2" t="s">
        <x:v>10</x:v>
      </x:c>
      <x:c r="M103" s="2"/>
      <x:c r="N103" s="2" t="s">
        <x:v>805</x:v>
      </x:c>
      <x:c r="O103" s="2" t="s">
        <x:v>806</x:v>
      </x:c>
      <x:c r="P103" s="2"/>
      <x:c r="Q103" s="2" t="s">
        <x:v>793</x:v>
      </x:c>
      <x:c r="R103" s="2" t="s">
        <x:v>807</x:v>
      </x:c>
    </x:row>
    <x:row r="104" ht="57">
      <x:c r="A104" s="2" t="s">
        <x:v>808</x:v>
      </x:c>
      <x:c r="B104" s="2" t="s">
        <x:v>786</x:v>
      </x:c>
      <x:c r="C104" s="2" t="s">
        <x:v>25</x:v>
      </x:c>
      <x:c r="D104" s="2" t="s">
        <x:v>710</x:v>
      </x:c>
      <x:c r="E104" s="2" t="s">
        <x:v>56</x:v>
      </x:c>
      <x:c r="F104" s="2" t="s">
        <x:v>91</x:v>
      </x:c>
      <x:c r="G104" s="2" t="s">
        <x:v>809</x:v>
      </x:c>
      <x:c r="H104" s="2" t="s">
        <x:v>810</x:v>
      </x:c>
      <x:c r="I104" s="2" t="s">
        <x:v>811</x:v>
      </x:c>
      <x:c r="J104" s="2" t="s">
        <x:v>812</x:v>
      </x:c>
      <x:c r="K104" s="2" t="s">
        <x:v>34</x:v>
      </x:c>
      <x:c r="L104" s="2" t="s">
        <x:v>10</x:v>
      </x:c>
      <x:c r="M104" s="2"/>
      <x:c r="N104" s="2" t="s">
        <x:v>813</x:v>
      </x:c>
      <x:c r="O104" s="2" t="s">
        <x:v>814</x:v>
      </x:c>
      <x:c r="P104" s="2"/>
      <x:c r="Q104" s="2" t="s">
        <x:v>793</x:v>
      </x:c>
      <x:c r="R104" s="2" t="s">
        <x:v>815</x:v>
      </x:c>
    </x:row>
    <x:row r="105" ht="71.25">
      <x:c r="A105" s="2" t="s">
        <x:v>816</x:v>
      </x:c>
      <x:c r="B105" s="2" t="s">
        <x:v>786</x:v>
      </x:c>
      <x:c r="C105" s="2" t="s">
        <x:v>25</x:v>
      </x:c>
      <x:c r="D105" s="2" t="s">
        <x:v>710</x:v>
      </x:c>
      <x:c r="E105" s="2" t="s">
        <x:v>56</x:v>
      </x:c>
      <x:c r="F105" s="2" t="s">
        <x:v>91</x:v>
      </x:c>
      <x:c r="G105" s="2" t="s">
        <x:v>817</x:v>
      </x:c>
      <x:c r="H105" s="2" t="s">
        <x:v>818</x:v>
      </x:c>
      <x:c r="I105" s="2" t="s">
        <x:v>811</x:v>
      </x:c>
      <x:c r="J105" s="2" t="s">
        <x:v>819</x:v>
      </x:c>
      <x:c r="K105" s="2" t="s">
        <x:v>34</x:v>
      </x:c>
      <x:c r="L105" s="2" t="s">
        <x:v>10</x:v>
      </x:c>
      <x:c r="M105" s="2"/>
      <x:c r="N105" s="2" t="s">
        <x:v>820</x:v>
      </x:c>
      <x:c r="O105" s="2" t="s">
        <x:v>821</x:v>
      </x:c>
      <x:c r="P105" s="2"/>
      <x:c r="Q105" s="2" t="s">
        <x:v>793</x:v>
      </x:c>
      <x:c r="R105" s="2" t="s">
        <x:v>822</x:v>
      </x:c>
    </x:row>
    <x:row r="106" ht="71.25">
      <x:c r="A106" s="2" t="s">
        <x:v>823</x:v>
      </x:c>
      <x:c r="B106" s="2" t="s">
        <x:v>786</x:v>
      </x:c>
      <x:c r="C106" s="2" t="s">
        <x:v>25</x:v>
      </x:c>
      <x:c r="D106" s="2" t="s">
        <x:v>710</x:v>
      </x:c>
      <x:c r="E106" s="2" t="s">
        <x:v>56</x:v>
      </x:c>
      <x:c r="F106" s="2" t="s">
        <x:v>91</x:v>
      </x:c>
      <x:c r="G106" s="2" t="s">
        <x:v>824</x:v>
      </x:c>
      <x:c r="H106" s="2" t="s">
        <x:v>825</x:v>
      </x:c>
      <x:c r="I106" s="2" t="s">
        <x:v>811</x:v>
      </x:c>
      <x:c r="J106" s="2" t="s">
        <x:v>826</x:v>
      </x:c>
      <x:c r="K106" s="2" t="s">
        <x:v>34</x:v>
      </x:c>
      <x:c r="L106" s="2" t="s">
        <x:v>10</x:v>
      </x:c>
      <x:c r="M106" s="2"/>
      <x:c r="N106" s="2" t="s">
        <x:v>827</x:v>
      </x:c>
      <x:c r="O106" s="2" t="s">
        <x:v>828</x:v>
      </x:c>
      <x:c r="P106" s="2"/>
      <x:c r="Q106" s="2" t="s">
        <x:v>793</x:v>
      </x:c>
      <x:c r="R106" s="2" t="s">
        <x:v>829</x:v>
      </x:c>
    </x:row>
    <x:row r="107" ht="57">
      <x:c r="A107" s="2" t="s">
        <x:v>830</x:v>
      </x:c>
      <x:c r="B107" s="2" t="s">
        <x:v>786</x:v>
      </x:c>
      <x:c r="C107" s="2" t="s">
        <x:v>25</x:v>
      </x:c>
      <x:c r="D107" s="2" t="s">
        <x:v>710</x:v>
      </x:c>
      <x:c r="E107" s="2" t="s">
        <x:v>56</x:v>
      </x:c>
      <x:c r="F107" s="2" t="s">
        <x:v>91</x:v>
      </x:c>
      <x:c r="G107" s="2" t="s">
        <x:v>831</x:v>
      </x:c>
      <x:c r="H107" s="2" t="s">
        <x:v>728</x:v>
      </x:c>
      <x:c r="I107" s="2" t="s">
        <x:v>832</x:v>
      </x:c>
      <x:c r="J107" s="2" t="s">
        <x:v>833</x:v>
      </x:c>
      <x:c r="K107" s="2" t="s">
        <x:v>34</x:v>
      </x:c>
      <x:c r="L107" s="2" t="s">
        <x:v>10</x:v>
      </x:c>
      <x:c r="M107" s="2"/>
      <x:c r="N107" s="2" t="s">
        <x:v>834</x:v>
      </x:c>
      <x:c r="O107" s="2" t="s">
        <x:v>835</x:v>
      </x:c>
      <x:c r="P107" s="2"/>
      <x:c r="Q107" s="2" t="s">
        <x:v>793</x:v>
      </x:c>
      <x:c r="R107" s="2" t="s">
        <x:v>836</x:v>
      </x:c>
    </x:row>
    <x:row r="108" ht="99.75">
      <x:c r="A108" s="2" t="s">
        <x:v>837</x:v>
      </x:c>
      <x:c r="B108" s="2" t="s">
        <x:v>786</x:v>
      </x:c>
      <x:c r="C108" s="2" t="s">
        <x:v>25</x:v>
      </x:c>
      <x:c r="D108" s="2" t="s">
        <x:v>710</x:v>
      </x:c>
      <x:c r="E108" s="2" t="s">
        <x:v>56</x:v>
      </x:c>
      <x:c r="F108" s="2" t="s">
        <x:v>91</x:v>
      </x:c>
      <x:c r="G108" s="2" t="s">
        <x:v>838</x:v>
      </x:c>
      <x:c r="H108" s="2" t="s">
        <x:v>839</x:v>
      </x:c>
      <x:c r="I108" s="2" t="s">
        <x:v>840</x:v>
      </x:c>
      <x:c r="J108" s="2" t="s">
        <x:v>841</x:v>
      </x:c>
      <x:c r="K108" s="2" t="s">
        <x:v>34</x:v>
      </x:c>
      <x:c r="L108" s="2" t="s">
        <x:v>10</x:v>
      </x:c>
      <x:c r="M108" s="2"/>
      <x:c r="N108" s="2" t="s">
        <x:v>842</x:v>
      </x:c>
      <x:c r="O108" s="2" t="s">
        <x:v>843</x:v>
      </x:c>
      <x:c r="P108" s="2"/>
      <x:c r="Q108" s="2" t="s">
        <x:v>793</x:v>
      </x:c>
      <x:c r="R108" s="2" t="s">
        <x:v>844</x:v>
      </x:c>
    </x:row>
    <x:row r="109" ht="142.5">
      <x:c r="A109" s="2" t="s">
        <x:v>845</x:v>
      </x:c>
      <x:c r="B109" s="2" t="s">
        <x:v>846</x:v>
      </x:c>
      <x:c r="C109" s="2" t="s">
        <x:v>26</x:v>
      </x:c>
      <x:c r="D109" s="2" t="s">
        <x:v>139</x:v>
      </x:c>
      <x:c r="E109" s="2" t="s">
        <x:v>56</x:v>
      </x:c>
      <x:c r="F109" s="2" t="s">
        <x:v>847</x:v>
      </x:c>
      <x:c r="G109" s="2" t="s">
        <x:v>848</x:v>
      </x:c>
      <x:c r="H109" s="2" t="s">
        <x:v>728</x:v>
      </x:c>
      <x:c r="I109" s="2" t="s">
        <x:v>849</x:v>
      </x:c>
      <x:c r="J109" s="2" t="s">
        <x:v>850</x:v>
      </x:c>
      <x:c r="K109" s="2" t="s">
        <x:v>33</x:v>
      </x:c>
      <x:c r="L109" s="2" t="s">
        <x:v>10</x:v>
      </x:c>
      <x:c r="M109" s="2"/>
      <x:c r="N109" s="2" t="s">
        <x:v>851</x:v>
      </x:c>
      <x:c r="O109" s="2" t="s">
        <x:v>852</x:v>
      </x:c>
      <x:c r="P109" s="2" t="s">
        <x:v>718</x:v>
      </x:c>
      <x:c r="Q109" s="2" t="s">
        <x:v>73</x:v>
      </x:c>
      <x:c r="R109" s="2" t="s">
        <x:v>853</x:v>
      </x:c>
    </x:row>
    <x:row r="110" ht="28.5" customHeight="1">
      <x:c r="A110" s="2" t="s">
        <x:v>854</x:v>
      </x:c>
      <x:c r="B110" s="2" t="s">
        <x:v>846</x:v>
      </x:c>
      <x:c r="C110" s="2" t="s">
        <x:v>26</x:v>
      </x:c>
      <x:c r="D110" s="2" t="s">
        <x:v>139</x:v>
      </x:c>
      <x:c r="E110" s="2" t="s">
        <x:v>855</x:v>
      </x:c>
      <x:c r="F110" s="2" t="s">
        <x:v>847</x:v>
      </x:c>
      <x:c r="G110" s="2" t="s">
        <x:v>856</x:v>
      </x:c>
      <x:c r="H110" s="2" t="s">
        <x:v>149</x:v>
      </x:c>
      <x:c r="I110" s="2" t="s">
        <x:v>857</x:v>
      </x:c>
      <x:c r="J110" s="2" t="s">
        <x:v>858</x:v>
      </x:c>
      <x:c r="K110" s="2" t="s">
        <x:v>33</x:v>
      </x:c>
      <x:c r="L110" s="2" t="s">
        <x:v>10</x:v>
      </x:c>
      <x:c r="M110" s="2"/>
      <x:c r="N110" s="2" t="s">
        <x:v>859</x:v>
      </x:c>
      <x:c r="O110" s="2" t="s">
        <x:v>860</x:v>
      </x:c>
      <x:c r="P110" s="2" t="s">
        <x:v>718</x:v>
      </x:c>
      <x:c r="Q110" s="2" t="s">
        <x:v>73</x:v>
      </x:c>
      <x:c r="R110" s="2" t="s">
        <x:v>861</x:v>
      </x:c>
    </x:row>
    <x:row r="111" ht="28.5" customHeight="1">
      <x:c r="A111" s="2" t="s">
        <x:v>862</x:v>
      </x:c>
      <x:c r="B111" s="2" t="s">
        <x:v>846</x:v>
      </x:c>
      <x:c r="C111" s="2" t="s">
        <x:v>26</x:v>
      </x:c>
      <x:c r="D111" s="2" t="s">
        <x:v>139</x:v>
      </x:c>
      <x:c r="E111" s="2" t="s">
        <x:v>855</x:v>
      </x:c>
      <x:c r="F111" s="2" t="s">
        <x:v>847</x:v>
      </x:c>
      <x:c r="G111" s="2" t="s">
        <x:v>863</x:v>
      </x:c>
      <x:c r="H111" s="2" t="s">
        <x:v>149</x:v>
      </x:c>
      <x:c r="I111" s="2" t="s">
        <x:v>864</x:v>
      </x:c>
      <x:c r="J111" s="2" t="s">
        <x:v>865</x:v>
      </x:c>
      <x:c r="K111" s="2" t="s">
        <x:v>33</x:v>
      </x:c>
      <x:c r="L111" s="2" t="s">
        <x:v>10</x:v>
      </x:c>
      <x:c r="M111" s="2"/>
      <x:c r="N111" s="2" t="s">
        <x:v>866</x:v>
      </x:c>
      <x:c r="O111" s="2" t="s">
        <x:v>867</x:v>
      </x:c>
      <x:c r="P111" s="2" t="s">
        <x:v>718</x:v>
      </x:c>
      <x:c r="Q111" s="2" t="s">
        <x:v>73</x:v>
      </x:c>
      <x:c r="R111" s="2" t="s">
        <x:v>868</x:v>
      </x:c>
    </x:row>
    <x:row r="112" ht="28.5" customHeight="1">
      <x:c r="A112" s="2" t="s">
        <x:v>869</x:v>
      </x:c>
      <x:c r="B112" s="2" t="s">
        <x:v>846</x:v>
      </x:c>
      <x:c r="C112" s="2" t="s">
        <x:v>26</x:v>
      </x:c>
      <x:c r="D112" s="2" t="s">
        <x:v>139</x:v>
      </x:c>
      <x:c r="E112" s="2" t="s">
        <x:v>56</x:v>
      </x:c>
      <x:c r="F112" s="2" t="s">
        <x:v>847</x:v>
      </x:c>
      <x:c r="G112" s="2" t="s">
        <x:v>870</x:v>
      </x:c>
      <x:c r="H112" s="2" t="s">
        <x:v>713</x:v>
      </x:c>
      <x:c r="I112" s="2" t="s">
        <x:v>871</x:v>
      </x:c>
      <x:c r="J112" s="2" t="s">
        <x:v>872</x:v>
      </x:c>
      <x:c r="K112" s="2" t="s">
        <x:v>33</x:v>
      </x:c>
      <x:c r="L112" s="2" t="s">
        <x:v>10</x:v>
      </x:c>
      <x:c r="M112" s="2"/>
      <x:c r="N112" s="2" t="s">
        <x:v>873</x:v>
      </x:c>
      <x:c r="O112" s="2" t="s">
        <x:v>874</x:v>
      </x:c>
      <x:c r="P112" s="2" t="s">
        <x:v>718</x:v>
      </x:c>
      <x:c r="Q112" s="2" t="s">
        <x:v>73</x:v>
      </x:c>
      <x:c r="R112" s="2" t="s">
        <x:v>875</x:v>
      </x:c>
    </x:row>
    <x:row r="113" ht="28.5" customHeight="1">
      <x:c r="A113" s="2" t="s">
        <x:v>876</x:v>
      </x:c>
      <x:c r="B113" s="2" t="s">
        <x:v>846</x:v>
      </x:c>
      <x:c r="C113" s="2" t="s">
        <x:v>26</x:v>
      </x:c>
      <x:c r="D113" s="2" t="s">
        <x:v>139</x:v>
      </x:c>
      <x:c r="E113" s="2" t="s">
        <x:v>855</x:v>
      </x:c>
      <x:c r="F113" s="2" t="s">
        <x:v>847</x:v>
      </x:c>
      <x:c r="G113" s="2" t="s">
        <x:v>877</x:v>
      </x:c>
      <x:c r="H113" s="2" t="s">
        <x:v>149</x:v>
      </x:c>
      <x:c r="I113" s="2" t="s">
        <x:v>878</x:v>
      </x:c>
      <x:c r="J113" s="2" t="s">
        <x:v>879</x:v>
      </x:c>
      <x:c r="K113" s="2" t="s">
        <x:v>33</x:v>
      </x:c>
      <x:c r="L113" s="2" t="s">
        <x:v>10</x:v>
      </x:c>
      <x:c r="M113" s="2"/>
      <x:c r="N113" s="2" t="s">
        <x:v>880</x:v>
      </x:c>
      <x:c r="O113" s="2" t="s">
        <x:v>881</x:v>
      </x:c>
      <x:c r="P113" s="2" t="s">
        <x:v>718</x:v>
      </x:c>
      <x:c r="Q113" s="2" t="s">
        <x:v>73</x:v>
      </x:c>
      <x:c r="R113" s="2" t="s">
        <x:v>882</x:v>
      </x:c>
    </x:row>
    <x:row r="114" ht="28.5" customHeight="1">
      <x:c r="A114" s="2" t="s">
        <x:v>883</x:v>
      </x:c>
      <x:c r="B114" s="2" t="s">
        <x:v>846</x:v>
      </x:c>
      <x:c r="C114" s="2" t="s">
        <x:v>26</x:v>
      </x:c>
      <x:c r="D114" s="2" t="s">
        <x:v>139</x:v>
      </x:c>
      <x:c r="E114" s="2" t="s">
        <x:v>855</x:v>
      </x:c>
      <x:c r="F114" s="2" t="s">
        <x:v>847</x:v>
      </x:c>
      <x:c r="G114" s="2" t="s">
        <x:v>884</x:v>
      </x:c>
      <x:c r="H114" s="2" t="s">
        <x:v>173</x:v>
      </x:c>
      <x:c r="I114" s="2" t="s">
        <x:v>885</x:v>
      </x:c>
      <x:c r="J114" s="2" t="s">
        <x:v>886</x:v>
      </x:c>
      <x:c r="K114" s="2" t="s">
        <x:v>33</x:v>
      </x:c>
      <x:c r="L114" s="2" t="s">
        <x:v>10</x:v>
      </x:c>
      <x:c r="M114" s="2"/>
      <x:c r="N114" s="2" t="s">
        <x:v>887</x:v>
      </x:c>
      <x:c r="O114" s="2" t="s">
        <x:v>888</x:v>
      </x:c>
      <x:c r="P114" s="2" t="s">
        <x:v>718</x:v>
      </x:c>
      <x:c r="Q114" s="2" t="s">
        <x:v>73</x:v>
      </x:c>
      <x:c r="R114" s="2" t="s">
        <x:v>889</x:v>
      </x:c>
    </x:row>
    <x:row r="115" ht="28.5" customHeight="1">
      <x:c r="A115" s="2" t="s">
        <x:v>890</x:v>
      </x:c>
      <x:c r="B115" s="2" t="s">
        <x:v>846</x:v>
      </x:c>
      <x:c r="C115" s="2" t="s">
        <x:v>27</x:v>
      </x:c>
      <x:c r="D115" s="2" t="s">
        <x:v>231</x:v>
      </x:c>
      <x:c r="E115" s="2" t="s">
        <x:v>56</x:v>
      </x:c>
      <x:c r="F115" s="2" t="s">
        <x:v>891</x:v>
      </x:c>
      <x:c r="G115" s="2" t="s">
        <x:v>892</x:v>
      </x:c>
      <x:c r="H115" s="2" t="s">
        <x:v>893</x:v>
      </x:c>
      <x:c r="I115" s="2" t="s">
        <x:v>894</x:v>
      </x:c>
      <x:c r="J115" s="2" t="s">
        <x:v>895</x:v>
      </x:c>
      <x:c r="K115" s="2" t="s">
        <x:v>33</x:v>
      </x:c>
      <x:c r="L115" s="2" t="s">
        <x:v>10</x:v>
      </x:c>
      <x:c r="M115" s="2"/>
      <x:c r="N115" s="2" t="s">
        <x:v>896</x:v>
      </x:c>
      <x:c r="O115" s="2" t="s">
        <x:v>897</x:v>
      </x:c>
      <x:c r="P115" s="2" t="s">
        <x:v>718</x:v>
      </x:c>
      <x:c r="Q115" s="2" t="s">
        <x:v>64</x:v>
      </x:c>
      <x:c r="R115" s="2" t="s">
        <x:v>898</x:v>
      </x:c>
    </x:row>
    <x:row r="116" ht="28.5" customHeight="1">
      <x:c r="A116" s="2" t="s">
        <x:v>899</x:v>
      </x:c>
      <x:c r="B116" s="2" t="s">
        <x:v>846</x:v>
      </x:c>
      <x:c r="C116" s="2" t="s">
        <x:v>27</x:v>
      </x:c>
      <x:c r="D116" s="2" t="s">
        <x:v>231</x:v>
      </x:c>
      <x:c r="E116" s="2" t="s">
        <x:v>56</x:v>
      </x:c>
      <x:c r="F116" s="2" t="s">
        <x:v>891</x:v>
      </x:c>
      <x:c r="G116" s="2" t="s">
        <x:v>900</x:v>
      </x:c>
      <x:c r="H116" s="2" t="s">
        <x:v>901</x:v>
      </x:c>
      <x:c r="I116" s="2" t="s">
        <x:v>902</x:v>
      </x:c>
      <x:c r="J116" s="2" t="s">
        <x:v>903</x:v>
      </x:c>
      <x:c r="K116" s="2" t="s">
        <x:v>33</x:v>
      </x:c>
      <x:c r="L116" s="2" t="s">
        <x:v>10</x:v>
      </x:c>
      <x:c r="M116" s="2"/>
      <x:c r="N116" s="2" t="s">
        <x:v>904</x:v>
      </x:c>
      <x:c r="O116" s="2" t="s">
        <x:v>905</x:v>
      </x:c>
      <x:c r="P116" s="2" t="s">
        <x:v>718</x:v>
      </x:c>
      <x:c r="Q116" s="2" t="s">
        <x:v>64</x:v>
      </x:c>
      <x:c r="R116" s="2" t="s">
        <x:v>906</x:v>
      </x:c>
    </x:row>
    <x:row r="117" ht="114">
      <x:c r="A117" s="2" t="s">
        <x:v>907</x:v>
      </x:c>
      <x:c r="B117" s="2" t="s">
        <x:v>846</x:v>
      </x:c>
      <x:c r="C117" s="2" t="s">
        <x:v>27</x:v>
      </x:c>
      <x:c r="D117" s="2" t="s">
        <x:v>231</x:v>
      </x:c>
      <x:c r="E117" s="2" t="s">
        <x:v>855</x:v>
      </x:c>
      <x:c r="F117" s="2" t="s">
        <x:v>891</x:v>
      </x:c>
      <x:c r="G117" s="2" t="s">
        <x:v>908</x:v>
      </x:c>
      <x:c r="H117" s="2" t="s">
        <x:v>909</x:v>
      </x:c>
      <x:c r="I117" s="2" t="s">
        <x:v>910</x:v>
      </x:c>
      <x:c r="J117" s="2" t="s">
        <x:v>911</x:v>
      </x:c>
      <x:c r="K117" s="2" t="s">
        <x:v>33</x:v>
      </x:c>
      <x:c r="L117" s="2" t="s">
        <x:v>10</x:v>
      </x:c>
      <x:c r="M117" s="2"/>
      <x:c r="N117" s="5" t="s">
        <x:v>912</x:v>
      </x:c>
      <x:c r="O117" s="2" t="s">
        <x:v>913</x:v>
      </x:c>
      <x:c r="P117" s="2" t="s">
        <x:v>718</x:v>
      </x:c>
      <x:c r="Q117" s="2" t="s">
        <x:v>64</x:v>
      </x:c>
      <x:c r="R117" s="2" t="s">
        <x:v>914</x:v>
      </x:c>
    </x:row>
    <x:row r="118" ht="143.25" customHeight="1">
      <x:c r="A118" s="2" t="s">
        <x:v>915</x:v>
      </x:c>
      <x:c r="B118" s="2" t="s">
        <x:v>846</x:v>
      </x:c>
      <x:c r="C118" s="2" t="s">
        <x:v>27</x:v>
      </x:c>
      <x:c r="D118" s="2" t="s">
        <x:v>231</x:v>
      </x:c>
      <x:c r="E118" s="2" t="s">
        <x:v>855</x:v>
      </x:c>
      <x:c r="F118" s="2" t="s">
        <x:v>891</x:v>
      </x:c>
      <x:c r="G118" s="2" t="s">
        <x:v>916</x:v>
      </x:c>
      <x:c r="H118" s="2" t="s">
        <x:v>901</x:v>
      </x:c>
      <x:c r="I118" s="2" t="s">
        <x:v>910</x:v>
      </x:c>
      <x:c r="J118" s="2" t="s">
        <x:v>917</x:v>
      </x:c>
      <x:c r="K118" s="2" t="s">
        <x:v>33</x:v>
      </x:c>
      <x:c r="L118" s="2" t="s">
        <x:v>10</x:v>
      </x:c>
      <x:c r="M118" s="2"/>
      <x:c r="N118" s="5" t="s">
        <x:v>918</x:v>
      </x:c>
      <x:c r="O118" s="2" t="s">
        <x:v>919</x:v>
      </x:c>
      <x:c r="P118" s="2" t="s">
        <x:v>718</x:v>
      </x:c>
      <x:c r="Q118" s="2" t="s">
        <x:v>64</x:v>
      </x:c>
      <x:c r="R118" s="5" t="s">
        <x:v>920</x:v>
      </x:c>
    </x:row>
    <x:row r="119" ht="28.5" customHeight="1">
      <x:c r="A119" s="2" t="s">
        <x:v>921</x:v>
      </x:c>
      <x:c r="B119" s="2" t="s">
        <x:v>846</x:v>
      </x:c>
      <x:c r="C119" s="2" t="s">
        <x:v>27</x:v>
      </x:c>
      <x:c r="D119" s="2" t="s">
        <x:v>231</x:v>
      </x:c>
      <x:c r="E119" s="2" t="s">
        <x:v>855</x:v>
      </x:c>
      <x:c r="F119" s="2" t="s">
        <x:v>891</x:v>
      </x:c>
      <x:c r="G119" s="2" t="s">
        <x:v>922</x:v>
      </x:c>
      <x:c r="H119" s="2" t="s">
        <x:v>901</x:v>
      </x:c>
      <x:c r="I119" s="2" t="s">
        <x:v>910</x:v>
      </x:c>
      <x:c r="J119" s="2" t="s">
        <x:v>923</x:v>
      </x:c>
      <x:c r="K119" s="2" t="s">
        <x:v>33</x:v>
      </x:c>
      <x:c r="L119" s="2" t="s">
        <x:v>10</x:v>
      </x:c>
      <x:c r="M119" s="2"/>
      <x:c r="N119" s="2" t="s">
        <x:v>924</x:v>
      </x:c>
      <x:c r="O119" s="2" t="s">
        <x:v>925</x:v>
      </x:c>
      <x:c r="P119" s="2" t="s">
        <x:v>718</x:v>
      </x:c>
      <x:c r="Q119" s="2" t="s">
        <x:v>64</x:v>
      </x:c>
      <x:c r="R119" s="2" t="s">
        <x:v>926</x:v>
      </x:c>
    </x:row>
    <x:row r="120" ht="156.75">
      <x:c r="A120" s="2" t="s">
        <x:v>927</x:v>
      </x:c>
      <x:c r="B120" s="2" t="s">
        <x:v>846</x:v>
      </x:c>
      <x:c r="C120" s="2" t="s">
        <x:v>27</x:v>
      </x:c>
      <x:c r="D120" s="2" t="s">
        <x:v>231</x:v>
      </x:c>
      <x:c r="E120" s="2" t="s">
        <x:v>855</x:v>
      </x:c>
      <x:c r="F120" s="2" t="s">
        <x:v>891</x:v>
      </x:c>
      <x:c r="G120" s="2" t="s">
        <x:v>928</x:v>
      </x:c>
      <x:c r="H120" s="2" t="s">
        <x:v>929</x:v>
      </x:c>
      <x:c r="I120" s="2" t="s">
        <x:v>930</x:v>
      </x:c>
      <x:c r="J120" s="2" t="s">
        <x:v>931</x:v>
      </x:c>
      <x:c r="K120" s="2" t="s">
        <x:v>33</x:v>
      </x:c>
      <x:c r="L120" s="2" t="s">
        <x:v>10</x:v>
      </x:c>
      <x:c r="M120" s="2"/>
      <x:c r="N120" s="5" t="s">
        <x:v>932</x:v>
      </x:c>
      <x:c r="O120" s="2" t="s">
        <x:v>933</x:v>
      </x:c>
      <x:c r="P120" s="2" t="s">
        <x:v>718</x:v>
      </x:c>
      <x:c r="Q120" s="2" t="s">
        <x:v>64</x:v>
      </x:c>
      <x:c r="R120" s="2" t="s">
        <x:v>934</x:v>
      </x:c>
    </x:row>
    <x:row r="121" ht="57">
      <x:c r="A121" s="2" t="s">
        <x:v>935</x:v>
      </x:c>
      <x:c r="B121" s="2" t="s">
        <x:v>342</x:v>
      </x:c>
      <x:c r="C121" s="2" t="s">
        <x:v>28</x:v>
      </x:c>
      <x:c r="D121" s="2" t="s">
        <x:v>936</x:v>
      </x:c>
      <x:c r="E121" s="2" t="s">
        <x:v>108</x:v>
      </x:c>
      <x:c r="F121" s="2" t="s">
        <x:v>91</x:v>
      </x:c>
      <x:c r="G121" s="2" t="s">
        <x:v>937</x:v>
      </x:c>
      <x:c r="H121" s="2" t="s">
        <x:v>938</x:v>
      </x:c>
      <x:c r="I121" s="2" t="s">
        <x:v>939</x:v>
      </x:c>
      <x:c r="J121" s="2" t="s">
        <x:v>940</x:v>
      </x:c>
      <x:c r="K121" s="2" t="s">
        <x:v>34</x:v>
      </x:c>
      <x:c r="L121" s="2" t="s">
        <x:v>10</x:v>
      </x:c>
      <x:c r="M121" s="2"/>
      <x:c r="N121" s="2" t="s">
        <x:v>941</x:v>
      </x:c>
      <x:c r="O121" s="2" t="s">
        <x:v>942</x:v>
      </x:c>
      <x:c r="P121" s="2"/>
      <x:c r="Q121" s="2" t="s">
        <x:v>793</x:v>
      </x:c>
      <x:c r="R121" s="2" t="s">
        <x:v>943</x:v>
      </x:c>
    </x:row>
    <x:row r="122" ht="42.75">
      <x:c r="A122" s="2" t="s">
        <x:v>944</x:v>
      </x:c>
      <x:c r="B122" s="2" t="s">
        <x:v>342</x:v>
      </x:c>
      <x:c r="C122" s="2" t="s">
        <x:v>28</x:v>
      </x:c>
      <x:c r="D122" s="2" t="s">
        <x:v>936</x:v>
      </x:c>
      <x:c r="E122" s="2" t="s">
        <x:v>108</x:v>
      </x:c>
      <x:c r="F122" s="2" t="s">
        <x:v>91</x:v>
      </x:c>
      <x:c r="G122" s="2" t="s">
        <x:v>945</x:v>
      </x:c>
      <x:c r="H122" s="2" t="s">
        <x:v>938</x:v>
      </x:c>
      <x:c r="I122" s="2" t="s">
        <x:v>946</x:v>
      </x:c>
      <x:c r="J122" s="2" t="s">
        <x:v>947</x:v>
      </x:c>
      <x:c r="K122" s="2" t="s">
        <x:v>34</x:v>
      </x:c>
      <x:c r="L122" s="2" t="s">
        <x:v>10</x:v>
      </x:c>
      <x:c r="M122" s="2"/>
      <x:c r="N122" s="2" t="s">
        <x:v>948</x:v>
      </x:c>
      <x:c r="O122" s="2" t="s">
        <x:v>949</x:v>
      </x:c>
      <x:c r="P122" s="2"/>
      <x:c r="Q122" s="2" t="s">
        <x:v>793</x:v>
      </x:c>
      <x:c r="R122" s="2" t="s">
        <x:v>950</x:v>
      </x:c>
    </x:row>
    <x:row r="123" ht="85.5">
      <x:c r="A123" s="2" t="s">
        <x:v>951</x:v>
      </x:c>
      <x:c r="B123" s="2" t="s">
        <x:v>786</x:v>
      </x:c>
      <x:c r="C123" s="2" t="s">
        <x:v>28</x:v>
      </x:c>
      <x:c r="D123" s="2" t="s">
        <x:v>936</x:v>
      </x:c>
      <x:c r="E123" s="2" t="s">
        <x:v>108</x:v>
      </x:c>
      <x:c r="F123" s="2" t="s">
        <x:v>91</x:v>
      </x:c>
      <x:c r="G123" s="2" t="s">
        <x:v>952</x:v>
      </x:c>
      <x:c r="H123" s="2" t="s">
        <x:v>953</x:v>
      </x:c>
      <x:c r="I123" s="2" t="s">
        <x:v>954</x:v>
      </x:c>
      <x:c r="J123" s="2" t="s">
        <x:v>955</x:v>
      </x:c>
      <x:c r="K123" s="2" t="s">
        <x:v>34</x:v>
      </x:c>
      <x:c r="L123" s="2" t="s">
        <x:v>10</x:v>
      </x:c>
      <x:c r="M123" s="2"/>
      <x:c r="N123" s="2" t="s">
        <x:v>956</x:v>
      </x:c>
      <x:c r="O123" s="2" t="s">
        <x:v>957</x:v>
      </x:c>
      <x:c r="P123" s="2"/>
      <x:c r="Q123" s="2" t="s">
        <x:v>793</x:v>
      </x:c>
      <x:c r="R123" s="2" t="s">
        <x:v>958</x:v>
      </x:c>
    </x:row>
    <x:row r="124" ht="57">
      <x:c r="A124" s="2" t="s">
        <x:v>959</x:v>
      </x:c>
      <x:c r="B124" s="2" t="s">
        <x:v>54</x:v>
      </x:c>
      <x:c r="C124" s="2" t="s">
        <x:v>28</x:v>
      </x:c>
      <x:c r="D124" s="2" t="s">
        <x:v>936</x:v>
      </x:c>
      <x:c r="E124" s="2" t="s">
        <x:v>108</x:v>
      </x:c>
      <x:c r="F124" s="2" t="s">
        <x:v>91</x:v>
      </x:c>
      <x:c r="G124" s="2" t="s">
        <x:v>960</x:v>
      </x:c>
      <x:c r="H124" s="2" t="s">
        <x:v>961</x:v>
      </x:c>
      <x:c r="I124" s="2" t="s">
        <x:v>962</x:v>
      </x:c>
      <x:c r="J124" s="2" t="s">
        <x:v>963</x:v>
      </x:c>
      <x:c r="K124" s="2" t="s">
        <x:v>34</x:v>
      </x:c>
      <x:c r="L124" s="2" t="s">
        <x:v>10</x:v>
      </x:c>
      <x:c r="M124" s="2"/>
      <x:c r="N124" s="2" t="s">
        <x:v>964</x:v>
      </x:c>
      <x:c r="O124" s="2" t="s">
        <x:v>965</x:v>
      </x:c>
      <x:c r="P124" s="2"/>
      <x:c r="Q124" s="2" t="s">
        <x:v>793</x:v>
      </x:c>
      <x:c r="R124" s="2" t="s">
        <x:v>966</x:v>
      </x:c>
    </x:row>
    <x:row r="125" ht="57">
      <x:c r="A125" s="2" t="s">
        <x:v>967</x:v>
      </x:c>
      <x:c r="B125" s="2" t="s">
        <x:v>54</x:v>
      </x:c>
      <x:c r="C125" s="2" t="s">
        <x:v>28</x:v>
      </x:c>
      <x:c r="D125" s="2" t="s">
        <x:v>936</x:v>
      </x:c>
      <x:c r="E125" s="2" t="s">
        <x:v>108</x:v>
      </x:c>
      <x:c r="F125" s="2" t="s">
        <x:v>91</x:v>
      </x:c>
      <x:c r="G125" s="2" t="s">
        <x:v>968</x:v>
      </x:c>
      <x:c r="H125" s="2" t="s">
        <x:v>969</x:v>
      </x:c>
      <x:c r="I125" s="2" t="s">
        <x:v>970</x:v>
      </x:c>
      <x:c r="J125" s="2" t="s">
        <x:v>971</x:v>
      </x:c>
      <x:c r="K125" s="2" t="s">
        <x:v>34</x:v>
      </x:c>
      <x:c r="L125" s="2" t="s">
        <x:v>10</x:v>
      </x:c>
      <x:c r="M125" s="2"/>
      <x:c r="N125" s="2" t="s">
        <x:v>972</x:v>
      </x:c>
      <x:c r="O125" s="2" t="s">
        <x:v>973</x:v>
      </x:c>
      <x:c r="P125" s="2"/>
      <x:c r="Q125" s="2" t="s">
        <x:v>793</x:v>
      </x:c>
      <x:c r="R125" s="2" t="s">
        <x:v>974</x:v>
      </x:c>
    </x:row>
    <x:row r="126" ht="57">
      <x:c r="A126" s="2" t="s">
        <x:v>975</x:v>
      </x:c>
      <x:c r="B126" s="2" t="s">
        <x:v>54</x:v>
      </x:c>
      <x:c r="C126" s="2" t="s">
        <x:v>28</x:v>
      </x:c>
      <x:c r="D126" s="2" t="s">
        <x:v>936</x:v>
      </x:c>
      <x:c r="E126" s="2" t="s">
        <x:v>108</x:v>
      </x:c>
      <x:c r="F126" s="2" t="s">
        <x:v>91</x:v>
      </x:c>
      <x:c r="G126" s="2" t="s">
        <x:v>976</x:v>
      </x:c>
      <x:c r="H126" s="2" t="s">
        <x:v>977</x:v>
      </x:c>
      <x:c r="I126" s="2" t="s">
        <x:v>978</x:v>
      </x:c>
      <x:c r="J126" s="2" t="s">
        <x:v>979</x:v>
      </x:c>
      <x:c r="K126" s="2" t="s">
        <x:v>34</x:v>
      </x:c>
      <x:c r="L126" s="2" t="s">
        <x:v>10</x:v>
      </x:c>
      <x:c r="M126" s="2"/>
      <x:c r="N126" s="2" t="s">
        <x:v>980</x:v>
      </x:c>
      <x:c r="O126" s="2" t="s">
        <x:v>981</x:v>
      </x:c>
      <x:c r="P126" s="2"/>
      <x:c r="Q126" s="2" t="s">
        <x:v>793</x:v>
      </x:c>
      <x:c r="R126" s="2" t="s">
        <x:v>982</x:v>
      </x:c>
    </x:row>
    <x:row r="127" ht="57">
      <x:c r="A127" s="2" t="s">
        <x:v>983</x:v>
      </x:c>
      <x:c r="B127" s="2" t="s">
        <x:v>54</x:v>
      </x:c>
      <x:c r="C127" s="2" t="s">
        <x:v>28</x:v>
      </x:c>
      <x:c r="D127" s="2" t="s">
        <x:v>936</x:v>
      </x:c>
      <x:c r="E127" s="2" t="s">
        <x:v>108</x:v>
      </x:c>
      <x:c r="F127" s="2" t="s">
        <x:v>91</x:v>
      </x:c>
      <x:c r="G127" s="2" t="s">
        <x:v>984</x:v>
      </x:c>
      <x:c r="H127" s="2" t="s">
        <x:v>977</x:v>
      </x:c>
      <x:c r="I127" s="2" t="s">
        <x:v>985</x:v>
      </x:c>
      <x:c r="J127" s="2" t="s">
        <x:v>986</x:v>
      </x:c>
      <x:c r="K127" s="2" t="s">
        <x:v>34</x:v>
      </x:c>
      <x:c r="L127" s="2" t="s">
        <x:v>10</x:v>
      </x:c>
      <x:c r="M127" s="2"/>
      <x:c r="N127" s="2" t="s">
        <x:v>987</x:v>
      </x:c>
      <x:c r="O127" s="2" t="s">
        <x:v>988</x:v>
      </x:c>
      <x:c r="P127" s="2"/>
      <x:c r="Q127" s="2" t="s">
        <x:v>793</x:v>
      </x:c>
      <x:c r="R127" s="2" t="s">
        <x:v>989</x:v>
      </x:c>
    </x:row>
    <x:row r="128" ht="57">
      <x:c r="A128" s="2" t="s">
        <x:v>990</x:v>
      </x:c>
      <x:c r="B128" s="2" t="s">
        <x:v>54</x:v>
      </x:c>
      <x:c r="C128" s="2" t="s">
        <x:v>28</x:v>
      </x:c>
      <x:c r="D128" s="2" t="s">
        <x:v>936</x:v>
      </x:c>
      <x:c r="E128" s="2" t="s">
        <x:v>108</x:v>
      </x:c>
      <x:c r="F128" s="2" t="s">
        <x:v>91</x:v>
      </x:c>
      <x:c r="G128" s="2" t="s">
        <x:v>991</x:v>
      </x:c>
      <x:c r="H128" s="2" t="s">
        <x:v>977</x:v>
      </x:c>
      <x:c r="I128" s="2" t="s">
        <x:v>992</x:v>
      </x:c>
      <x:c r="J128" s="2" t="s">
        <x:v>993</x:v>
      </x:c>
      <x:c r="K128" s="2" t="s">
        <x:v>34</x:v>
      </x:c>
      <x:c r="L128" s="2" t="s">
        <x:v>10</x:v>
      </x:c>
      <x:c r="M128" s="2"/>
      <x:c r="N128" s="2" t="s">
        <x:v>994</x:v>
      </x:c>
      <x:c r="O128" s="2" t="s">
        <x:v>995</x:v>
      </x:c>
      <x:c r="P128" s="2"/>
      <x:c r="Q128" s="2" t="s">
        <x:v>793</x:v>
      </x:c>
      <x:c r="R128" s="2" t="s">
        <x:v>996</x:v>
      </x:c>
    </x:row>
    <x:row r="129" ht="28.5">
      <x:c r="A129" s="2" t="s">
        <x:v>997</x:v>
      </x:c>
      <x:c r="B129" s="2" t="s">
        <x:v>54</x:v>
      </x:c>
      <x:c r="C129" s="2" t="s">
        <x:v>29</x:v>
      </x:c>
      <x:c r="D129" s="2" t="s">
        <x:v>55</x:v>
      </x:c>
      <x:c r="E129" s="2" t="s">
        <x:v>56</x:v>
      </x:c>
      <x:c r="F129" s="2" t="s">
        <x:v>82</x:v>
      </x:c>
      <x:c r="G129" s="2" t="s">
        <x:v>998</x:v>
      </x:c>
      <x:c r="H129" s="2" t="s">
        <x:v>977</x:v>
      </x:c>
      <x:c r="I129" s="2" t="s">
        <x:v>999</x:v>
      </x:c>
      <x:c r="J129" s="2" t="s">
        <x:v>1000</x:v>
      </x:c>
      <x:c r="K129" s="2" t="s">
        <x:v>32</x:v>
      </x:c>
      <x:c r="L129" s="2" t="str">
        <x:v>Pass</x:v>
      </x:c>
      <x:c r="M129" s="2"/>
      <x:c r="N129" s="2" t="str">
        <x:v>Sprint 1 authentication smoke regression completed successfully on the final Sprint 4 baseline. Valid Student login loaded the protected Dashboard, the authenticated session remained available during the browser regression flow, logout returned the Student to the login flow, a protected route required authentication again, invalid credentials displayed a controlled error, and GET /api/v1/auth/me/ without authentication returned HTTP 401. Frontend lint completed with 0 warnings and 0 errors, and the production build completed successfully.</x:v>
      </x:c>
      <x:c r="O129" s="2" t="str">
        <x:v>S4-REG-01-EV-01; S4-REG-01-EV-03; S4-REG-01-EV-04; S4-REG-01-EV-05; S4-REG-01-EV-06</x:v>
      </x:c>
      <x:c r="P129" s="2"/>
      <x:c r="Q129" s="2" t="s">
        <x:v>64</x:v>
      </x:c>
      <x:c r="R129" s="2" t="str">
        <x:v>Approved Sprint 1 authentication smoke behaviour was rerun against the final integrated Sprint 4 baseline. The Vite chunk-size message was advisory only and did not prevent the production build.</x:v>
      </x:c>
    </x:row>
    <x:row r="130" ht="14.25" customHeight="1">
      <x:c r="A130" s="2" t="s">
        <x:v>1001</x:v>
      </x:c>
      <x:c r="B130" s="2" t="s">
        <x:v>54</x:v>
      </x:c>
      <x:c r="C130" s="2" t="s">
        <x:v>29</x:v>
      </x:c>
      <x:c r="D130" s="2" t="s">
        <x:v>55</x:v>
      </x:c>
      <x:c r="E130" s="2" t="s">
        <x:v>56</x:v>
      </x:c>
      <x:c r="F130" s="2" t="s">
        <x:v>82</x:v>
      </x:c>
      <x:c r="G130" s="2" t="s">
        <x:v>1002</x:v>
      </x:c>
      <x:c r="H130" s="2" t="s">
        <x:v>977</x:v>
      </x:c>
      <x:c r="I130" s="2" t="s">
        <x:v>1003</x:v>
      </x:c>
      <x:c r="J130" s="2" t="s">
        <x:v>1004</x:v>
      </x:c>
      <x:c r="K130" s="2" t="s">
        <x:v>33</x:v>
      </x:c>
      <x:c r="L130" s="2" t="s">
        <x:v>10</x:v>
      </x:c>
      <x:c r="M130" s="2"/>
      <x:c r="N130" s="2" t="s">
        <x:v>1005</x:v>
      </x:c>
      <x:c r="O130" s="2" t="s">
        <x:v>1006</x:v>
      </x:c>
      <x:c r="P130" s="2"/>
      <x:c r="Q130" s="2" t="s">
        <x:v>64</x:v>
      </x:c>
      <x:c r="R130" s="2" t="s">
        <x:v>1007</x:v>
      </x:c>
    </x:row>
    <x:row r="131" ht="42.75">
      <x:c r="A131" s="2" t="s">
        <x:v>1008</x:v>
      </x:c>
      <x:c r="B131" s="2" t="s">
        <x:v>54</x:v>
      </x:c>
      <x:c r="C131" s="2" t="s">
        <x:v>29</x:v>
      </x:c>
      <x:c r="D131" s="2" t="s">
        <x:v>55</x:v>
      </x:c>
      <x:c r="E131" s="2" t="s">
        <x:v>56</x:v>
      </x:c>
      <x:c r="F131" s="2" t="s">
        <x:v>82</x:v>
      </x:c>
      <x:c r="G131" s="2" t="s">
        <x:v>1009</x:v>
      </x:c>
      <x:c r="H131" s="2" t="s">
        <x:v>977</x:v>
      </x:c>
      <x:c r="I131" s="2" t="s">
        <x:v>1010</x:v>
      </x:c>
      <x:c r="J131" s="2" t="s">
        <x:v>1011</x:v>
      </x:c>
      <x:c r="K131" s="2" t="s">
        <x:v>32</x:v>
      </x:c>
      <x:c r="L131" s="2" t="str">
        <x:v>Pass</x:v>
      </x:c>
      <x:c r="M131" s="2"/>
      <x:c r="N131" s="2" t="str">
        <x:v>Sprint 2 Career Analysis regression completed successfully on the final Sprint 4 baseline. Career Recommendations loaded with Software Engineer as the top match. Career Match and Career Readiness remained separate metrics. Skill Gap Analysis preserved the Software Engineer context and showed 15 matched requirements, 3 partially matched requirements and 0 missing requirements. Career Roadmap preserved the same career with a three-step plan, and Learning Resources preserved the same career and current learning focus with relevant resources.</x:v>
      </x:c>
      <x:c r="O131" s="2" t="str">
        <x:v>S4-REG-03-EV-01 to S4-REG-03-EV-05</x:v>
      </x:c>
      <x:c r="P131" s="2"/>
      <x:c r="Q131" s="2" t="s">
        <x:v>64</x:v>
      </x:c>
      <x:c r="R131" s="2" t="str">
        <x:v>Approved Sprint 2 Career Recommendation, Skill Gap, Readiness, Learning and Roadmap smoke flow was rerun. Selected-career context stayed consistent across the tested pages.</x:v>
      </x:c>
    </x:row>
    <x:row r="132" ht="156.75">
      <x:c r="A132" s="2" t="s">
        <x:v>1012</x:v>
      </x:c>
      <x:c r="B132" s="2" t="s">
        <x:v>54</x:v>
      </x:c>
      <x:c r="C132" s="2" t="s">
        <x:v>29</x:v>
      </x:c>
      <x:c r="D132" s="2" t="s">
        <x:v>55</x:v>
      </x:c>
      <x:c r="E132" s="2" t="s">
        <x:v>56</x:v>
      </x:c>
      <x:c r="F132" s="2" t="s">
        <x:v>82</x:v>
      </x:c>
      <x:c r="G132" s="2" t="s">
        <x:v>1013</x:v>
      </x:c>
      <x:c r="H132" s="2" t="s">
        <x:v>977</x:v>
      </x:c>
      <x:c r="I132" s="2" t="s">
        <x:v>1014</x:v>
      </x:c>
      <x:c r="J132" s="2" t="s">
        <x:v>1015</x:v>
      </x:c>
      <x:c r="K132" s="2" t="s">
        <x:v>33</x:v>
      </x:c>
      <x:c r="L132" s="2" t="s">
        <x:v>10</x:v>
      </x:c>
      <x:c r="M132" s="2"/>
      <x:c r="N132" s="5" t="s">
        <x:v>1016</x:v>
      </x:c>
      <x:c r="O132" s="2" t="s">
        <x:v>1017</x:v>
      </x:c>
      <x:c r="P132" s="2" t="s">
        <x:v>718</x:v>
      </x:c>
      <x:c r="Q132" s="2" t="s">
        <x:v>64</x:v>
      </x:c>
      <x:c r="R132" s="2" t="s">
        <x:v>1018</x:v>
      </x:c>
    </x:row>
    <x:row r="133" ht="28.5">
      <x:c r="A133" s="2" t="s">
        <x:v>1019</x:v>
      </x:c>
      <x:c r="B133" s="2" t="s">
        <x:v>54</x:v>
      </x:c>
      <x:c r="C133" s="2" t="s">
        <x:v>29</x:v>
      </x:c>
      <x:c r="D133" s="2" t="s">
        <x:v>55</x:v>
      </x:c>
      <x:c r="E133" s="2" t="s">
        <x:v>56</x:v>
      </x:c>
      <x:c r="F133" s="2" t="s">
        <x:v>82</x:v>
      </x:c>
      <x:c r="G133" s="2" t="s">
        <x:v>1020</x:v>
      </x:c>
      <x:c r="H133" s="2" t="s">
        <x:v>977</x:v>
      </x:c>
      <x:c r="I133" s="2" t="s">
        <x:v>1021</x:v>
      </x:c>
      <x:c r="J133" s="2" t="s">
        <x:v>1022</x:v>
      </x:c>
      <x:c r="K133" s="2" t="s">
        <x:v>32</x:v>
      </x:c>
      <x:c r="L133" s="2" t="str">
        <x:v>Pass</x:v>
      </x:c>
      <x:c r="M133" s="2"/>
      <x:c r="N133" s="2" t="str">
        <x:v>Sprint 3 Interview regression completed successfully on the final Sprint 4 baseline. Interview Preparation loaded for the authenticated Student with Software Engineer as the target career. Five AI-generated interview questions were produced. A typed answer was submitted and structured AI feedback was returned with strengths and improvement guidance. The feedback stayed connected to the selected question and did not provide a hiring probability or pass/fail hiring outcome.</x:v>
      </x:c>
      <x:c r="O133" s="2" t="str">
        <x:v>S4-REG-05-EV-01 to S4-REG-05-EV-03</x:v>
      </x:c>
      <x:c r="P133" s="2"/>
      <x:c r="Q133" s="2" t="s">
        <x:v>64</x:v>
      </x:c>
      <x:c r="R133" s="2" t="str">
        <x:v>Approved Sprint 3 Interview Question and Feedback smoke flow was rerun. Question generation, answer submission, feedback generation and ethical-AI output boundaries remained operational.</x:v>
      </x:c>
    </x:row>
    <x:row r="134" ht="28.5">
      <x:c r="A134" s="2" t="s">
        <x:v>1023</x:v>
      </x:c>
      <x:c r="B134" s="2" t="s">
        <x:v>54</x:v>
      </x:c>
      <x:c r="C134" s="2" t="s">
        <x:v>29</x:v>
      </x:c>
      <x:c r="D134" s="2" t="s">
        <x:v>55</x:v>
      </x:c>
      <x:c r="E134" s="2" t="s">
        <x:v>56</x:v>
      </x:c>
      <x:c r="F134" s="2" t="s">
        <x:v>82</x:v>
      </x:c>
      <x:c r="G134" s="2" t="s">
        <x:v>1024</x:v>
      </x:c>
      <x:c r="H134" s="2" t="s">
        <x:v>1025</x:v>
      </x:c>
      <x:c r="I134" s="2" t="s">
        <x:v>1026</x:v>
      </x:c>
      <x:c r="J134" s="2" t="s">
        <x:v>1027</x:v>
      </x:c>
      <x:c r="K134" s="2" t="s">
        <x:v>32</x:v>
      </x:c>
      <x:c r="L134" s="2" t="str">
        <x:v>Pass</x:v>
      </x:c>
      <x:c r="M134" s="2"/>
      <x:c r="N134" s="2" t="str">
        <x:v>Feature-complete Sprint 4 end-to-end smoke testing completed successfully across Student and Administrator roles. Administrator testing verified the Admin Dashboard, User Management, Career Management, Skill Management, Learning Resource Management, Resource Reports and Audit Records. Student testing verified Job Matching with 6 of 7 recognised requirements in profile and Django identified for review, generated a Software Engineer resume draft, and generated a Software Engineer cover letter draft. No unresolved Critical or High blocking defect was observed during the smoke run.</x:v>
      </x:c>
      <x:c r="O134" s="2" t="str">
        <x:v>S4-REG-06-EV-01 to S4-REG-06-EV-13</x:v>
      </x:c>
      <x:c r="P134" s="2"/>
      <x:c r="Q134" s="2" t="s">
        <x:v>64</x:v>
      </x:c>
      <x:c r="R134" s="2" t="str">
        <x:v>Final Sprint 4 integrated smoke flow completed across Student and Administrator roles. Supporting cross-sprint Student authentication, Career Analysis and Interview regression evidence is recorded in S4-REG-01, S4-REG-03 and S4-REG-05.</x:v>
      </x:c>
    </x:row>
  </x:sheetData>
  <x:mergeCells>
    <x:mergeCell ref="A1:R1"/>
    <x:mergeCell ref="A2:R2"/>
  </x:mergeCells>
  <x:conditionalFormatting sqref="L6:L9 L20:L20 L26:L26 L35:L36 L38:L40 L57:L57 L64:L65 L91:L100 L109:L120 L129:L134">
    <x:cfRule type="expression" dxfId="59" priority="46">
      <x:formula>L6="Pass"</x:formula>
    </x:cfRule>
    <x:cfRule type="expression" dxfId="58" priority="47">
      <x:formula>L6="Fail"</x:formula>
    </x:cfRule>
    <x:cfRule type="expression" dxfId="57" priority="48">
      <x:formula>L6="Blocked"</x:formula>
    </x:cfRule>
    <x:cfRule type="expression" dxfId="56" priority="49">
      <x:formula>L6="Not Run"</x:formula>
    </x:cfRule>
    <x:cfRule type="expression" dxfId="55" priority="50">
      <x:formula>L6="Retest"</x:formula>
    </x:cfRule>
  </x:conditionalFormatting>
  <x:conditionalFormatting sqref="L10:L19">
    <x:cfRule type="expression" dxfId="54" priority="41">
      <x:formula>L10="Pass"</x:formula>
    </x:cfRule>
    <x:cfRule type="expression" dxfId="53" priority="42">
      <x:formula>L10="Fail"</x:formula>
    </x:cfRule>
    <x:cfRule type="expression" dxfId="52" priority="43">
      <x:formula>L10="Blocked"</x:formula>
    </x:cfRule>
    <x:cfRule type="expression" dxfId="51" priority="44">
      <x:formula>L10="Not Run"</x:formula>
    </x:cfRule>
    <x:cfRule type="expression" dxfId="50" priority="45">
      <x:formula>L10="Retest"</x:formula>
    </x:cfRule>
  </x:conditionalFormatting>
  <x:conditionalFormatting sqref="L21:L25">
    <x:cfRule type="expression" dxfId="44" priority="36">
      <x:formula>L21="Pass"</x:formula>
    </x:cfRule>
    <x:cfRule type="expression" dxfId="43" priority="37">
      <x:formula>L21="Fail"</x:formula>
    </x:cfRule>
    <x:cfRule type="expression" dxfId="42" priority="38">
      <x:formula>L21="Blocked"</x:formula>
    </x:cfRule>
    <x:cfRule type="expression" dxfId="41" priority="39">
      <x:formula>L21="Not Run"</x:formula>
    </x:cfRule>
    <x:cfRule type="expression" dxfId="40" priority="40">
      <x:formula>L21="Retest"</x:formula>
    </x:cfRule>
  </x:conditionalFormatting>
  <x:conditionalFormatting sqref="L27:L34">
    <x:cfRule type="expression" dxfId="39" priority="31">
      <x:formula>L27="Pass"</x:formula>
    </x:cfRule>
    <x:cfRule type="expression" dxfId="38" priority="32">
      <x:formula>L27="Fail"</x:formula>
    </x:cfRule>
    <x:cfRule type="expression" dxfId="37" priority="33">
      <x:formula>L27="Blocked"</x:formula>
    </x:cfRule>
    <x:cfRule type="expression" dxfId="36" priority="34">
      <x:formula>L27="Not Run"</x:formula>
    </x:cfRule>
    <x:cfRule type="expression" dxfId="35" priority="35">
      <x:formula>L27="Retest"</x:formula>
    </x:cfRule>
  </x:conditionalFormatting>
  <x:conditionalFormatting sqref="L37:L37">
    <x:cfRule type="expression" dxfId="34" priority="26">
      <x:formula>L37="Pass"</x:formula>
    </x:cfRule>
    <x:cfRule type="expression" dxfId="33" priority="27">
      <x:formula>L37="Fail"</x:formula>
    </x:cfRule>
    <x:cfRule type="expression" dxfId="32" priority="28">
      <x:formula>L37="Blocked"</x:formula>
    </x:cfRule>
    <x:cfRule type="expression" dxfId="31" priority="29">
      <x:formula>L37="Not Run"</x:formula>
    </x:cfRule>
    <x:cfRule type="expression" dxfId="30" priority="30">
      <x:formula>L37="Retest"</x:formula>
    </x:cfRule>
  </x:conditionalFormatting>
  <x:conditionalFormatting sqref="L41:L56">
    <x:cfRule type="expression" dxfId="24" priority="21">
      <x:formula>L41="Pass"</x:formula>
    </x:cfRule>
    <x:cfRule type="expression" dxfId="23" priority="22">
      <x:formula>L41="Fail"</x:formula>
    </x:cfRule>
    <x:cfRule type="expression" dxfId="22" priority="23">
      <x:formula>L41="Blocked"</x:formula>
    </x:cfRule>
    <x:cfRule type="expression" dxfId="21" priority="24">
      <x:formula>L41="Not Run"</x:formula>
    </x:cfRule>
    <x:cfRule type="expression" dxfId="20" priority="25">
      <x:formula>L41="Retest"</x:formula>
    </x:cfRule>
  </x:conditionalFormatting>
  <x:conditionalFormatting sqref="L58:L63">
    <x:cfRule type="expression" dxfId="19" priority="16">
      <x:formula>L58="Pass"</x:formula>
    </x:cfRule>
    <x:cfRule type="expression" dxfId="18" priority="17">
      <x:formula>L58="Fail"</x:formula>
    </x:cfRule>
    <x:cfRule type="expression" dxfId="17" priority="18">
      <x:formula>L58="Blocked"</x:formula>
    </x:cfRule>
    <x:cfRule type="expression" dxfId="16" priority="19">
      <x:formula>L58="Not Run"</x:formula>
    </x:cfRule>
    <x:cfRule type="expression" dxfId="15" priority="20">
      <x:formula>L58="Retest"</x:formula>
    </x:cfRule>
  </x:conditionalFormatting>
  <x:conditionalFormatting sqref="L66:L90">
    <x:cfRule type="expression" dxfId="14" priority="11">
      <x:formula>L66="Pass"</x:formula>
    </x:cfRule>
    <x:cfRule type="expression" dxfId="13" priority="12">
      <x:formula>L66="Fail"</x:formula>
    </x:cfRule>
    <x:cfRule type="expression" dxfId="12" priority="13">
      <x:formula>L66="Blocked"</x:formula>
    </x:cfRule>
    <x:cfRule type="expression" dxfId="11" priority="14">
      <x:formula>L66="Not Run"</x:formula>
    </x:cfRule>
    <x:cfRule type="expression" dxfId="10" priority="15">
      <x:formula>L66="Retest"</x:formula>
    </x:cfRule>
  </x:conditionalFormatting>
  <x:conditionalFormatting sqref="L101:L108">
    <x:cfRule type="expression" dxfId="9" priority="6">
      <x:formula>L101="Pass"</x:formula>
    </x:cfRule>
    <x:cfRule type="expression" dxfId="8" priority="7">
      <x:formula>L101="Fail"</x:formula>
    </x:cfRule>
    <x:cfRule type="expression" dxfId="7" priority="8">
      <x:formula>L101="Blocked"</x:formula>
    </x:cfRule>
    <x:cfRule type="expression" dxfId="6" priority="9">
      <x:formula>L101="Not Run"</x:formula>
    </x:cfRule>
    <x:cfRule type="expression" dxfId="5" priority="10">
      <x:formula>L101="Retest"</x:formula>
    </x:cfRule>
  </x:conditionalFormatting>
  <x:conditionalFormatting sqref="L121:L128">
    <x:cfRule type="expression" dxfId="4" priority="1">
      <x:formula>L121="Pass"</x:formula>
    </x:cfRule>
    <x:cfRule type="expression" dxfId="3" priority="2">
      <x:formula>L121="Fail"</x:formula>
    </x:cfRule>
    <x:cfRule type="expression" dxfId="2" priority="3">
      <x:formula>L121="Blocked"</x:formula>
    </x:cfRule>
    <x:cfRule type="expression" dxfId="1" priority="4">
      <x:formula>L121="Not Run"</x:formula>
    </x:cfRule>
    <x:cfRule type="expression" dxfId="0" priority="5">
      <x:formula>L121="Retest"</x:formula>
    </x:cfRule>
  </x:conditionalFormatting>
  <x:dataValidations count="5">
    <x:dataValidation type="list" sqref="E6:E134">
      <x:formula1>"Critical,High,Medium,Low"</x:formula1>
    </x:dataValidation>
    <x:dataValidation type="list" sqref="F6:F134">
      <x:formula1>"Unit,Schema,API,Integration,Permission,Security,Frontend,Regression"</x:formula1>
    </x:dataValidation>
    <x:dataValidation type="list" sqref="K6:K134">
      <x:formula1>"Jerald,MD,Joyee"</x:formula1>
    </x:dataValidation>
    <x:dataValidation type="list" sqref="L6:L134">
      <x:formula1>"Pass,Fail,Blocked,Not Run,Retest"</x:formula1>
    </x:dataValidation>
    <x:dataValidation type="list" sqref="Q6:Q134">
      <x:formula1>"Automated,Manual,Hybrid"</x:formula1>
    </x:dataValidation>
  </x:dataValidations>
  <x:pageMargins left="0.7" right="0.7" top="0.75" bottom="0.75" header="0.3" footer="0.3"/>
  <x:tableParts count="1">
    <x:tablePart xmlns:r="http://schemas.openxmlformats.org/officeDocument/2006/relationships" r:id="Rbb7c85abfd2a4f6f"/>
  </x:tableParts>
</x:worksheet>
</file>

<file path=xl/worksheets/sheet3.xml><?xml version="1.0" encoding="utf-8"?>
<x:worksheet xmlns:x="http://schemas.openxmlformats.org/spreadsheetml/2006/main">
  <x:sheetFormatPr defaultRowHeight="14.25"/>
  <x:cols>
    <x:col min="1" max="1" width="18" customWidth="1"/>
    <x:col min="2" max="2" width="28" customWidth="1"/>
    <x:col min="3" max="3" width="12" customWidth="1"/>
    <x:col min="4" max="4" width="24" customWidth="1"/>
    <x:col min="5" max="5" width="42" customWidth="1"/>
    <x:col min="6" max="6" width="38" customWidth="1"/>
    <x:col min="7" max="7" width="16" customWidth="1"/>
    <x:col min="8" max="8" width="12" customWidth="1"/>
    <x:col min="9" max="9" width="16" customWidth="1"/>
    <x:col min="10" max="10" width="28" customWidth="1"/>
  </x:cols>
  <x:sheetData>
    <x:row r="1" ht="20.25">
      <x:c r="A1" s="8" t="s">
        <x:v>1028</x:v>
      </x:c>
      <x:c r="B1" s="8"/>
      <x:c r="C1" s="8"/>
      <x:c r="D1" s="8"/>
      <x:c r="E1" s="8"/>
      <x:c r="F1" s="8"/>
      <x:c r="G1" s="8"/>
      <x:c r="H1" s="8"/>
      <x:c r="I1" s="8"/>
      <x:c r="J1" s="8"/>
    </x:row>
    <x:row r="2">
      <x:c r="A2" s="9" t="str">
        <x:v>Final WBS 7.9 evidence index. Evidence entries reflect executed tests and captured proof.</x:v>
      </x:c>
      <x:c r="B2" s="9"/>
      <x:c r="C2" s="9"/>
      <x:c r="D2" s="9"/>
      <x:c r="E2" s="9"/>
      <x:c r="F2" s="9"/>
      <x:c r="G2" s="9"/>
      <x:c r="H2" s="9"/>
      <x:c r="I2" s="9"/>
      <x:c r="J2" s="9"/>
    </x:row>
    <x:row r="5" ht="15">
      <x:c r="A5" s="1" t="s">
        <x:v>49</x:v>
      </x:c>
      <x:c r="B5" s="1" t="s">
        <x:v>1029</x:v>
      </x:c>
      <x:c r="C5" s="1" t="s">
        <x:v>37</x:v>
      </x:c>
      <x:c r="D5" s="1" t="s">
        <x:v>1030</x:v>
      </x:c>
      <x:c r="E5" s="1" t="s">
        <x:v>1031</x:v>
      </x:c>
      <x:c r="F5" s="1" t="s">
        <x:v>1032</x:v>
      </x:c>
      <x:c r="G5" s="1" t="s">
        <x:v>45</x:v>
      </x:c>
      <x:c r="H5" s="1" t="s">
        <x:v>46</x:v>
      </x:c>
      <x:c r="I5" s="1" t="s">
        <x:v>1033</x:v>
      </x:c>
      <x:c r="J5" s="1" t="s">
        <x:v>52</x:v>
      </x:c>
    </x:row>
    <x:row r="6" ht="28.5">
      <x:c r="A6" s="2" t="s">
        <x:v>1034</x:v>
      </x:c>
      <x:c r="B6" s="2" t="s">
        <x:v>1035</x:v>
      </x:c>
      <x:c r="C6" s="2" t="s">
        <x:v>54</x:v>
      </x:c>
      <x:c r="D6" s="2" t="s">
        <x:v>1036</x:v>
      </x:c>
      <x:c r="E6" s="2" t="s">
        <x:v>1037</x:v>
      </x:c>
      <x:c r="F6" s="2" t="s">
        <x:v>1038</x:v>
      </x:c>
      <x:c r="G6" s="2" t="s">
        <x:v>1039</x:v>
      </x:c>
      <x:c r="H6" s="2" t="str">
        <x:v>Captured</x:v>
      </x:c>
      <x:c r="I6" s="2" t="str">
        <x:v>2026-10-09</x:v>
      </x:c>
      <x:c r="J6" s="2" t="str">
        <x:v>Environment evidence complete. S4-ENV-07 final baseline verification passed; see S4-ENV-07-EV-01.</x:v>
      </x:c>
    </x:row>
    <x:row r="7" ht="28.5">
      <x:c r="A7" s="2" t="s">
        <x:v>1040</x:v>
      </x:c>
      <x:c r="B7" s="2" t="s">
        <x:v>1041</x:v>
      </x:c>
      <x:c r="C7" s="2" t="s">
        <x:v>54</x:v>
      </x:c>
      <x:c r="D7" s="2" t="s">
        <x:v>1042</x:v>
      </x:c>
      <x:c r="E7" s="2" t="s">
        <x:v>1043</x:v>
      </x:c>
      <x:c r="F7" s="2" t="s">
        <x:v>1038</x:v>
      </x:c>
      <x:c r="G7" s="2" t="s">
        <x:v>1039</x:v>
      </x:c>
      <x:c r="H7" s="2" t="s">
        <x:v>1044</x:v>
      </x:c>
      <x:c r="I7" s="2"/>
      <x:c r="J7" s="2"/>
    </x:row>
    <x:row r="8" ht="28.5">
      <x:c r="A8" s="2" t="s">
        <x:v>1045</x:v>
      </x:c>
      <x:c r="B8" s="2" t="s">
        <x:v>1046</x:v>
      </x:c>
      <x:c r="C8" s="2" t="s">
        <x:v>205</x:v>
      </x:c>
      <x:c r="D8" s="2" t="s">
        <x:v>1047</x:v>
      </x:c>
      <x:c r="E8" s="2" t="s">
        <x:v>1048</x:v>
      </x:c>
      <x:c r="F8" s="2" t="s">
        <x:v>1038</x:v>
      </x:c>
      <x:c r="G8" s="2" t="s">
        <x:v>1039</x:v>
      </x:c>
      <x:c r="H8" s="2" t="s">
        <x:v>5</x:v>
      </x:c>
      <x:c r="I8" s="2"/>
      <x:c r="J8" s="2" t="s">
        <x:v>1049</x:v>
      </x:c>
    </x:row>
    <x:row r="9" ht="28.5">
      <x:c r="A9" s="2" t="s">
        <x:v>1050</x:v>
      </x:c>
      <x:c r="B9" s="2" t="s">
        <x:v>1051</x:v>
      </x:c>
      <x:c r="C9" s="2" t="s">
        <x:v>54</x:v>
      </x:c>
      <x:c r="D9" s="2" t="s">
        <x:v>1052</x:v>
      </x:c>
      <x:c r="E9" s="2" t="s">
        <x:v>1053</x:v>
      </x:c>
      <x:c r="F9" s="2" t="s">
        <x:v>1038</x:v>
      </x:c>
      <x:c r="G9" s="2" t="s">
        <x:v>1039</x:v>
      </x:c>
      <x:c r="H9" s="2" t="s">
        <x:v>1044</x:v>
      </x:c>
      <x:c r="I9" s="2"/>
      <x:c r="J9" s="2"/>
    </x:row>
    <x:row r="10" ht="28.5">
      <x:c r="A10" s="2" t="s">
        <x:v>1054</x:v>
      </x:c>
      <x:c r="B10" s="2" t="s">
        <x:v>1055</x:v>
      </x:c>
      <x:c r="C10" s="2" t="s">
        <x:v>54</x:v>
      </x:c>
      <x:c r="D10" s="2" t="s">
        <x:v>1052</x:v>
      </x:c>
      <x:c r="E10" s="2" t="s">
        <x:v>1056</x:v>
      </x:c>
      <x:c r="F10" s="2" t="s">
        <x:v>1038</x:v>
      </x:c>
      <x:c r="G10" s="2" t="s">
        <x:v>1039</x:v>
      </x:c>
      <x:c r="H10" s="2" t="s">
        <x:v>1044</x:v>
      </x:c>
      <x:c r="I10" s="2"/>
      <x:c r="J10" s="2"/>
    </x:row>
    <x:row r="11" ht="28.5">
      <x:c r="A11" s="2" t="s">
        <x:v>1057</x:v>
      </x:c>
      <x:c r="B11" s="2" t="s">
        <x:v>1058</x:v>
      </x:c>
      <x:c r="C11" s="2" t="s">
        <x:v>709</x:v>
      </x:c>
      <x:c r="D11" s="2" t="s">
        <x:v>1059</x:v>
      </x:c>
      <x:c r="E11" s="2" t="s">
        <x:v>1060</x:v>
      </x:c>
      <x:c r="F11" s="2" t="s">
        <x:v>1038</x:v>
      </x:c>
      <x:c r="G11" s="2" t="s">
        <x:v>1039</x:v>
      </x:c>
      <x:c r="H11" s="2" t="s">
        <x:v>5</x:v>
      </x:c>
      <x:c r="I11" s="2"/>
      <x:c r="J11" s="2" t="s">
        <x:v>1061</x:v>
      </x:c>
    </x:row>
    <x:row r="12" ht="28.5">
      <x:c r="A12" s="2" t="s">
        <x:v>1062</x:v>
      </x:c>
      <x:c r="B12" s="2" t="s">
        <x:v>1063</x:v>
      </x:c>
      <x:c r="C12" s="2" t="s">
        <x:v>786</x:v>
      </x:c>
      <x:c r="D12" s="2" t="s">
        <x:v>1064</x:v>
      </x:c>
      <x:c r="E12" s="2" t="s">
        <x:v>1065</x:v>
      </x:c>
      <x:c r="F12" s="2" t="s">
        <x:v>1038</x:v>
      </x:c>
      <x:c r="G12" s="2" t="s">
        <x:v>1039</x:v>
      </x:c>
      <x:c r="H12" s="2" t="s">
        <x:v>5</x:v>
      </x:c>
      <x:c r="I12" s="2"/>
      <x:c r="J12" s="2" t="s">
        <x:v>1066</x:v>
      </x:c>
    </x:row>
    <x:row r="13">
      <x:c r="A13" s="2" t="s">
        <x:v>1067</x:v>
      </x:c>
      <x:c r="B13" s="2" t="s">
        <x:v>1068</x:v>
      </x:c>
      <x:c r="C13" s="2" t="s">
        <x:v>846</x:v>
      </x:c>
      <x:c r="D13" s="2" t="s">
        <x:v>1059</x:v>
      </x:c>
      <x:c r="E13" s="2" t="s">
        <x:v>1069</x:v>
      </x:c>
      <x:c r="F13" s="2" t="s">
        <x:v>1038</x:v>
      </x:c>
      <x:c r="G13" s="2" t="s">
        <x:v>1039</x:v>
      </x:c>
      <x:c r="H13" s="2" t="s">
        <x:v>5</x:v>
      </x:c>
      <x:c r="I13" s="2"/>
      <x:c r="J13" s="2" t="s">
        <x:v>1070</x:v>
      </x:c>
    </x:row>
    <x:row r="14" ht="28.5">
      <x:c r="A14" s="2" t="s">
        <x:v>1071</x:v>
      </x:c>
      <x:c r="B14" s="2" t="s">
        <x:v>1072</x:v>
      </x:c>
      <x:c r="C14" s="2" t="s">
        <x:v>846</x:v>
      </x:c>
      <x:c r="D14" s="2" t="s">
        <x:v>1073</x:v>
      </x:c>
      <x:c r="E14" s="2" t="s">
        <x:v>1074</x:v>
      </x:c>
      <x:c r="F14" s="2" t="s">
        <x:v>1038</x:v>
      </x:c>
      <x:c r="G14" s="2" t="s">
        <x:v>1039</x:v>
      </x:c>
      <x:c r="H14" s="2" t="s">
        <x:v>5</x:v>
      </x:c>
      <x:c r="I14" s="2"/>
      <x:c r="J14" s="2" t="s">
        <x:v>1070</x:v>
      </x:c>
    </x:row>
    <x:row r="15" ht="28.5">
      <x:c r="A15" s="2" t="s">
        <x:v>1075</x:v>
      </x:c>
      <x:c r="B15" s="2" t="s">
        <x:v>1076</x:v>
      </x:c>
      <x:c r="C15" s="2" t="s">
        <x:v>54</x:v>
      </x:c>
      <x:c r="D15" s="2" t="s">
        <x:v>1077</x:v>
      </x:c>
      <x:c r="E15" s="2" t="s">
        <x:v>1078</x:v>
      </x:c>
      <x:c r="F15" s="2" t="s">
        <x:v>1038</x:v>
      </x:c>
      <x:c r="G15" s="2" t="s">
        <x:v>1039</x:v>
      </x:c>
      <x:c r="H15" s="2" t="s">
        <x:v>1044</x:v>
      </x:c>
      <x:c r="I15" s="2"/>
      <x:c r="J15" s="2"/>
    </x:row>
    <x:row r="16" ht="28.5">
      <x:c r="A16" s="2" t="s">
        <x:v>1079</x:v>
      </x:c>
      <x:c r="B16" s="2" t="s">
        <x:v>1080</x:v>
      </x:c>
      <x:c r="C16" s="2" t="s">
        <x:v>54</x:v>
      </x:c>
      <x:c r="D16" s="2" t="s">
        <x:v>1081</x:v>
      </x:c>
      <x:c r="E16" s="2" t="s">
        <x:v>1082</x:v>
      </x:c>
      <x:c r="F16" s="2" t="s">
        <x:v>1038</x:v>
      </x:c>
      <x:c r="G16" s="2" t="s">
        <x:v>1039</x:v>
      </x:c>
      <x:c r="H16" s="2" t="str">
        <x:v>Captured</x:v>
      </x:c>
      <x:c r="I16" s="2" t="str">
        <x:v>2026-10-09</x:v>
      </x:c>
      <x:c r="J16" s="2" t="str">
        <x:v>Final regression and Sprint 4 smoke evidence captured. See S4-REG-01-EV-*, S4-REG-03-EV-*, S4-REG-05-EV-* and S4-REG-06-EV-* under docs/testing/evidence/sprint-4/.</x:v>
      </x:c>
    </x:row>
  </x:sheetData>
  <x:mergeCells>
    <x:mergeCell ref="A1:J1"/>
    <x:mergeCell ref="A2:J2"/>
  </x:mergeCells>
  <x:dataValidations count="1">
    <x:dataValidation type="list" sqref="H6:H16">
      <x:formula1>"Planned,Blocked,Captured"</x:formula1>
    </x:dataValidation>
  </x:dataValidations>
  <x:pageMargins left="0.7" right="0.7" top="0.75" bottom="0.75" header="0.3" footer="0.3"/>
  <x:tableParts count="1">
    <x:tablePart xmlns:r="http://schemas.openxmlformats.org/officeDocument/2006/relationships" r:id="R964aa619511a4164"/>
  </x:tableParts>
</x:worksheet>
</file>