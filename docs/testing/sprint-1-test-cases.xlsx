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08_Personals\School Portfolio\GradNavi\docs\testing\"/>
    </mc:Choice>
  </mc:AlternateContent>
  <xr:revisionPtr revIDLastSave="0" documentId="13_ncr:1_{D3FEE0D7-842B-4DDC-ADB2-60A70DECD07A}" xr6:coauthVersionLast="47" xr6:coauthVersionMax="47" xr10:uidLastSave="{00000000-0000-0000-0000-000000000000}"/>
  <bookViews>
    <workbookView xWindow="25695" yWindow="0" windowWidth="26010" windowHeight="20985" activeTab="1" xr2:uid="{00000000-000D-0000-FFFF-FFFF00000000}"/>
  </bookViews>
  <sheets>
    <sheet name="Summary" sheetId="1" r:id="rId1"/>
    <sheet name="Test Cases" sheetId="2" r:id="rId2"/>
    <sheet name="Evidence Index" sheetId="3" r:id="rId3"/>
    <sheet name="Referenc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I23" i="1"/>
  <c r="J22" i="1"/>
  <c r="I22" i="1"/>
  <c r="J21" i="1"/>
  <c r="I21" i="1"/>
  <c r="J20" i="1"/>
  <c r="I20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B13" i="1"/>
  <c r="F12" i="1"/>
  <c r="E12" i="1"/>
  <c r="B12" i="1"/>
  <c r="F11" i="1"/>
  <c r="E11" i="1"/>
  <c r="F10" i="1"/>
  <c r="E10" i="1"/>
  <c r="F9" i="1"/>
  <c r="E9" i="1"/>
  <c r="F8" i="1"/>
  <c r="E8" i="1"/>
  <c r="B8" i="1"/>
  <c r="F7" i="1"/>
  <c r="E7" i="1"/>
  <c r="B7" i="1"/>
  <c r="F6" i="1"/>
  <c r="E6" i="1"/>
  <c r="B6" i="1"/>
  <c r="F5" i="1"/>
  <c r="E5" i="1"/>
  <c r="B5" i="1"/>
  <c r="F4" i="1"/>
  <c r="E4" i="1"/>
  <c r="B4" i="1"/>
</calcChain>
</file>

<file path=xl/sharedStrings.xml><?xml version="1.0" encoding="utf-8"?>
<sst xmlns="http://schemas.openxmlformats.org/spreadsheetml/2006/main" count="821" uniqueCount="406">
  <si>
    <t>GradNavi Sprint 1 Test Dashboard</t>
  </si>
  <si>
    <t>Metric</t>
  </si>
  <si>
    <t>Value</t>
  </si>
  <si>
    <t>Area</t>
  </si>
  <si>
    <t>Total</t>
  </si>
  <si>
    <t>Passed</t>
  </si>
  <si>
    <t>Total Test Cases</t>
  </si>
  <si>
    <t>Authentication</t>
  </si>
  <si>
    <t>Pass</t>
  </si>
  <si>
    <t>JWT</t>
  </si>
  <si>
    <t>Fail</t>
  </si>
  <si>
    <t>Current User</t>
  </si>
  <si>
    <t>Blocked</t>
  </si>
  <si>
    <t>Student Profile</t>
  </si>
  <si>
    <t>Not Run</t>
  </si>
  <si>
    <t>Ownership</t>
  </si>
  <si>
    <t>Skills</t>
  </si>
  <si>
    <t>Interests</t>
  </si>
  <si>
    <t>Sprint 1 Exit Checks</t>
  </si>
  <si>
    <t>Status</t>
  </si>
  <si>
    <t>Education</t>
  </si>
  <si>
    <t>Critical tests</t>
  </si>
  <si>
    <t>Experience</t>
  </si>
  <si>
    <t>Integration tests</t>
  </si>
  <si>
    <t>Projects</t>
  </si>
  <si>
    <t>Career Goals</t>
  </si>
  <si>
    <t>Personality</t>
  </si>
  <si>
    <t>Frontend Auth</t>
  </si>
  <si>
    <t>Frontend Profile</t>
  </si>
  <si>
    <t>Database</t>
  </si>
  <si>
    <t>Security</t>
  </si>
  <si>
    <t>Test Owner</t>
  </si>
  <si>
    <t>Assigned</t>
  </si>
  <si>
    <t>Regression</t>
  </si>
  <si>
    <t>MD</t>
  </si>
  <si>
    <t>Joyee</t>
  </si>
  <si>
    <t>Jerald</t>
  </si>
  <si>
    <t>Shared</t>
  </si>
  <si>
    <t>Test ID</t>
  </si>
  <si>
    <t>Test Type</t>
  </si>
  <si>
    <t>Priority</t>
  </si>
  <si>
    <t>Scenario</t>
  </si>
  <si>
    <t>Preconditions</t>
  </si>
  <si>
    <t>Test Steps</t>
  </si>
  <si>
    <t>Expected Result</t>
  </si>
  <si>
    <t>Actual Result</t>
  </si>
  <si>
    <t>Tester</t>
  </si>
  <si>
    <t>Test Date</t>
  </si>
  <si>
    <t>Evidence ID</t>
  </si>
  <si>
    <t>Defect Reference</t>
  </si>
  <si>
    <t>Notes</t>
  </si>
  <si>
    <t>AUTH-REG-01</t>
  </si>
  <si>
    <t>API</t>
  </si>
  <si>
    <t>Critical</t>
  </si>
  <si>
    <t>Valid student registration</t>
  </si>
  <si>
    <t>Unique test email</t>
  </si>
  <si>
    <t>POST valid payload to /api/v1/auth/register/</t>
  </si>
  <si>
    <t>Approved success response; account created; password not returned</t>
  </si>
  <si>
    <t>AUTH-REG-02</t>
  </si>
  <si>
    <t>High</t>
  </si>
  <si>
    <t>Missing required registration field</t>
  </si>
  <si>
    <t>Registration endpoint available</t>
  </si>
  <si>
    <t>POST payload missing one required field</t>
  </si>
  <si>
    <t>400 Bad Request; validation error; account not created</t>
  </si>
  <si>
    <t>AUTH-REG-03</t>
  </si>
  <si>
    <t>Duplicate email registration</t>
  </si>
  <si>
    <t>Existing account uses test email</t>
  </si>
  <si>
    <t>POST registration with existing email</t>
  </si>
  <si>
    <t>409 Conflict or approved duplicate-data response</t>
  </si>
  <si>
    <t>AUTH-REG-04</t>
  </si>
  <si>
    <t>Registration response protects password</t>
  </si>
  <si>
    <t>Register account and inspect response</t>
  </si>
  <si>
    <t>No password, hash, reset credential, or secret returned</t>
  </si>
  <si>
    <t>AUTH-LOGIN-01</t>
  </si>
  <si>
    <t>Valid login</t>
  </si>
  <si>
    <t>Active Student account exists</t>
  </si>
  <si>
    <t>POST valid credentials to /api/v1/auth/login/</t>
  </si>
  <si>
    <t>200 OK; expected JWT authentication data returned</t>
  </si>
  <si>
    <t>AUTH-LOGIN-02</t>
  </si>
  <si>
    <t>Invalid password</t>
  </si>
  <si>
    <t>POST correct email with wrong password</t>
  </si>
  <si>
    <t>401 Unauthorized or approved auth failure; no tokens returned</t>
  </si>
  <si>
    <t>AUTH-LOGIN-03</t>
  </si>
  <si>
    <t>Missing login credentials</t>
  </si>
  <si>
    <t>Login endpoint available</t>
  </si>
  <si>
    <t>POST request with missing email or password</t>
  </si>
  <si>
    <t>400 Bad Request; standard error structure</t>
  </si>
  <si>
    <t>AUTH-ME-01</t>
  </si>
  <si>
    <t>Retrieve current authenticated user</t>
  </si>
  <si>
    <t>Valid access token</t>
  </si>
  <si>
    <t>GET /api/v1/auth/me/ with Bearer token</t>
  </si>
  <si>
    <t>200 OK; authenticated user only</t>
  </si>
  <si>
    <t>AUTH-ME-02</t>
  </si>
  <si>
    <t>Current user without token</t>
  </si>
  <si>
    <t>None</t>
  </si>
  <si>
    <t>GET /api/v1/auth/me/ without Authorization</t>
  </si>
  <si>
    <t>401 Unauthorized; no account data returned</t>
  </si>
  <si>
    <t>JWT-REF-01</t>
  </si>
  <si>
    <t>Refresh valid access token</t>
  </si>
  <si>
    <t>Valid refresh token</t>
  </si>
  <si>
    <t>POST refresh token to /api/v1/auth/token/refresh/</t>
  </si>
  <si>
    <t>200 OK; new access token according to implementation</t>
  </si>
  <si>
    <t>JWT-REF-02</t>
  </si>
  <si>
    <t>Reject invalid refresh token</t>
  </si>
  <si>
    <t>Invalid refresh token</t>
  </si>
  <si>
    <t>POST invalid refresh token</t>
  </si>
  <si>
    <t>Rejected; no access token issued</t>
  </si>
  <si>
    <t>JWT-REF-03</t>
  </si>
  <si>
    <t>Reject blacklisted refresh token</t>
  </si>
  <si>
    <t>Blacklisting implemented; token logged out</t>
  </si>
  <si>
    <t>Reuse blacklisted refresh token</t>
  </si>
  <si>
    <t>Rejected according to JWT implementation</t>
  </si>
  <si>
    <t>AUTH-LOG-01</t>
  </si>
  <si>
    <t>Integration</t>
  </si>
  <si>
    <t>Logout invalidates session as designed</t>
  </si>
  <si>
    <t>Authenticated user; valid refresh token</t>
  </si>
  <si>
    <t>POST logout then attempt token reuse</t>
  </si>
  <si>
    <t>Logout succeeds; token reuse fails where blacklisting applies</t>
  </si>
  <si>
    <t>AUTH-PWR-01</t>
  </si>
  <si>
    <t>Medium</t>
  </si>
  <si>
    <t>Password reset request</t>
  </si>
  <si>
    <t>Reset endpoint enabled</t>
  </si>
  <si>
    <t>POST approved reset request</t>
  </si>
  <si>
    <t>Controlled success response; avoids unnecessary account disclosure</t>
  </si>
  <si>
    <t>AUTH-PWR-02</t>
  </si>
  <si>
    <t>Invalid password reset confirmation</t>
  </si>
  <si>
    <t>Invalid or expired reset credential</t>
  </si>
  <si>
    <t>POST reset confirmation with invalid credential</t>
  </si>
  <si>
    <t>Rejected; password unchanged</t>
  </si>
  <si>
    <t>PROF-GET-01</t>
  </si>
  <si>
    <t>Authenticated student retrieves own profile</t>
  </si>
  <si>
    <t>Student A has profile and valid token</t>
  </si>
  <si>
    <t>GET /api/v1/profile/ as Student A</t>
  </si>
  <si>
    <t>200 OK; only Student A profile data returned</t>
  </si>
  <si>
    <t>PROF-GET-02</t>
  </si>
  <si>
    <t>Profile request without authentication</t>
  </si>
  <si>
    <t>GET /api/v1/profile/ without token</t>
  </si>
  <si>
    <t>401 Unauthorized; no profile data returned</t>
  </si>
  <si>
    <t>PROF-GET-03</t>
  </si>
  <si>
    <t>Profile response contains approved collections</t>
  </si>
  <si>
    <t>Profile has related data</t>
  </si>
  <si>
    <t>GET /api/v1/profile/</t>
  </si>
  <si>
    <t>Response matches implemented profile contract</t>
  </si>
  <si>
    <t>PROF-PAT-01</t>
  </si>
  <si>
    <t>Valid partial profile update</t>
  </si>
  <si>
    <t>Authenticated Student A</t>
  </si>
  <si>
    <t>PATCH approved fields</t>
  </si>
  <si>
    <t>200 OK; submitted data updated; unrelated data preserved</t>
  </si>
  <si>
    <t>PROF-PAT-02</t>
  </si>
  <si>
    <t>Invalid profile field value</t>
  </si>
  <si>
    <t>PATCH invalid profile data</t>
  </si>
  <si>
    <t>400 Bad Request; invalid data not persisted</t>
  </si>
  <si>
    <t>PROF-PAT-03</t>
  </si>
  <si>
    <t>Empty partial request</t>
  </si>
  <si>
    <t>PATCH empty body</t>
  </si>
  <si>
    <t>Approved behaviour; no unintended deletion</t>
  </si>
  <si>
    <t>PROF-PAT-04</t>
  </si>
  <si>
    <t>Attempt ownership-field change</t>
  </si>
  <si>
    <t>PATCH another user_id or student_profile_id</t>
  </si>
  <si>
    <t>Ownership unchanged; field rejected or ignored</t>
  </si>
  <si>
    <t>PROF-PAT-05</t>
  </si>
  <si>
    <t>Profile update persists</t>
  </si>
  <si>
    <t>PATCH valid update then GET profile</t>
  </si>
  <si>
    <t>New value persists in PostgreSQL</t>
  </si>
  <si>
    <t>OWN-01</t>
  </si>
  <si>
    <t>Permission</t>
  </si>
  <si>
    <t>Student A reads own profile</t>
  </si>
  <si>
    <t>Student A and B exist</t>
  </si>
  <si>
    <t>GET own profile as Student A</t>
  </si>
  <si>
    <t>Access succeeds</t>
  </si>
  <si>
    <t>OWN-02</t>
  </si>
  <si>
    <t>Student B reads own profile</t>
  </si>
  <si>
    <t>GET own profile as Student B</t>
  </si>
  <si>
    <t>OWN-03</t>
  </si>
  <si>
    <t>Cross-student access blocked</t>
  </si>
  <si>
    <t>Attempt Student B data while authenticated as A</t>
  </si>
  <si>
    <t>No Student B protected data exposed</t>
  </si>
  <si>
    <t>OWN-04</t>
  </si>
  <si>
    <t>Cross-student ownership modification blocked</t>
  </si>
  <si>
    <t>Submit B identifier in A update</t>
  </si>
  <si>
    <t>Ownership cannot be transferred or B modified</t>
  </si>
  <si>
    <t>SKILL-01</t>
  </si>
  <si>
    <t>Add valid student skill</t>
  </si>
  <si>
    <t>Skill exists; feature implemented</t>
  </si>
  <si>
    <t>Submit valid StudentSkill relationship</t>
  </si>
  <si>
    <t>Created for authenticated StudentProfile</t>
  </si>
  <si>
    <t>SKILL-02</t>
  </si>
  <si>
    <t>Reject invalid skill reference</t>
  </si>
  <si>
    <t>Feature implemented</t>
  </si>
  <si>
    <t>Submit non-existent Skill ID</t>
  </si>
  <si>
    <t>400/404 per contract; no relationship created</t>
  </si>
  <si>
    <t>SKILL-03</t>
  </si>
  <si>
    <t>Validation</t>
  </si>
  <si>
    <t>Reject invalid proficiency level</t>
  </si>
  <si>
    <t>Scale confirmed</t>
  </si>
  <si>
    <t>Submit value outside approved set</t>
  </si>
  <si>
    <t>400 Bad Request; invalid relationship not persisted</t>
  </si>
  <si>
    <t>SKILL-04</t>
  </si>
  <si>
    <t>Prevent duplicate student skill</t>
  </si>
  <si>
    <t>Student already linked to Skill</t>
  </si>
  <si>
    <t>Submit duplicate relationship</t>
  </si>
  <si>
    <t>Duplicate prevented per model/API rules</t>
  </si>
  <si>
    <t>INT-01</t>
  </si>
  <si>
    <t>Add valid student interest</t>
  </si>
  <si>
    <t>Interest exists</t>
  </si>
  <si>
    <t>Submit valid StudentInterest relationship</t>
  </si>
  <si>
    <t>INT-02</t>
  </si>
  <si>
    <t>Reject invalid interest reference</t>
  </si>
  <si>
    <t>Submit non-existent Interest ID</t>
  </si>
  <si>
    <t>INT-03</t>
  </si>
  <si>
    <t>Protect shared Interest data</t>
  </si>
  <si>
    <t>Student profile API available</t>
  </si>
  <si>
    <t>Attempt shared Interest edit via student profile</t>
  </si>
  <si>
    <t>Shared reference data remains protected</t>
  </si>
  <si>
    <t>EDU-01</t>
  </si>
  <si>
    <t>Create valid education record</t>
  </si>
  <si>
    <t>Education feature implemented</t>
  </si>
  <si>
    <t>Submit valid education data</t>
  </si>
  <si>
    <t>Stored for authenticated StudentProfile</t>
  </si>
  <si>
    <t>EDU-02</t>
  </si>
  <si>
    <t>Reject invalid education date range</t>
  </si>
  <si>
    <t>Submit end date before start date where prohibited</t>
  </si>
  <si>
    <t>Validation error; invalid record not stored</t>
  </si>
  <si>
    <t>EXP-01</t>
  </si>
  <si>
    <t>Create valid experience record</t>
  </si>
  <si>
    <t>Experience feature implemented</t>
  </si>
  <si>
    <t>Submit valid experience data</t>
  </si>
  <si>
    <t>EXP-02</t>
  </si>
  <si>
    <t>Current experience date handling</t>
  </si>
  <si>
    <t>Submit is_current and end_date combination</t>
  </si>
  <si>
    <t>Consistent approved validation behaviour</t>
  </si>
  <si>
    <t>PROJ-01</t>
  </si>
  <si>
    <t>Create valid project record</t>
  </si>
  <si>
    <t>Project feature implemented</t>
  </si>
  <si>
    <t>Submit valid project data</t>
  </si>
  <si>
    <t>PROJ-02</t>
  </si>
  <si>
    <t>Reject invalid project URL</t>
  </si>
  <si>
    <t>URL validation implemented</t>
  </si>
  <si>
    <t>Submit malformed project_url</t>
  </si>
  <si>
    <t>400 Bad Request; invalid URL not persisted</t>
  </si>
  <si>
    <t>GOAL-01</t>
  </si>
  <si>
    <t>Create valid career goal</t>
  </si>
  <si>
    <t>CareerGoal feature implemented</t>
  </si>
  <si>
    <t>Submit target_role and optional description</t>
  </si>
  <si>
    <t>PERS-01</t>
  </si>
  <si>
    <t>Low</t>
  </si>
  <si>
    <t>Store approved personality response</t>
  </si>
  <si>
    <t>Questionnaire and values defined</t>
  </si>
  <si>
    <t>Submit approved question_key and response_value</t>
  </si>
  <si>
    <t>FE-AUTH-01</t>
  </si>
  <si>
    <t>Frontend registration flow</t>
  </si>
  <si>
    <t>React registration and backend available</t>
  </si>
  <si>
    <t>Complete registration through UI</t>
  </si>
  <si>
    <t>Correct request; successful response handled</t>
  </si>
  <si>
    <t>FE-AUTH-02</t>
  </si>
  <si>
    <t>Frontend login flow</t>
  </si>
  <si>
    <t>React login and backend available</t>
  </si>
  <si>
    <t>Log in through UI</t>
  </si>
  <si>
    <t>Authenticated state established</t>
  </si>
  <si>
    <t>FE-AUTH-03</t>
  </si>
  <si>
    <t>Frontend invalid login error</t>
  </si>
  <si>
    <t>React login available</t>
  </si>
  <si>
    <t>Use invalid credentials</t>
  </si>
  <si>
    <t>Controlled error shown; no authenticated state</t>
  </si>
  <si>
    <t>FE-AUTH-04</t>
  </si>
  <si>
    <t>Frontend token refresh behaviour</t>
  </si>
  <si>
    <t>JWT frontend strategy implemented</t>
  </si>
  <si>
    <t>Trigger expired access token flow</t>
  </si>
  <si>
    <t>Approved refresh or unauthenticated behaviour</t>
  </si>
  <si>
    <t>FE-AUTH-05</t>
  </si>
  <si>
    <t>Frontend logout flow</t>
  </si>
  <si>
    <t>Authenticated frontend session</t>
  </si>
  <si>
    <t>Use logout action</t>
  </si>
  <si>
    <t>Auth state cleared; protected UI unavailable</t>
  </si>
  <si>
    <t>FE-PROF-01</t>
  </si>
  <si>
    <t>Load profile in UI</t>
  </si>
  <si>
    <t>Authenticated frontend and profile API</t>
  </si>
  <si>
    <t>Open Student Profile page</t>
  </si>
  <si>
    <t>Correct Student data displayed</t>
  </si>
  <si>
    <t>FE-PROF-02</t>
  </si>
  <si>
    <t>Update profile in UI</t>
  </si>
  <si>
    <t>Authenticated frontend and update API</t>
  </si>
  <si>
    <t>Edit valid profile data and save</t>
  </si>
  <si>
    <t>PATCH succeeds; UI shows persisted changes</t>
  </si>
  <si>
    <t>FE-PROF-03</t>
  </si>
  <si>
    <t>Display profile validation error</t>
  </si>
  <si>
    <t>Authenticated frontend</t>
  </si>
  <si>
    <t>Submit invalid profile data</t>
  </si>
  <si>
    <t>Useful validation feedback; no false success</t>
  </si>
  <si>
    <t>FE-PROF-04</t>
  </si>
  <si>
    <t>Profile remains after reload</t>
  </si>
  <si>
    <t>Successful profile update</t>
  </si>
  <si>
    <t>Reload or refetch profile</t>
  </si>
  <si>
    <t>Persisted data still shown</t>
  </si>
  <si>
    <t>DB-01</t>
  </si>
  <si>
    <t>Django connects to PostgreSQL</t>
  </si>
  <si>
    <t>Configured test environment</t>
  </si>
  <si>
    <t>Execute database-backed request/test</t>
  </si>
  <si>
    <t>Connection succeeds to intended PostgreSQL database</t>
  </si>
  <si>
    <t>DB-02</t>
  </si>
  <si>
    <t>Migrations apply successfully</t>
  </si>
  <si>
    <t>Migration files available</t>
  </si>
  <si>
    <t>Run Django migrations</t>
  </si>
  <si>
    <t>Complete without unexpected errors</t>
  </si>
  <si>
    <t>DB-03</t>
  </si>
  <si>
    <t>Profile relationships persist</t>
  </si>
  <si>
    <t>Profile models implemented</t>
  </si>
  <si>
    <t>Create profile with related records then retrieve</t>
  </si>
  <si>
    <t>Relationships remain correct</t>
  </si>
  <si>
    <t>SEC-01</t>
  </si>
  <si>
    <t>Protected endpoint rejects missing JWT</t>
  </si>
  <si>
    <t>Protected endpoint available</t>
  </si>
  <si>
    <t>Call without Authorization header</t>
  </si>
  <si>
    <t>401 Unauthorized; no protected data</t>
  </si>
  <si>
    <t>SEC-02</t>
  </si>
  <si>
    <t>API errors hide internal details</t>
  </si>
  <si>
    <t>Safe error trigger available</t>
  </si>
  <si>
    <t>Trigger representative invalid/failing requests</t>
  </si>
  <si>
    <t>No stack traces, DB credentials, secrets, or server paths</t>
  </si>
  <si>
    <t>SEC-03</t>
  </si>
  <si>
    <t>Frontend contains no backend secrets</t>
  </si>
  <si>
    <t>React source/build available</t>
  </si>
  <si>
    <t>Inspect browser-visible configuration</t>
  </si>
  <si>
    <t>No DB password, signing secret, Django secret, or AI key</t>
  </si>
  <si>
    <t>SEC-04</t>
  </si>
  <si>
    <t>CORS limited to approved origin</t>
  </si>
  <si>
    <t>Frontend local origin confirmed</t>
  </si>
  <si>
    <t>Inspect/test CORS behaviour</t>
  </si>
  <si>
    <t>Only approved origins permitted</t>
  </si>
  <si>
    <t>REG-01</t>
  </si>
  <si>
    <t>Authentication regression pass</t>
  </si>
  <si>
    <t>Auth integrated with later changes</t>
  </si>
  <si>
    <t>Rerun completed auth automated/manual tests</t>
  </si>
  <si>
    <t>Previously passing auth behaviour still passes</t>
  </si>
  <si>
    <t>REG-02</t>
  </si>
  <si>
    <t>Student Profile regression pass</t>
  </si>
  <si>
    <t>Profile implementation integrated</t>
  </si>
  <si>
    <t>Rerun profile API, ownership, validation tests</t>
  </si>
  <si>
    <t>Previously passing profile behaviour still passes</t>
  </si>
  <si>
    <t>REG-03</t>
  </si>
  <si>
    <t>End-to-end Sprint 1 regression</t>
  </si>
  <si>
    <t>Sprint 1 integration complete</t>
  </si>
  <si>
    <t>Register/login/me/profile GET/profile PATCH/logout</t>
  </si>
  <si>
    <t>Complete flow succeeds with expected security/error behaviour</t>
  </si>
  <si>
    <t>Evidence Type</t>
  </si>
  <si>
    <t>Description</t>
  </si>
  <si>
    <t>Location / Link</t>
  </si>
  <si>
    <t>Captured By</t>
  </si>
  <si>
    <t>Date</t>
  </si>
  <si>
    <t>EV-001</t>
  </si>
  <si>
    <t>Automated Test Output</t>
  </si>
  <si>
    <t>Backend automated test result</t>
  </si>
  <si>
    <t>EV-002</t>
  </si>
  <si>
    <t>Postman</t>
  </si>
  <si>
    <t>Authentication API manual test evidence</t>
  </si>
  <si>
    <t>EV-003</t>
  </si>
  <si>
    <t>Screenshot</t>
  </si>
  <si>
    <t>Frontend authentication flow evidence</t>
  </si>
  <si>
    <t>EV-004</t>
  </si>
  <si>
    <t>Student Profile integration evidence</t>
  </si>
  <si>
    <t>EV-005</t>
  </si>
  <si>
    <t>PR / Review</t>
  </si>
  <si>
    <t>Relevant pull request or review evidence</t>
  </si>
  <si>
    <t>Reference</t>
  </si>
  <si>
    <t>Location</t>
  </si>
  <si>
    <t>Responsibility</t>
  </si>
  <si>
    <t>Unit</t>
  </si>
  <si>
    <t>Sprint 1 Test Plan</t>
  </si>
  <si>
    <t>docs/testing/sprint-1-test-plan.md</t>
  </si>
  <si>
    <t>Authentication implementation tests plus core Student Profile API behaviour</t>
  </si>
  <si>
    <t>Sprint 1 Integration Plan</t>
  </si>
  <si>
    <t>docs/system-design/sprint-1-integration-plan.md</t>
  </si>
  <si>
    <t>Frontend authentication/Profile tests and frontend secret exposure check</t>
  </si>
  <si>
    <t>REST API Design</t>
  </si>
  <si>
    <t>docs/system-design/rest-api-design.md</t>
  </si>
  <si>
    <t>Backend Profile verification, ownership, related profile data, database, CORS, and integration support</t>
  </si>
  <si>
    <t>Security Architecture</t>
  </si>
  <si>
    <t>docs/system-design/security-architecture.md</t>
  </si>
  <si>
    <t>Cross-team security, persistence, and regression checks</t>
  </si>
  <si>
    <t>Manual</t>
  </si>
  <si>
    <t>Student Profile Data Design</t>
  </si>
  <si>
    <t>docs/system-design/student-profile-data-design.md</t>
  </si>
  <si>
    <t>Auth API Testing</t>
  </si>
  <si>
    <t>backend/docs/AUTH_API_TESTING.md</t>
  </si>
  <si>
    <t>Field Guidance</t>
  </si>
  <si>
    <t>Meaning</t>
  </si>
  <si>
    <t>Person responsible for ensuring the test is completed</t>
  </si>
  <si>
    <t>Person who actually executes the test and records the result</t>
  </si>
  <si>
    <t>Waiting for MD's Student Profile backend implementation. No backend profile result is claimed.</t>
  </si>
  <si>
    <t>EV-001; EV-002; EV-003; EV-004; EV-005; EV-006</t>
  </si>
  <si>
    <t>Frontend integration testing only.</t>
  </si>
  <si>
    <t>EV-007; EV-011; EV-012; EV-013</t>
  </si>
  <si>
    <t>Frontend authentication state and routing verified.</t>
  </si>
  <si>
    <t>EV-008; EV-009; EV-010</t>
  </si>
  <si>
    <t>Invalid-login behaviour verified through the React UI.</t>
  </si>
  <si>
    <t>Observed flow: expired access request 401, refresh 200, retried /me/ 200. No screenshot packaged here.</t>
  </si>
  <si>
    <t>EV-014</t>
  </si>
  <si>
    <t>Frontend logout behaviour verified.</t>
  </si>
  <si>
    <t>Waiting for MD's Student Profile backend implementation. Frontend UI exists, but backend data load/update/persistence cannot be verified yet.</t>
  </si>
  <si>
    <t>Not executable yet because the Student Profile backend/API implementation required by this test is pending.</t>
  </si>
  <si>
    <t>Registration through React succeeded. Valid registration returned 201; weak-password and duplicate-email errors were displayed; password mismatch was blocked by frontend validation.</t>
  </si>
  <si>
    <t>Valid login returned 200, authenticated navigation/profile loaded, /me/ returned 200, protected-route return worked, and the session survived a normal page refresh.</t>
  </si>
  <si>
    <t>Wrong password and nonexistent-user attempts returned 401 with the same controlled credentials error. Missing fields were rejected by frontend validation.</t>
  </si>
  <si>
    <t>Automatic token refresh was manually verified earlier, but a dedicated screenshot is not included in this evidence package.</t>
  </si>
  <si>
    <t>Logout returned the frontend to /login and cleared GradNavi access token, refresh token, and stored-user entries from localStorage.</t>
  </si>
  <si>
    <t>Not executable yet because the Student Profile backend API required by this integration test is not available.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</si>
</sst>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0" fontId="3" fillId="0" borderId="1"/>
    <xf numFmtId="0" fontId="3" fillId="0" borderId="1"/>
    <xf numFmtId="0" fontId="3" fillId="0" borderId="1"/>
  </cellStyleXfs>
  <cellXfs count="9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0" borderId="1" xfId="3" applyAlignment="1">
      <alignment wrapText="1"/>
    </xf>
    <xf numFmtId="164" fontId="3" fillId="0" borderId="1" xfId="3" applyNumberFormat="1" applyAlignment="1">
      <alignment wrapText="1"/>
    </xf>
  </cellXfs>
  <cellStyles count="4">
    <cellStyle name="Normal" xfId="0" builtinId="0"/>
    <cellStyle name="Normal 2" xfId="1" xr:uid="{C3C0151A-5983-4143-803C-455A60ADA368}"/>
    <cellStyle name="Normal 3" xfId="2" xr:uid="{3F5EBA85-C488-4D43-98C2-3295708BE0CB}"/>
    <cellStyle name="Normal 4" xfId="3" xr:uid="{B7A6470D-3966-4C63-8A36-BC5385BF686D}"/>
  </cellStyles>
  <dxfs count="6">
    <dxf>
      <font>
        <color rgb="FF666666"/>
      </font>
      <fill>
        <patternFill>
          <bgColor rgb="FFEDEDED"/>
        </patternFill>
      </fill>
    </dxf>
    <dxf>
      <font>
        <color rgb="FF9C6500"/>
      </font>
      <fill>
        <patternFill>
          <bgColor rgb="FFFCE5CD"/>
        </patternFill>
      </fill>
    </dxf>
    <dxf>
      <font>
        <color rgb="FF9C0006"/>
      </font>
      <fill>
        <patternFill>
          <bgColor rgb="FFF4CCCC"/>
        </patternFill>
      </fill>
    </dxf>
    <dxf>
      <font>
        <color rgb="FF006100"/>
      </font>
      <fill>
        <patternFill>
          <bgColor rgb="FFE2F0D9"/>
        </patternFill>
      </fill>
    </dxf>
    <dxf>
      <font>
        <color rgb="FF9C6500"/>
      </font>
      <fill>
        <patternFill>
          <bgColor rgb="FFFCE5CD"/>
        </patternFill>
      </fill>
    </dxf>
    <dxf>
      <font>
        <b/>
        <color rgb="FF9C0006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AU"/>
              <a:t>Sprint 1 Test Status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Summary!$A$4:$A$8</c:f>
              <c:strCache>
                <c:ptCount val="5"/>
                <c:pt idx="0">
                  <c:v>Total Test Cases</c:v>
                </c:pt>
                <c:pt idx="1">
                  <c:v>Pass</c:v>
                </c:pt>
                <c:pt idx="2">
                  <c:v>Fail</c:v>
                </c:pt>
                <c:pt idx="3">
                  <c:v>Blocked</c:v>
                </c:pt>
                <c:pt idx="4">
                  <c:v>Not Run</c:v>
                </c:pt>
              </c:strCache>
            </c:strRef>
          </c:cat>
          <c:val>
            <c:numRef>
              <c:f>Summary!$B$4:$B$8</c:f>
              <c:numCache>
                <c:formatCode>General</c:formatCode>
                <c:ptCount val="5"/>
                <c:pt idx="0">
                  <c:v>61</c:v>
                </c:pt>
                <c:pt idx="1">
                  <c:v>5</c:v>
                </c:pt>
                <c:pt idx="2">
                  <c:v>0</c:v>
                </c:pt>
                <c:pt idx="3">
                  <c:v>23</c:v>
                </c:pt>
                <c:pt idx="4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55-4388-BB8E-5AAFC86FC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rint1TestCases" displayName="Sprint1TestCases" ref="A1:O62" totalsRowShown="0">
  <tableColumns count="15">
    <tableColumn id="1" xr3:uid="{00000000-0010-0000-0000-000001000000}" name="Test ID"/>
    <tableColumn id="2" xr3:uid="{00000000-0010-0000-0000-000002000000}" name="Area"/>
    <tableColumn id="3" xr3:uid="{00000000-0010-0000-0000-000003000000}" name="Test Type"/>
    <tableColumn id="4" xr3:uid="{00000000-0010-0000-0000-000004000000}" name="Priority"/>
    <tableColumn id="5" xr3:uid="{00000000-0010-0000-0000-000005000000}" name="Scenario"/>
    <tableColumn id="6" xr3:uid="{00000000-0010-0000-0000-000006000000}" name="Preconditions"/>
    <tableColumn id="7" xr3:uid="{00000000-0010-0000-0000-000007000000}" name="Test Steps"/>
    <tableColumn id="8" xr3:uid="{00000000-0010-0000-0000-000008000000}" name="Expected Result"/>
    <tableColumn id="9" xr3:uid="{00000000-0010-0000-0000-000009000000}" name="Actual Result"/>
    <tableColumn id="10" xr3:uid="{00000000-0010-0000-0000-00000A000000}" name="Status"/>
    <tableColumn id="11" xr3:uid="{00000000-0010-0000-0000-00000B000000}" name="Tester"/>
    <tableColumn id="12" xr3:uid="{00000000-0010-0000-0000-00000C000000}" name="Test Date"/>
    <tableColumn id="13" xr3:uid="{00000000-0010-0000-0000-00000D000000}" name="Evidence ID"/>
    <tableColumn id="14" xr3:uid="{00000000-0010-0000-0000-00000E000000}" name="Defect Reference"/>
    <tableColumn id="15" xr3:uid="{00000000-0010-0000-0000-00000F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Evidence" displayName="Sprint1Evidence" ref="A1:H200" totalsRowShown="0">
  <tableColumns count="8">
    <tableColumn id="1" xr3:uid="{00000000-0010-0000-0100-000001000000}" name="Evidence ID"/>
    <tableColumn id="2" xr3:uid="{00000000-0010-0000-0100-000002000000}" name="Test ID"/>
    <tableColumn id="3" xr3:uid="{00000000-0010-0000-0100-000003000000}" name="Evidence Type"/>
    <tableColumn id="4" xr3:uid="{00000000-0010-0000-0100-000004000000}" name="Description"/>
    <tableColumn id="5" xr3:uid="{00000000-0010-0000-0100-000005000000}" name="Location / Link"/>
    <tableColumn id="6" xr3:uid="{00000000-0010-0000-0100-000006000000}" name="Captured By"/>
    <tableColumn id="7" xr3:uid="{00000000-0010-0000-0100-000007000000}" name="Date"/>
    <tableColumn id="8" xr3:uid="{00000000-0010-0000-0100-000008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1ReferenceValues" displayName="Sprint1ReferenceValues" ref="A1:D18" totalsRowShown="0">
  <tableColumns count="4">
    <tableColumn id="1" xr3:uid="{00000000-0010-0000-0200-000001000000}" name="Status"/>
    <tableColumn id="2" xr3:uid="{00000000-0010-0000-0200-000002000000}" name="Test Type"/>
    <tableColumn id="3" xr3:uid="{00000000-0010-0000-0200-000003000000}" name="Priority"/>
    <tableColumn id="4" xr3:uid="{00000000-0010-0000-0200-000004000000}" name="Are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workbookViewId="0">
      <selection sqref="A1:H1"/>
    </sheetView>
  </sheetViews>
  <sheetFormatPr defaultRowHeight="14.25"/>
  <cols>
    <col min="1" max="1" width="24" customWidth="1"/>
    <col min="2" max="2" width="16" customWidth="1"/>
    <col min="4" max="4" width="22" customWidth="1"/>
    <col min="5" max="6" width="12" customWidth="1"/>
    <col min="8" max="8" width="14" customWidth="1"/>
    <col min="9" max="10" width="12" customWidth="1"/>
  </cols>
  <sheetData>
    <row r="1" spans="1:14" ht="20.25">
      <c r="A1" s="6" t="s">
        <v>0</v>
      </c>
      <c r="B1" s="6"/>
      <c r="C1" s="6"/>
      <c r="D1" s="6"/>
      <c r="E1" s="6"/>
      <c r="F1" s="6"/>
      <c r="G1" s="6"/>
      <c r="H1" s="6"/>
      <c r="I1" s="2"/>
      <c r="J1" s="2"/>
      <c r="K1" s="2"/>
      <c r="L1" s="2"/>
      <c r="M1" s="2"/>
      <c r="N1" s="2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15">
      <c r="A3" s="1" t="s">
        <v>1</v>
      </c>
      <c r="B3" s="1" t="s">
        <v>2</v>
      </c>
      <c r="C3" s="2"/>
      <c r="D3" s="1" t="s">
        <v>3</v>
      </c>
      <c r="E3" s="1" t="s">
        <v>4</v>
      </c>
      <c r="F3" s="1" t="s">
        <v>5</v>
      </c>
      <c r="G3" s="2"/>
      <c r="H3" s="2"/>
      <c r="I3" s="2"/>
      <c r="J3" s="2"/>
      <c r="K3" s="2"/>
      <c r="L3" s="2"/>
      <c r="M3" s="2"/>
      <c r="N3" s="2"/>
    </row>
    <row r="4" spans="1:14">
      <c r="A4" s="2" t="s">
        <v>6</v>
      </c>
      <c r="B4" s="2">
        <f>COUNTA('Test Cases'!A2:A62)</f>
        <v>61</v>
      </c>
      <c r="C4" s="2"/>
      <c r="D4" s="2" t="s">
        <v>7</v>
      </c>
      <c r="E4" s="2">
        <f>COUNTIF('Test Cases'!B$2:B$62,D4)</f>
        <v>10</v>
      </c>
      <c r="F4" s="2">
        <f>COUNTIFS('Test Cases'!B$2:B$62,D4,'Test Cases'!J$2:J$62,"Pass")</f>
        <v>0</v>
      </c>
      <c r="G4" s="2"/>
      <c r="H4" s="2"/>
      <c r="I4" s="2"/>
      <c r="J4" s="2"/>
      <c r="K4" s="2"/>
      <c r="L4" s="2"/>
      <c r="M4" s="2"/>
      <c r="N4" s="2"/>
    </row>
    <row r="5" spans="1:14">
      <c r="A5" s="2" t="s">
        <v>8</v>
      </c>
      <c r="B5" s="2">
        <f>COUNTIF('Test Cases'!J2:J62,"Pass")</f>
        <v>5</v>
      </c>
      <c r="C5" s="2"/>
      <c r="D5" s="2" t="s">
        <v>9</v>
      </c>
      <c r="E5" s="2">
        <f>COUNTIF('Test Cases'!B$2:B$62,D5)</f>
        <v>3</v>
      </c>
      <c r="F5" s="2">
        <f>COUNTIFS('Test Cases'!B$2:B$62,D5,'Test Cases'!J$2:J$62,"Pass")</f>
        <v>0</v>
      </c>
      <c r="G5" s="2"/>
      <c r="H5" s="2"/>
      <c r="I5" s="2"/>
      <c r="J5" s="2"/>
      <c r="K5" s="2"/>
      <c r="L5" s="2"/>
      <c r="M5" s="2"/>
      <c r="N5" s="2"/>
    </row>
    <row r="6" spans="1:14">
      <c r="A6" s="2" t="s">
        <v>10</v>
      </c>
      <c r="B6" s="2">
        <f>COUNTIF('Test Cases'!J2:J62,"Fail")</f>
        <v>0</v>
      </c>
      <c r="C6" s="2"/>
      <c r="D6" s="2" t="s">
        <v>11</v>
      </c>
      <c r="E6" s="2">
        <f>COUNTIF('Test Cases'!B$2:B$62,D6)</f>
        <v>2</v>
      </c>
      <c r="F6" s="2">
        <f>COUNTIFS('Test Cases'!B$2:B$62,D6,'Test Cases'!J$2:J$62,"Pass")</f>
        <v>0</v>
      </c>
      <c r="G6" s="2"/>
      <c r="H6" s="2"/>
      <c r="I6" s="2"/>
      <c r="J6" s="2"/>
      <c r="K6" s="2"/>
      <c r="L6" s="2"/>
      <c r="M6" s="2"/>
      <c r="N6" s="2"/>
    </row>
    <row r="7" spans="1:14">
      <c r="A7" s="2" t="s">
        <v>12</v>
      </c>
      <c r="B7" s="2">
        <f>COUNTIF('Test Cases'!J2:J62,"Blocked")</f>
        <v>23</v>
      </c>
      <c r="C7" s="2"/>
      <c r="D7" s="2" t="s">
        <v>13</v>
      </c>
      <c r="E7" s="2">
        <f>COUNTIF('Test Cases'!B$2:B$62,D7)</f>
        <v>8</v>
      </c>
      <c r="F7" s="2">
        <f>COUNTIFS('Test Cases'!B$2:B$62,D7,'Test Cases'!J$2:J$62,"Pass")</f>
        <v>0</v>
      </c>
      <c r="G7" s="2"/>
      <c r="H7" s="2"/>
      <c r="I7" s="2"/>
      <c r="J7" s="2"/>
      <c r="K7" s="2"/>
      <c r="L7" s="2"/>
      <c r="M7" s="2"/>
      <c r="N7" s="2"/>
    </row>
    <row r="8" spans="1:14">
      <c r="A8" s="2" t="s">
        <v>14</v>
      </c>
      <c r="B8" s="2">
        <f>COUNTIF('Test Cases'!J2:J62,"Not Run")</f>
        <v>33</v>
      </c>
      <c r="C8" s="2"/>
      <c r="D8" s="2" t="s">
        <v>15</v>
      </c>
      <c r="E8" s="2">
        <f>COUNTIF('Test Cases'!B$2:B$62,D8)</f>
        <v>4</v>
      </c>
      <c r="F8" s="2">
        <f>COUNTIFS('Test Cases'!B$2:B$62,D8,'Test Cases'!J$2:J$62,"Pass")</f>
        <v>0</v>
      </c>
      <c r="G8" s="2"/>
      <c r="H8" s="2"/>
      <c r="I8" s="2"/>
      <c r="J8" s="2"/>
      <c r="K8" s="2"/>
      <c r="L8" s="2"/>
      <c r="M8" s="2"/>
      <c r="N8" s="2"/>
    </row>
    <row r="9" spans="1:14">
      <c r="A9" s="2"/>
      <c r="B9" s="2"/>
      <c r="C9" s="2"/>
      <c r="D9" s="2" t="s">
        <v>16</v>
      </c>
      <c r="E9" s="2">
        <f>COUNTIF('Test Cases'!B$2:B$62,D9)</f>
        <v>4</v>
      </c>
      <c r="F9" s="2">
        <f>COUNTIFS('Test Cases'!B$2:B$62,D9,'Test Cases'!J$2:J$62,"Pass")</f>
        <v>0</v>
      </c>
      <c r="G9" s="2"/>
      <c r="H9" s="2"/>
      <c r="I9" s="2"/>
      <c r="J9" s="2"/>
      <c r="K9" s="2"/>
      <c r="L9" s="2"/>
      <c r="M9" s="2"/>
      <c r="N9" s="2"/>
    </row>
    <row r="10" spans="1:14">
      <c r="A10" s="2"/>
      <c r="B10" s="2"/>
      <c r="C10" s="2"/>
      <c r="D10" s="2" t="s">
        <v>17</v>
      </c>
      <c r="E10" s="2">
        <f>COUNTIF('Test Cases'!B$2:B$62,D10)</f>
        <v>3</v>
      </c>
      <c r="F10" s="2">
        <f>COUNTIFS('Test Cases'!B$2:B$62,D10,'Test Cases'!J$2:J$62,"Pass")</f>
        <v>0</v>
      </c>
      <c r="G10" s="2"/>
      <c r="H10" s="2"/>
      <c r="I10" s="2"/>
      <c r="J10" s="2"/>
      <c r="K10" s="2"/>
      <c r="L10" s="2"/>
      <c r="M10" s="2"/>
      <c r="N10" s="2"/>
    </row>
    <row r="11" spans="1:14" ht="15">
      <c r="A11" s="1" t="s">
        <v>18</v>
      </c>
      <c r="B11" s="1" t="s">
        <v>19</v>
      </c>
      <c r="C11" s="2"/>
      <c r="D11" s="2" t="s">
        <v>20</v>
      </c>
      <c r="E11" s="2">
        <f>COUNTIF('Test Cases'!B$2:B$62,D11)</f>
        <v>2</v>
      </c>
      <c r="F11" s="2">
        <f>COUNTIFS('Test Cases'!B$2:B$62,D11,'Test Cases'!J$2:J$62,"Pass")</f>
        <v>0</v>
      </c>
      <c r="G11" s="2"/>
      <c r="H11" s="2"/>
      <c r="I11" s="2"/>
      <c r="J11" s="2"/>
      <c r="K11" s="2"/>
      <c r="L11" s="2"/>
      <c r="M11" s="2"/>
      <c r="N11" s="2"/>
    </row>
    <row r="12" spans="1:14">
      <c r="A12" s="2" t="s">
        <v>21</v>
      </c>
      <c r="B12" s="2" t="str">
        <f>IF(COUNTIFS('Test Cases'!D2:D62,"Critical",'Test Cases'!J2:J62,"Fail")+COUNTIFS('Test Cases'!D2:D62,"Critical",'Test Cases'!J2:J62,"Blocked")&gt;0,"NOT READY",IF(COUNTIFS('Test Cases'!D2:D62,"Critical",'Test Cases'!J2:J62,"Not Run")&gt;0,"PENDING","READY"))</f>
        <v>NOT READY</v>
      </c>
      <c r="C12" s="2"/>
      <c r="D12" s="2" t="s">
        <v>22</v>
      </c>
      <c r="E12" s="2">
        <f>COUNTIF('Test Cases'!B$2:B$62,D12)</f>
        <v>2</v>
      </c>
      <c r="F12" s="2">
        <f>COUNTIFS('Test Cases'!B$2:B$62,D12,'Test Cases'!J$2:J$62,"Pass")</f>
        <v>0</v>
      </c>
      <c r="G12" s="2"/>
      <c r="H12" s="2"/>
      <c r="I12" s="2"/>
      <c r="J12" s="2"/>
      <c r="K12" s="2"/>
      <c r="L12" s="2"/>
      <c r="M12" s="2"/>
      <c r="N12" s="2"/>
    </row>
    <row r="13" spans="1:14">
      <c r="A13" s="2" t="s">
        <v>23</v>
      </c>
      <c r="B13" s="2" t="str">
        <f>IF(COUNTIFS('Test Cases'!C2:C62,"Integration",'Test Cases'!J2:J62,"Fail")+COUNTIFS('Test Cases'!C2:C62,"Integration",'Test Cases'!J2:J62,"Blocked")&gt;0,"NOT READY",IF(COUNTIFS('Test Cases'!C2:C62,"Integration",'Test Cases'!J2:J62,"Not Run")&gt;0,"PENDING","READY"))</f>
        <v>NOT READY</v>
      </c>
      <c r="C13" s="2"/>
      <c r="D13" s="2" t="s">
        <v>24</v>
      </c>
      <c r="E13" s="2">
        <f>COUNTIF('Test Cases'!B$2:B$62,D13)</f>
        <v>2</v>
      </c>
      <c r="F13" s="2">
        <f>COUNTIFS('Test Cases'!B$2:B$62,D13,'Test Cases'!J$2:J$62,"Pass")</f>
        <v>0</v>
      </c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 t="s">
        <v>25</v>
      </c>
      <c r="E14" s="2">
        <f>COUNTIF('Test Cases'!B$2:B$62,D14)</f>
        <v>1</v>
      </c>
      <c r="F14" s="2">
        <f>COUNTIFS('Test Cases'!B$2:B$62,D14,'Test Cases'!J$2:J$62,"Pass")</f>
        <v>0</v>
      </c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 t="s">
        <v>26</v>
      </c>
      <c r="E15" s="2">
        <f>COUNTIF('Test Cases'!B$2:B$62,D15)</f>
        <v>1</v>
      </c>
      <c r="F15" s="2">
        <f>COUNTIFS('Test Cases'!B$2:B$62,D15,'Test Cases'!J$2:J$62,"Pass")</f>
        <v>0</v>
      </c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 t="s">
        <v>27</v>
      </c>
      <c r="E16" s="2">
        <f>COUNTIF('Test Cases'!B$2:B$62,D16)</f>
        <v>5</v>
      </c>
      <c r="F16" s="2">
        <f>COUNTIFS('Test Cases'!B$2:B$62,D16,'Test Cases'!J$2:J$62,"Pass")</f>
        <v>5</v>
      </c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 t="s">
        <v>28</v>
      </c>
      <c r="E17" s="2">
        <f>COUNTIF('Test Cases'!B$2:B$62,D17)</f>
        <v>4</v>
      </c>
      <c r="F17" s="2">
        <f>COUNTIFS('Test Cases'!B$2:B$62,D17,'Test Cases'!J$2:J$62,"Pass")</f>
        <v>0</v>
      </c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 t="s">
        <v>29</v>
      </c>
      <c r="E18" s="2">
        <f>COUNTIF('Test Cases'!B$2:B$62,D18)</f>
        <v>3</v>
      </c>
      <c r="F18" s="2">
        <f>COUNTIFS('Test Cases'!B$2:B$62,D18,'Test Cases'!J$2:J$62,"Pass")</f>
        <v>0</v>
      </c>
      <c r="G18" s="2"/>
      <c r="H18" s="2"/>
      <c r="I18" s="2"/>
      <c r="J18" s="2"/>
      <c r="K18" s="2"/>
      <c r="L18" s="2"/>
      <c r="M18" s="2"/>
      <c r="N18" s="2"/>
    </row>
    <row r="19" spans="1:14" ht="15">
      <c r="A19" s="2"/>
      <c r="B19" s="2"/>
      <c r="C19" s="2"/>
      <c r="D19" s="2" t="s">
        <v>30</v>
      </c>
      <c r="E19" s="2">
        <f>COUNTIF('Test Cases'!B$2:B$62,D19)</f>
        <v>4</v>
      </c>
      <c r="F19" s="2">
        <f>COUNTIFS('Test Cases'!B$2:B$62,D19,'Test Cases'!J$2:J$62,"Pass")</f>
        <v>0</v>
      </c>
      <c r="G19" s="2"/>
      <c r="H19" s="4" t="s">
        <v>31</v>
      </c>
      <c r="I19" s="4" t="s">
        <v>32</v>
      </c>
      <c r="J19" s="4" t="s">
        <v>5</v>
      </c>
      <c r="K19" s="2"/>
      <c r="L19" s="2"/>
      <c r="M19" s="2"/>
      <c r="N19" s="2"/>
    </row>
    <row r="20" spans="1:14">
      <c r="A20" s="2"/>
      <c r="B20" s="2"/>
      <c r="C20" s="2"/>
      <c r="D20" s="2" t="s">
        <v>33</v>
      </c>
      <c r="E20" s="2">
        <f>COUNTIF('Test Cases'!B$2:B$62,D20)</f>
        <v>3</v>
      </c>
      <c r="F20" s="2">
        <f>COUNTIFS('Test Cases'!B$2:B$62,D20,'Test Cases'!J$2:J$62,"Pass")</f>
        <v>0</v>
      </c>
      <c r="G20" s="2"/>
      <c r="H20" s="2" t="s">
        <v>34</v>
      </c>
      <c r="I20" s="2">
        <f>COUNTIF('Test Cases'!P$2:P$62,H20)</f>
        <v>22</v>
      </c>
      <c r="J20" s="2">
        <f>COUNTIFS('Test Cases'!P$2:P$62,H20,'Test Cases'!J$2:J$62,"Pass")</f>
        <v>0</v>
      </c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 t="s">
        <v>35</v>
      </c>
      <c r="I21" s="2">
        <f>COUNTIF('Test Cases'!P$2:P$62,H21)</f>
        <v>10</v>
      </c>
      <c r="J21" s="2">
        <f>COUNTIFS('Test Cases'!P$2:P$62,H21,'Test Cases'!J$2:J$62,"Pass")</f>
        <v>5</v>
      </c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 t="s">
        <v>36</v>
      </c>
      <c r="I22" s="2">
        <f>COUNTIF('Test Cases'!P$2:P$62,H22)</f>
        <v>23</v>
      </c>
      <c r="J22" s="2">
        <f>COUNTIFS('Test Cases'!P$2:P$62,H22,'Test Cases'!J$2:J$62,"Pass")</f>
        <v>0</v>
      </c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 t="s">
        <v>37</v>
      </c>
      <c r="I23" s="2">
        <f>COUNTIF('Test Cases'!P$2:P$62,H23)</f>
        <v>6</v>
      </c>
      <c r="J23" s="2">
        <f>COUNTIFS('Test Cases'!P$2:P$62,H23,'Test Cases'!J$2:J$62,"Pass")</f>
        <v>0</v>
      </c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2"/>
  <sheetViews>
    <sheetView tabSelected="1" topLeftCell="A46" workbookViewId="0">
      <selection activeCell="M53" sqref="M53"/>
    </sheetView>
  </sheetViews>
  <sheetFormatPr defaultRowHeight="14.25"/>
  <cols>
    <col min="1" max="1" width="14" customWidth="1"/>
    <col min="2" max="2" width="18" customWidth="1"/>
    <col min="3" max="3" width="14" customWidth="1"/>
    <col min="4" max="4" width="11" customWidth="1"/>
    <col min="5" max="6" width="28" customWidth="1"/>
    <col min="7" max="8" width="38" customWidth="1"/>
    <col min="9" max="9" width="28" customWidth="1"/>
    <col min="10" max="10" width="12" customWidth="1"/>
    <col min="11" max="11" width="16" customWidth="1"/>
    <col min="12" max="12" width="13" customWidth="1"/>
    <col min="13" max="13" width="14" customWidth="1"/>
    <col min="14" max="14" width="18" customWidth="1"/>
    <col min="15" max="15" width="24" customWidth="1"/>
    <col min="16" max="16" width="14" customWidth="1"/>
  </cols>
  <sheetData>
    <row r="1" spans="1:16" ht="15">
      <c r="A1" s="1" t="s">
        <v>38</v>
      </c>
      <c r="B1" s="1" t="s">
        <v>3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19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  <c r="P1" s="4" t="s">
        <v>31</v>
      </c>
    </row>
    <row r="2" spans="1:16" ht="29.25">
      <c r="A2" s="2" t="s">
        <v>51</v>
      </c>
      <c r="B2" s="2" t="s">
        <v>7</v>
      </c>
      <c r="C2" s="2" t="s">
        <v>52</v>
      </c>
      <c r="D2" s="2" t="s">
        <v>53</v>
      </c>
      <c r="E2" s="2" t="s">
        <v>54</v>
      </c>
      <c r="F2" s="2" t="s">
        <v>55</v>
      </c>
      <c r="G2" s="2" t="s">
        <v>56</v>
      </c>
      <c r="H2" s="2" t="s">
        <v>57</v>
      </c>
      <c r="I2" s="7"/>
      <c r="J2" s="7" t="s">
        <v>14</v>
      </c>
      <c r="K2" s="7"/>
      <c r="L2" s="8"/>
      <c r="M2" s="7"/>
      <c r="N2" s="7"/>
      <c r="O2" s="7"/>
      <c r="P2" s="2" t="s">
        <v>34</v>
      </c>
    </row>
    <row r="3" spans="1:16" ht="28.5">
      <c r="A3" s="2" t="s">
        <v>58</v>
      </c>
      <c r="B3" s="2" t="s">
        <v>7</v>
      </c>
      <c r="C3" s="2" t="s">
        <v>52</v>
      </c>
      <c r="D3" s="2" t="s">
        <v>59</v>
      </c>
      <c r="E3" s="2" t="s">
        <v>60</v>
      </c>
      <c r="F3" s="2" t="s">
        <v>61</v>
      </c>
      <c r="G3" s="2" t="s">
        <v>62</v>
      </c>
      <c r="H3" s="2" t="s">
        <v>63</v>
      </c>
      <c r="I3" s="7"/>
      <c r="J3" s="7" t="s">
        <v>14</v>
      </c>
      <c r="K3" s="7"/>
      <c r="L3" s="8"/>
      <c r="M3" s="7"/>
      <c r="N3" s="7"/>
      <c r="O3" s="7"/>
      <c r="P3" s="2" t="s">
        <v>34</v>
      </c>
    </row>
    <row r="4" spans="1:16" ht="28.5">
      <c r="A4" s="2" t="s">
        <v>64</v>
      </c>
      <c r="B4" s="2" t="s">
        <v>7</v>
      </c>
      <c r="C4" s="2" t="s">
        <v>52</v>
      </c>
      <c r="D4" s="2" t="s">
        <v>59</v>
      </c>
      <c r="E4" s="2" t="s">
        <v>65</v>
      </c>
      <c r="F4" s="2" t="s">
        <v>66</v>
      </c>
      <c r="G4" s="2" t="s">
        <v>67</v>
      </c>
      <c r="H4" s="2" t="s">
        <v>68</v>
      </c>
      <c r="I4" s="7"/>
      <c r="J4" s="7" t="s">
        <v>14</v>
      </c>
      <c r="K4" s="7"/>
      <c r="L4" s="8"/>
      <c r="M4" s="7"/>
      <c r="N4" s="7"/>
      <c r="O4" s="7"/>
      <c r="P4" s="2" t="s">
        <v>34</v>
      </c>
    </row>
    <row r="5" spans="1:16" ht="29.25">
      <c r="A5" s="2" t="s">
        <v>69</v>
      </c>
      <c r="B5" s="2" t="s">
        <v>7</v>
      </c>
      <c r="C5" s="2" t="s">
        <v>30</v>
      </c>
      <c r="D5" s="2" t="s">
        <v>53</v>
      </c>
      <c r="E5" s="2" t="s">
        <v>70</v>
      </c>
      <c r="F5" s="2" t="s">
        <v>61</v>
      </c>
      <c r="G5" s="2" t="s">
        <v>71</v>
      </c>
      <c r="H5" s="2" t="s">
        <v>72</v>
      </c>
      <c r="I5" s="7"/>
      <c r="J5" s="7" t="s">
        <v>14</v>
      </c>
      <c r="K5" s="7"/>
      <c r="L5" s="8"/>
      <c r="M5" s="7"/>
      <c r="N5" s="7"/>
      <c r="O5" s="7"/>
      <c r="P5" s="2" t="s">
        <v>34</v>
      </c>
    </row>
    <row r="6" spans="1:16" ht="29.25">
      <c r="A6" s="2" t="s">
        <v>73</v>
      </c>
      <c r="B6" s="2" t="s">
        <v>7</v>
      </c>
      <c r="C6" s="2" t="s">
        <v>52</v>
      </c>
      <c r="D6" s="2" t="s">
        <v>53</v>
      </c>
      <c r="E6" s="2" t="s">
        <v>74</v>
      </c>
      <c r="F6" s="2" t="s">
        <v>75</v>
      </c>
      <c r="G6" s="2" t="s">
        <v>76</v>
      </c>
      <c r="H6" s="2" t="s">
        <v>77</v>
      </c>
      <c r="I6" s="7"/>
      <c r="J6" s="7" t="s">
        <v>14</v>
      </c>
      <c r="K6" s="7"/>
      <c r="L6" s="8"/>
      <c r="M6" s="7"/>
      <c r="N6" s="7"/>
      <c r="O6" s="7"/>
      <c r="P6" s="2" t="s">
        <v>34</v>
      </c>
    </row>
    <row r="7" spans="1:16" ht="29.25">
      <c r="A7" s="2" t="s">
        <v>78</v>
      </c>
      <c r="B7" s="2" t="s">
        <v>7</v>
      </c>
      <c r="C7" s="2" t="s">
        <v>52</v>
      </c>
      <c r="D7" s="2" t="s">
        <v>53</v>
      </c>
      <c r="E7" s="2" t="s">
        <v>79</v>
      </c>
      <c r="F7" s="2" t="s">
        <v>75</v>
      </c>
      <c r="G7" s="2" t="s">
        <v>80</v>
      </c>
      <c r="H7" s="2" t="s">
        <v>81</v>
      </c>
      <c r="I7" s="7"/>
      <c r="J7" s="7" t="s">
        <v>14</v>
      </c>
      <c r="K7" s="7"/>
      <c r="L7" s="8"/>
      <c r="M7" s="7"/>
      <c r="N7" s="7"/>
      <c r="O7" s="7"/>
      <c r="P7" s="2" t="s">
        <v>34</v>
      </c>
    </row>
    <row r="8" spans="1:16" ht="28.5">
      <c r="A8" s="2" t="s">
        <v>82</v>
      </c>
      <c r="B8" s="2" t="s">
        <v>7</v>
      </c>
      <c r="C8" s="2" t="s">
        <v>52</v>
      </c>
      <c r="D8" s="2" t="s">
        <v>59</v>
      </c>
      <c r="E8" s="2" t="s">
        <v>83</v>
      </c>
      <c r="F8" s="2" t="s">
        <v>84</v>
      </c>
      <c r="G8" s="2" t="s">
        <v>85</v>
      </c>
      <c r="H8" s="2" t="s">
        <v>86</v>
      </c>
      <c r="I8" s="7"/>
      <c r="J8" s="7" t="s">
        <v>14</v>
      </c>
      <c r="K8" s="7"/>
      <c r="L8" s="8"/>
      <c r="M8" s="7"/>
      <c r="N8" s="7"/>
      <c r="O8" s="7"/>
      <c r="P8" s="2" t="s">
        <v>34</v>
      </c>
    </row>
    <row r="9" spans="1:16" ht="29.25">
      <c r="A9" s="2" t="s">
        <v>87</v>
      </c>
      <c r="B9" s="2" t="s">
        <v>11</v>
      </c>
      <c r="C9" s="2" t="s">
        <v>52</v>
      </c>
      <c r="D9" s="2" t="s">
        <v>53</v>
      </c>
      <c r="E9" s="2" t="s">
        <v>88</v>
      </c>
      <c r="F9" s="2" t="s">
        <v>89</v>
      </c>
      <c r="G9" s="2" t="s">
        <v>90</v>
      </c>
      <c r="H9" s="2" t="s">
        <v>91</v>
      </c>
      <c r="I9" s="7"/>
      <c r="J9" s="7" t="s">
        <v>14</v>
      </c>
      <c r="K9" s="7"/>
      <c r="L9" s="8"/>
      <c r="M9" s="7"/>
      <c r="N9" s="7"/>
      <c r="O9" s="7"/>
      <c r="P9" s="2" t="s">
        <v>34</v>
      </c>
    </row>
    <row r="10" spans="1:16" ht="15">
      <c r="A10" s="2" t="s">
        <v>92</v>
      </c>
      <c r="B10" s="2" t="s">
        <v>11</v>
      </c>
      <c r="C10" s="2" t="s">
        <v>30</v>
      </c>
      <c r="D10" s="2" t="s">
        <v>53</v>
      </c>
      <c r="E10" s="2" t="s">
        <v>93</v>
      </c>
      <c r="F10" s="2" t="s">
        <v>94</v>
      </c>
      <c r="G10" s="2" t="s">
        <v>95</v>
      </c>
      <c r="H10" s="2" t="s">
        <v>96</v>
      </c>
      <c r="I10" s="7"/>
      <c r="J10" s="7" t="s">
        <v>14</v>
      </c>
      <c r="K10" s="7"/>
      <c r="L10" s="8"/>
      <c r="M10" s="7"/>
      <c r="N10" s="7"/>
      <c r="O10" s="7"/>
      <c r="P10" s="2" t="s">
        <v>34</v>
      </c>
    </row>
    <row r="11" spans="1:16" ht="29.25">
      <c r="A11" s="2" t="s">
        <v>97</v>
      </c>
      <c r="B11" s="2" t="s">
        <v>9</v>
      </c>
      <c r="C11" s="2" t="s">
        <v>52</v>
      </c>
      <c r="D11" s="2" t="s">
        <v>53</v>
      </c>
      <c r="E11" s="2" t="s">
        <v>98</v>
      </c>
      <c r="F11" s="2" t="s">
        <v>99</v>
      </c>
      <c r="G11" s="2" t="s">
        <v>100</v>
      </c>
      <c r="H11" s="2" t="s">
        <v>101</v>
      </c>
      <c r="I11" s="7"/>
      <c r="J11" s="7" t="s">
        <v>14</v>
      </c>
      <c r="K11" s="7"/>
      <c r="L11" s="8"/>
      <c r="M11" s="7"/>
      <c r="N11" s="7"/>
      <c r="O11" s="7"/>
      <c r="P11" s="2" t="s">
        <v>34</v>
      </c>
    </row>
    <row r="12" spans="1:16" ht="15">
      <c r="A12" s="2" t="s">
        <v>102</v>
      </c>
      <c r="B12" s="2" t="s">
        <v>9</v>
      </c>
      <c r="C12" s="2" t="s">
        <v>30</v>
      </c>
      <c r="D12" s="2" t="s">
        <v>53</v>
      </c>
      <c r="E12" s="2" t="s">
        <v>103</v>
      </c>
      <c r="F12" s="2" t="s">
        <v>104</v>
      </c>
      <c r="G12" s="2" t="s">
        <v>105</v>
      </c>
      <c r="H12" s="2" t="s">
        <v>106</v>
      </c>
      <c r="I12" s="7"/>
      <c r="J12" s="7" t="s">
        <v>14</v>
      </c>
      <c r="K12" s="7"/>
      <c r="L12" s="8"/>
      <c r="M12" s="7"/>
      <c r="N12" s="7"/>
      <c r="O12" s="7"/>
      <c r="P12" s="2" t="s">
        <v>34</v>
      </c>
    </row>
    <row r="13" spans="1:16" ht="28.5">
      <c r="A13" s="2" t="s">
        <v>107</v>
      </c>
      <c r="B13" s="2" t="s">
        <v>9</v>
      </c>
      <c r="C13" s="2" t="s">
        <v>30</v>
      </c>
      <c r="D13" s="2" t="s">
        <v>59</v>
      </c>
      <c r="E13" s="2" t="s">
        <v>108</v>
      </c>
      <c r="F13" s="2" t="s">
        <v>109</v>
      </c>
      <c r="G13" s="2" t="s">
        <v>110</v>
      </c>
      <c r="H13" s="2" t="s">
        <v>111</v>
      </c>
      <c r="I13" s="7"/>
      <c r="J13" s="7" t="s">
        <v>14</v>
      </c>
      <c r="K13" s="7"/>
      <c r="L13" s="8"/>
      <c r="M13" s="7"/>
      <c r="N13" s="7"/>
      <c r="O13" s="7"/>
      <c r="P13" s="2" t="s">
        <v>34</v>
      </c>
    </row>
    <row r="14" spans="1:16" ht="29.25">
      <c r="A14" s="2" t="s">
        <v>112</v>
      </c>
      <c r="B14" s="2" t="s">
        <v>7</v>
      </c>
      <c r="C14" s="2" t="s">
        <v>113</v>
      </c>
      <c r="D14" s="2" t="s">
        <v>53</v>
      </c>
      <c r="E14" s="2" t="s">
        <v>114</v>
      </c>
      <c r="F14" s="2" t="s">
        <v>115</v>
      </c>
      <c r="G14" s="2" t="s">
        <v>116</v>
      </c>
      <c r="H14" s="2" t="s">
        <v>117</v>
      </c>
      <c r="I14" s="7"/>
      <c r="J14" s="7" t="s">
        <v>14</v>
      </c>
      <c r="K14" s="7"/>
      <c r="L14" s="8"/>
      <c r="M14" s="7"/>
      <c r="N14" s="7"/>
      <c r="O14" s="7"/>
      <c r="P14" s="2" t="s">
        <v>34</v>
      </c>
    </row>
    <row r="15" spans="1:16" ht="28.5">
      <c r="A15" s="2" t="s">
        <v>118</v>
      </c>
      <c r="B15" s="2" t="s">
        <v>7</v>
      </c>
      <c r="C15" s="2" t="s">
        <v>52</v>
      </c>
      <c r="D15" s="2" t="s">
        <v>119</v>
      </c>
      <c r="E15" s="2" t="s">
        <v>120</v>
      </c>
      <c r="F15" s="2" t="s">
        <v>121</v>
      </c>
      <c r="G15" s="2" t="s">
        <v>122</v>
      </c>
      <c r="H15" s="2" t="s">
        <v>123</v>
      </c>
      <c r="I15" s="7"/>
      <c r="J15" s="7" t="s">
        <v>14</v>
      </c>
      <c r="K15" s="7"/>
      <c r="L15" s="8"/>
      <c r="M15" s="7"/>
      <c r="N15" s="7"/>
      <c r="O15" s="7"/>
      <c r="P15" s="2" t="s">
        <v>34</v>
      </c>
    </row>
    <row r="16" spans="1:16" ht="28.5">
      <c r="A16" s="2" t="s">
        <v>124</v>
      </c>
      <c r="B16" s="2" t="s">
        <v>7</v>
      </c>
      <c r="C16" s="2" t="s">
        <v>30</v>
      </c>
      <c r="D16" s="2" t="s">
        <v>59</v>
      </c>
      <c r="E16" s="2" t="s">
        <v>125</v>
      </c>
      <c r="F16" s="2" t="s">
        <v>126</v>
      </c>
      <c r="G16" s="2" t="s">
        <v>127</v>
      </c>
      <c r="H16" s="2" t="s">
        <v>128</v>
      </c>
      <c r="I16" s="7"/>
      <c r="J16" s="7" t="s">
        <v>14</v>
      </c>
      <c r="K16" s="7"/>
      <c r="L16" s="8"/>
      <c r="M16" s="7"/>
      <c r="N16" s="7"/>
      <c r="O16" s="7"/>
      <c r="P16" s="2" t="s">
        <v>34</v>
      </c>
    </row>
    <row r="17" spans="1:16" ht="29.25">
      <c r="A17" s="2" t="s">
        <v>129</v>
      </c>
      <c r="B17" s="2" t="s">
        <v>13</v>
      </c>
      <c r="C17" s="2" t="s">
        <v>52</v>
      </c>
      <c r="D17" s="2" t="s">
        <v>53</v>
      </c>
      <c r="E17" s="2" t="s">
        <v>130</v>
      </c>
      <c r="F17" s="2" t="s">
        <v>131</v>
      </c>
      <c r="G17" s="2" t="s">
        <v>132</v>
      </c>
      <c r="H17" s="2" t="s">
        <v>133</v>
      </c>
      <c r="I17" s="7"/>
      <c r="J17" s="7" t="s">
        <v>14</v>
      </c>
      <c r="K17" s="7"/>
      <c r="L17" s="8"/>
      <c r="M17" s="7"/>
      <c r="N17" s="7"/>
      <c r="O17" s="7"/>
      <c r="P17" s="2" t="s">
        <v>34</v>
      </c>
    </row>
    <row r="18" spans="1:16" ht="29.25">
      <c r="A18" s="2" t="s">
        <v>134</v>
      </c>
      <c r="B18" s="2" t="s">
        <v>13</v>
      </c>
      <c r="C18" s="2" t="s">
        <v>30</v>
      </c>
      <c r="D18" s="2" t="s">
        <v>53</v>
      </c>
      <c r="E18" s="2" t="s">
        <v>135</v>
      </c>
      <c r="F18" s="2" t="s">
        <v>94</v>
      </c>
      <c r="G18" s="2" t="s">
        <v>136</v>
      </c>
      <c r="H18" s="2" t="s">
        <v>137</v>
      </c>
      <c r="I18" s="7"/>
      <c r="J18" s="7" t="s">
        <v>14</v>
      </c>
      <c r="K18" s="7"/>
      <c r="L18" s="8"/>
      <c r="M18" s="7"/>
      <c r="N18" s="7"/>
      <c r="O18" s="7"/>
      <c r="P18" s="2" t="s">
        <v>34</v>
      </c>
    </row>
    <row r="19" spans="1:16" ht="28.5">
      <c r="A19" s="2" t="s">
        <v>138</v>
      </c>
      <c r="B19" s="2" t="s">
        <v>13</v>
      </c>
      <c r="C19" s="2" t="s">
        <v>52</v>
      </c>
      <c r="D19" s="2" t="s">
        <v>59</v>
      </c>
      <c r="E19" s="2" t="s">
        <v>139</v>
      </c>
      <c r="F19" s="2" t="s">
        <v>140</v>
      </c>
      <c r="G19" s="2" t="s">
        <v>141</v>
      </c>
      <c r="H19" s="2" t="s">
        <v>142</v>
      </c>
      <c r="I19" s="7"/>
      <c r="J19" s="7" t="s">
        <v>14</v>
      </c>
      <c r="K19" s="7"/>
      <c r="L19" s="8"/>
      <c r="M19" s="7"/>
      <c r="N19" s="7"/>
      <c r="O19" s="7"/>
      <c r="P19" s="2" t="s">
        <v>34</v>
      </c>
    </row>
    <row r="20" spans="1:16" ht="29.25">
      <c r="A20" s="2" t="s">
        <v>143</v>
      </c>
      <c r="B20" s="2" t="s">
        <v>13</v>
      </c>
      <c r="C20" s="2" t="s">
        <v>52</v>
      </c>
      <c r="D20" s="2" t="s">
        <v>53</v>
      </c>
      <c r="E20" s="2" t="s">
        <v>144</v>
      </c>
      <c r="F20" s="2" t="s">
        <v>145</v>
      </c>
      <c r="G20" s="2" t="s">
        <v>146</v>
      </c>
      <c r="H20" s="2" t="s">
        <v>147</v>
      </c>
      <c r="I20" s="7"/>
      <c r="J20" s="7" t="s">
        <v>14</v>
      </c>
      <c r="K20" s="7"/>
      <c r="L20" s="8"/>
      <c r="M20" s="7"/>
      <c r="N20" s="7"/>
      <c r="O20" s="7"/>
      <c r="P20" s="2" t="s">
        <v>34</v>
      </c>
    </row>
    <row r="21" spans="1:16">
      <c r="A21" s="2" t="s">
        <v>148</v>
      </c>
      <c r="B21" s="2" t="s">
        <v>13</v>
      </c>
      <c r="C21" s="2" t="s">
        <v>52</v>
      </c>
      <c r="D21" s="2" t="s">
        <v>59</v>
      </c>
      <c r="E21" s="2" t="s">
        <v>149</v>
      </c>
      <c r="F21" s="2" t="s">
        <v>145</v>
      </c>
      <c r="G21" s="2" t="s">
        <v>150</v>
      </c>
      <c r="H21" s="2" t="s">
        <v>151</v>
      </c>
      <c r="I21" s="7"/>
      <c r="J21" s="7" t="s">
        <v>14</v>
      </c>
      <c r="K21" s="7"/>
      <c r="L21" s="8"/>
      <c r="M21" s="7"/>
      <c r="N21" s="7"/>
      <c r="O21" s="7"/>
      <c r="P21" s="2" t="s">
        <v>34</v>
      </c>
    </row>
    <row r="22" spans="1:16">
      <c r="A22" s="2" t="s">
        <v>152</v>
      </c>
      <c r="B22" s="2" t="s">
        <v>13</v>
      </c>
      <c r="C22" s="2" t="s">
        <v>52</v>
      </c>
      <c r="D22" s="2" t="s">
        <v>119</v>
      </c>
      <c r="E22" s="2" t="s">
        <v>153</v>
      </c>
      <c r="F22" s="2" t="s">
        <v>145</v>
      </c>
      <c r="G22" s="2" t="s">
        <v>154</v>
      </c>
      <c r="H22" s="2" t="s">
        <v>155</v>
      </c>
      <c r="I22" s="7"/>
      <c r="J22" s="7" t="s">
        <v>14</v>
      </c>
      <c r="K22" s="7"/>
      <c r="L22" s="8"/>
      <c r="M22" s="7"/>
      <c r="N22" s="7"/>
      <c r="O22" s="7"/>
      <c r="P22" s="2" t="s">
        <v>34</v>
      </c>
    </row>
    <row r="23" spans="1:16" ht="29.25">
      <c r="A23" s="2" t="s">
        <v>156</v>
      </c>
      <c r="B23" s="2" t="s">
        <v>13</v>
      </c>
      <c r="C23" s="2" t="s">
        <v>30</v>
      </c>
      <c r="D23" s="2" t="s">
        <v>53</v>
      </c>
      <c r="E23" s="2" t="s">
        <v>157</v>
      </c>
      <c r="F23" s="2" t="s">
        <v>145</v>
      </c>
      <c r="G23" s="2" t="s">
        <v>158</v>
      </c>
      <c r="H23" s="2" t="s">
        <v>159</v>
      </c>
      <c r="I23" s="7"/>
      <c r="J23" s="7" t="s">
        <v>14</v>
      </c>
      <c r="K23" s="7"/>
      <c r="L23" s="8"/>
      <c r="M23" s="7"/>
      <c r="N23" s="7"/>
      <c r="O23" s="7"/>
      <c r="P23" s="2" t="s">
        <v>34</v>
      </c>
    </row>
    <row r="24" spans="1:16">
      <c r="A24" s="2" t="s">
        <v>160</v>
      </c>
      <c r="B24" s="2" t="s">
        <v>13</v>
      </c>
      <c r="C24" s="2" t="s">
        <v>29</v>
      </c>
      <c r="D24" s="2" t="s">
        <v>59</v>
      </c>
      <c r="E24" s="2" t="s">
        <v>161</v>
      </c>
      <c r="F24" s="2" t="s">
        <v>145</v>
      </c>
      <c r="G24" s="2" t="s">
        <v>162</v>
      </c>
      <c r="H24" s="2" t="s">
        <v>163</v>
      </c>
      <c r="I24" s="7"/>
      <c r="J24" s="7" t="s">
        <v>14</v>
      </c>
      <c r="K24" s="7"/>
      <c r="L24" s="8"/>
      <c r="M24" s="7"/>
      <c r="N24" s="7"/>
      <c r="O24" s="7"/>
      <c r="P24" s="2" t="s">
        <v>36</v>
      </c>
    </row>
    <row r="25" spans="1:16" ht="72">
      <c r="A25" s="2" t="s">
        <v>164</v>
      </c>
      <c r="B25" s="2" t="s">
        <v>15</v>
      </c>
      <c r="C25" s="2" t="s">
        <v>165</v>
      </c>
      <c r="D25" s="2" t="s">
        <v>53</v>
      </c>
      <c r="E25" s="2" t="s">
        <v>166</v>
      </c>
      <c r="F25" s="2" t="s">
        <v>167</v>
      </c>
      <c r="G25" s="2" t="s">
        <v>168</v>
      </c>
      <c r="H25" s="2" t="s">
        <v>169</v>
      </c>
      <c r="I25" s="7" t="s">
        <v>399</v>
      </c>
      <c r="J25" s="7" t="s">
        <v>12</v>
      </c>
      <c r="K25" s="7"/>
      <c r="L25" s="8"/>
      <c r="M25" s="7"/>
      <c r="N25" s="7"/>
      <c r="O25" s="7" t="s">
        <v>388</v>
      </c>
      <c r="P25" s="2" t="s">
        <v>36</v>
      </c>
    </row>
    <row r="26" spans="1:16" ht="72">
      <c r="A26" s="2" t="s">
        <v>170</v>
      </c>
      <c r="B26" s="2" t="s">
        <v>15</v>
      </c>
      <c r="C26" s="2" t="s">
        <v>165</v>
      </c>
      <c r="D26" s="2" t="s">
        <v>53</v>
      </c>
      <c r="E26" s="2" t="s">
        <v>171</v>
      </c>
      <c r="F26" s="2" t="s">
        <v>167</v>
      </c>
      <c r="G26" s="2" t="s">
        <v>172</v>
      </c>
      <c r="H26" s="2" t="s">
        <v>169</v>
      </c>
      <c r="I26" s="7" t="s">
        <v>399</v>
      </c>
      <c r="J26" s="7" t="s">
        <v>12</v>
      </c>
      <c r="K26" s="7"/>
      <c r="L26" s="8"/>
      <c r="M26" s="7"/>
      <c r="N26" s="7"/>
      <c r="O26" s="7" t="s">
        <v>388</v>
      </c>
      <c r="P26" s="2" t="s">
        <v>36</v>
      </c>
    </row>
    <row r="27" spans="1:16" ht="72">
      <c r="A27" s="2" t="s">
        <v>173</v>
      </c>
      <c r="B27" s="2" t="s">
        <v>15</v>
      </c>
      <c r="C27" s="2" t="s">
        <v>165</v>
      </c>
      <c r="D27" s="2" t="s">
        <v>53</v>
      </c>
      <c r="E27" s="2" t="s">
        <v>174</v>
      </c>
      <c r="F27" s="2" t="s">
        <v>167</v>
      </c>
      <c r="G27" s="2" t="s">
        <v>175</v>
      </c>
      <c r="H27" s="2" t="s">
        <v>176</v>
      </c>
      <c r="I27" s="7" t="s">
        <v>399</v>
      </c>
      <c r="J27" s="7" t="s">
        <v>12</v>
      </c>
      <c r="K27" s="7"/>
      <c r="L27" s="8"/>
      <c r="M27" s="7"/>
      <c r="N27" s="7"/>
      <c r="O27" s="7" t="s">
        <v>388</v>
      </c>
      <c r="P27" s="2" t="s">
        <v>36</v>
      </c>
    </row>
    <row r="28" spans="1:16" ht="72">
      <c r="A28" s="2" t="s">
        <v>177</v>
      </c>
      <c r="B28" s="2" t="s">
        <v>15</v>
      </c>
      <c r="C28" s="2" t="s">
        <v>30</v>
      </c>
      <c r="D28" s="2" t="s">
        <v>53</v>
      </c>
      <c r="E28" s="2" t="s">
        <v>178</v>
      </c>
      <c r="F28" s="2" t="s">
        <v>167</v>
      </c>
      <c r="G28" s="2" t="s">
        <v>179</v>
      </c>
      <c r="H28" s="2" t="s">
        <v>180</v>
      </c>
      <c r="I28" s="7" t="s">
        <v>399</v>
      </c>
      <c r="J28" s="7" t="s">
        <v>12</v>
      </c>
      <c r="K28" s="7"/>
      <c r="L28" s="8"/>
      <c r="M28" s="7"/>
      <c r="N28" s="7"/>
      <c r="O28" s="7" t="s">
        <v>388</v>
      </c>
      <c r="P28" s="2" t="s">
        <v>36</v>
      </c>
    </row>
    <row r="29" spans="1:16" ht="71.25">
      <c r="A29" s="2" t="s">
        <v>181</v>
      </c>
      <c r="B29" s="2" t="s">
        <v>16</v>
      </c>
      <c r="C29" s="2" t="s">
        <v>52</v>
      </c>
      <c r="D29" s="2" t="s">
        <v>59</v>
      </c>
      <c r="E29" s="2" t="s">
        <v>182</v>
      </c>
      <c r="F29" s="2" t="s">
        <v>183</v>
      </c>
      <c r="G29" s="2" t="s">
        <v>184</v>
      </c>
      <c r="H29" s="2" t="s">
        <v>185</v>
      </c>
      <c r="I29" s="7" t="s">
        <v>399</v>
      </c>
      <c r="J29" s="7" t="s">
        <v>12</v>
      </c>
      <c r="K29" s="7"/>
      <c r="L29" s="8"/>
      <c r="M29" s="7"/>
      <c r="N29" s="7"/>
      <c r="O29" s="7" t="s">
        <v>388</v>
      </c>
      <c r="P29" s="2" t="s">
        <v>36</v>
      </c>
    </row>
    <row r="30" spans="1:16" ht="71.25">
      <c r="A30" s="2" t="s">
        <v>186</v>
      </c>
      <c r="B30" s="2" t="s">
        <v>16</v>
      </c>
      <c r="C30" s="2" t="s">
        <v>52</v>
      </c>
      <c r="D30" s="2" t="s">
        <v>59</v>
      </c>
      <c r="E30" s="2" t="s">
        <v>187</v>
      </c>
      <c r="F30" s="2" t="s">
        <v>188</v>
      </c>
      <c r="G30" s="2" t="s">
        <v>189</v>
      </c>
      <c r="H30" s="2" t="s">
        <v>190</v>
      </c>
      <c r="I30" s="7" t="s">
        <v>399</v>
      </c>
      <c r="J30" s="7" t="s">
        <v>12</v>
      </c>
      <c r="K30" s="7"/>
      <c r="L30" s="8"/>
      <c r="M30" s="7"/>
      <c r="N30" s="7"/>
      <c r="O30" s="7" t="s">
        <v>388</v>
      </c>
      <c r="P30" s="2" t="s">
        <v>36</v>
      </c>
    </row>
    <row r="31" spans="1:16" ht="71.25">
      <c r="A31" s="2" t="s">
        <v>191</v>
      </c>
      <c r="B31" s="2" t="s">
        <v>16</v>
      </c>
      <c r="C31" s="2" t="s">
        <v>192</v>
      </c>
      <c r="D31" s="2" t="s">
        <v>59</v>
      </c>
      <c r="E31" s="2" t="s">
        <v>193</v>
      </c>
      <c r="F31" s="2" t="s">
        <v>194</v>
      </c>
      <c r="G31" s="2" t="s">
        <v>195</v>
      </c>
      <c r="H31" s="2" t="s">
        <v>196</v>
      </c>
      <c r="I31" s="7" t="s">
        <v>399</v>
      </c>
      <c r="J31" s="7" t="s">
        <v>12</v>
      </c>
      <c r="K31" s="7"/>
      <c r="L31" s="8"/>
      <c r="M31" s="7"/>
      <c r="N31" s="7"/>
      <c r="O31" s="7" t="s">
        <v>388</v>
      </c>
      <c r="P31" s="2" t="s">
        <v>36</v>
      </c>
    </row>
    <row r="32" spans="1:16" ht="71.25">
      <c r="A32" s="2" t="s">
        <v>197</v>
      </c>
      <c r="B32" s="2" t="s">
        <v>16</v>
      </c>
      <c r="C32" s="2" t="s">
        <v>192</v>
      </c>
      <c r="D32" s="2" t="s">
        <v>119</v>
      </c>
      <c r="E32" s="2" t="s">
        <v>198</v>
      </c>
      <c r="F32" s="2" t="s">
        <v>199</v>
      </c>
      <c r="G32" s="2" t="s">
        <v>200</v>
      </c>
      <c r="H32" s="2" t="s">
        <v>201</v>
      </c>
      <c r="I32" s="7" t="s">
        <v>399</v>
      </c>
      <c r="J32" s="7" t="s">
        <v>12</v>
      </c>
      <c r="K32" s="7"/>
      <c r="L32" s="8"/>
      <c r="M32" s="7"/>
      <c r="N32" s="7"/>
      <c r="O32" s="7" t="s">
        <v>388</v>
      </c>
      <c r="P32" s="2" t="s">
        <v>36</v>
      </c>
    </row>
    <row r="33" spans="1:16" ht="71.25">
      <c r="A33" s="2" t="s">
        <v>202</v>
      </c>
      <c r="B33" s="2" t="s">
        <v>17</v>
      </c>
      <c r="C33" s="2" t="s">
        <v>52</v>
      </c>
      <c r="D33" s="2" t="s">
        <v>59</v>
      </c>
      <c r="E33" s="2" t="s">
        <v>203</v>
      </c>
      <c r="F33" s="2" t="s">
        <v>204</v>
      </c>
      <c r="G33" s="2" t="s">
        <v>205</v>
      </c>
      <c r="H33" s="2" t="s">
        <v>185</v>
      </c>
      <c r="I33" s="7" t="s">
        <v>399</v>
      </c>
      <c r="J33" s="7" t="s">
        <v>12</v>
      </c>
      <c r="K33" s="7"/>
      <c r="L33" s="8"/>
      <c r="M33" s="7"/>
      <c r="N33" s="7"/>
      <c r="O33" s="7" t="s">
        <v>388</v>
      </c>
      <c r="P33" s="2" t="s">
        <v>36</v>
      </c>
    </row>
    <row r="34" spans="1:16" ht="71.25">
      <c r="A34" s="2" t="s">
        <v>206</v>
      </c>
      <c r="B34" s="2" t="s">
        <v>17</v>
      </c>
      <c r="C34" s="2" t="s">
        <v>52</v>
      </c>
      <c r="D34" s="2" t="s">
        <v>59</v>
      </c>
      <c r="E34" s="2" t="s">
        <v>207</v>
      </c>
      <c r="F34" s="2" t="s">
        <v>188</v>
      </c>
      <c r="G34" s="2" t="s">
        <v>208</v>
      </c>
      <c r="H34" s="2" t="s">
        <v>190</v>
      </c>
      <c r="I34" s="7" t="s">
        <v>399</v>
      </c>
      <c r="J34" s="7" t="s">
        <v>12</v>
      </c>
      <c r="K34" s="7"/>
      <c r="L34" s="8"/>
      <c r="M34" s="7"/>
      <c r="N34" s="7"/>
      <c r="O34" s="7" t="s">
        <v>388</v>
      </c>
      <c r="P34" s="2" t="s">
        <v>36</v>
      </c>
    </row>
    <row r="35" spans="1:16" ht="71.25">
      <c r="A35" s="2" t="s">
        <v>209</v>
      </c>
      <c r="B35" s="2" t="s">
        <v>17</v>
      </c>
      <c r="C35" s="2" t="s">
        <v>165</v>
      </c>
      <c r="D35" s="2" t="s">
        <v>59</v>
      </c>
      <c r="E35" s="2" t="s">
        <v>210</v>
      </c>
      <c r="F35" s="2" t="s">
        <v>211</v>
      </c>
      <c r="G35" s="2" t="s">
        <v>212</v>
      </c>
      <c r="H35" s="2" t="s">
        <v>213</v>
      </c>
      <c r="I35" s="7" t="s">
        <v>399</v>
      </c>
      <c r="J35" s="7" t="s">
        <v>12</v>
      </c>
      <c r="K35" s="7"/>
      <c r="L35" s="8"/>
      <c r="M35" s="7"/>
      <c r="N35" s="7"/>
      <c r="O35" s="7" t="s">
        <v>388</v>
      </c>
      <c r="P35" s="2" t="s">
        <v>36</v>
      </c>
    </row>
    <row r="36" spans="1:16" ht="71.25">
      <c r="A36" s="2" t="s">
        <v>214</v>
      </c>
      <c r="B36" s="2" t="s">
        <v>20</v>
      </c>
      <c r="C36" s="2" t="s">
        <v>52</v>
      </c>
      <c r="D36" s="2" t="s">
        <v>119</v>
      </c>
      <c r="E36" s="2" t="s">
        <v>215</v>
      </c>
      <c r="F36" s="2" t="s">
        <v>216</v>
      </c>
      <c r="G36" s="2" t="s">
        <v>217</v>
      </c>
      <c r="H36" s="2" t="s">
        <v>218</v>
      </c>
      <c r="I36" s="7" t="s">
        <v>399</v>
      </c>
      <c r="J36" s="7" t="s">
        <v>12</v>
      </c>
      <c r="K36" s="7"/>
      <c r="L36" s="8"/>
      <c r="M36" s="7"/>
      <c r="N36" s="7"/>
      <c r="O36" s="7" t="s">
        <v>388</v>
      </c>
      <c r="P36" s="2" t="s">
        <v>36</v>
      </c>
    </row>
    <row r="37" spans="1:16" ht="71.25">
      <c r="A37" s="2" t="s">
        <v>219</v>
      </c>
      <c r="B37" s="2" t="s">
        <v>20</v>
      </c>
      <c r="C37" s="2" t="s">
        <v>192</v>
      </c>
      <c r="D37" s="2" t="s">
        <v>119</v>
      </c>
      <c r="E37" s="2" t="s">
        <v>220</v>
      </c>
      <c r="F37" s="2" t="s">
        <v>216</v>
      </c>
      <c r="G37" s="2" t="s">
        <v>221</v>
      </c>
      <c r="H37" s="2" t="s">
        <v>222</v>
      </c>
      <c r="I37" s="7" t="s">
        <v>399</v>
      </c>
      <c r="J37" s="7" t="s">
        <v>12</v>
      </c>
      <c r="K37" s="7"/>
      <c r="L37" s="8"/>
      <c r="M37" s="7"/>
      <c r="N37" s="7"/>
      <c r="O37" s="7" t="s">
        <v>388</v>
      </c>
      <c r="P37" s="2" t="s">
        <v>36</v>
      </c>
    </row>
    <row r="38" spans="1:16" ht="71.25">
      <c r="A38" s="2" t="s">
        <v>223</v>
      </c>
      <c r="B38" s="2" t="s">
        <v>22</v>
      </c>
      <c r="C38" s="2" t="s">
        <v>52</v>
      </c>
      <c r="D38" s="2" t="s">
        <v>119</v>
      </c>
      <c r="E38" s="2" t="s">
        <v>224</v>
      </c>
      <c r="F38" s="2" t="s">
        <v>225</v>
      </c>
      <c r="G38" s="2" t="s">
        <v>226</v>
      </c>
      <c r="H38" s="2" t="s">
        <v>218</v>
      </c>
      <c r="I38" s="7" t="s">
        <v>399</v>
      </c>
      <c r="J38" s="7" t="s">
        <v>12</v>
      </c>
      <c r="K38" s="7"/>
      <c r="L38" s="8"/>
      <c r="M38" s="7"/>
      <c r="N38" s="7"/>
      <c r="O38" s="7" t="s">
        <v>388</v>
      </c>
      <c r="P38" s="2" t="s">
        <v>36</v>
      </c>
    </row>
    <row r="39" spans="1:16" ht="71.25">
      <c r="A39" s="2" t="s">
        <v>227</v>
      </c>
      <c r="B39" s="2" t="s">
        <v>22</v>
      </c>
      <c r="C39" s="2" t="s">
        <v>192</v>
      </c>
      <c r="D39" s="2" t="s">
        <v>119</v>
      </c>
      <c r="E39" s="2" t="s">
        <v>228</v>
      </c>
      <c r="F39" s="2" t="s">
        <v>225</v>
      </c>
      <c r="G39" s="2" t="s">
        <v>229</v>
      </c>
      <c r="H39" s="2" t="s">
        <v>230</v>
      </c>
      <c r="I39" s="7" t="s">
        <v>399</v>
      </c>
      <c r="J39" s="7" t="s">
        <v>12</v>
      </c>
      <c r="K39" s="7"/>
      <c r="L39" s="8"/>
      <c r="M39" s="7"/>
      <c r="N39" s="7"/>
      <c r="O39" s="7" t="s">
        <v>388</v>
      </c>
      <c r="P39" s="2" t="s">
        <v>36</v>
      </c>
    </row>
    <row r="40" spans="1:16" ht="71.25">
      <c r="A40" s="2" t="s">
        <v>231</v>
      </c>
      <c r="B40" s="2" t="s">
        <v>24</v>
      </c>
      <c r="C40" s="2" t="s">
        <v>52</v>
      </c>
      <c r="D40" s="2" t="s">
        <v>119</v>
      </c>
      <c r="E40" s="2" t="s">
        <v>232</v>
      </c>
      <c r="F40" s="2" t="s">
        <v>233</v>
      </c>
      <c r="G40" s="2" t="s">
        <v>234</v>
      </c>
      <c r="H40" s="2" t="s">
        <v>218</v>
      </c>
      <c r="I40" s="7" t="s">
        <v>399</v>
      </c>
      <c r="J40" s="7" t="s">
        <v>12</v>
      </c>
      <c r="K40" s="7"/>
      <c r="L40" s="8"/>
      <c r="M40" s="7"/>
      <c r="N40" s="7"/>
      <c r="O40" s="7" t="s">
        <v>388</v>
      </c>
      <c r="P40" s="2" t="s">
        <v>36</v>
      </c>
    </row>
    <row r="41" spans="1:16" ht="71.25">
      <c r="A41" s="2" t="s">
        <v>235</v>
      </c>
      <c r="B41" s="2" t="s">
        <v>24</v>
      </c>
      <c r="C41" s="2" t="s">
        <v>192</v>
      </c>
      <c r="D41" s="2" t="s">
        <v>119</v>
      </c>
      <c r="E41" s="2" t="s">
        <v>236</v>
      </c>
      <c r="F41" s="2" t="s">
        <v>237</v>
      </c>
      <c r="G41" s="2" t="s">
        <v>238</v>
      </c>
      <c r="H41" s="2" t="s">
        <v>239</v>
      </c>
      <c r="I41" s="7" t="s">
        <v>399</v>
      </c>
      <c r="J41" s="7" t="s">
        <v>12</v>
      </c>
      <c r="K41" s="7"/>
      <c r="L41" s="8"/>
      <c r="M41" s="7"/>
      <c r="N41" s="7"/>
      <c r="O41" s="7" t="s">
        <v>388</v>
      </c>
      <c r="P41" s="2" t="s">
        <v>36</v>
      </c>
    </row>
    <row r="42" spans="1:16" ht="71.25">
      <c r="A42" s="2" t="s">
        <v>240</v>
      </c>
      <c r="B42" s="2" t="s">
        <v>25</v>
      </c>
      <c r="C42" s="2" t="s">
        <v>52</v>
      </c>
      <c r="D42" s="2" t="s">
        <v>119</v>
      </c>
      <c r="E42" s="2" t="s">
        <v>241</v>
      </c>
      <c r="F42" s="2" t="s">
        <v>242</v>
      </c>
      <c r="G42" s="2" t="s">
        <v>243</v>
      </c>
      <c r="H42" s="2" t="s">
        <v>218</v>
      </c>
      <c r="I42" s="7" t="s">
        <v>399</v>
      </c>
      <c r="J42" s="7" t="s">
        <v>12</v>
      </c>
      <c r="K42" s="7"/>
      <c r="L42" s="8"/>
      <c r="M42" s="7"/>
      <c r="N42" s="7"/>
      <c r="O42" s="7" t="s">
        <v>388</v>
      </c>
      <c r="P42" s="2" t="s">
        <v>36</v>
      </c>
    </row>
    <row r="43" spans="1:16" ht="71.25">
      <c r="A43" s="2" t="s">
        <v>244</v>
      </c>
      <c r="B43" s="2" t="s">
        <v>26</v>
      </c>
      <c r="C43" s="2" t="s">
        <v>52</v>
      </c>
      <c r="D43" s="2" t="s">
        <v>245</v>
      </c>
      <c r="E43" s="2" t="s">
        <v>246</v>
      </c>
      <c r="F43" s="2" t="s">
        <v>247</v>
      </c>
      <c r="G43" s="2" t="s">
        <v>248</v>
      </c>
      <c r="H43" s="2" t="s">
        <v>218</v>
      </c>
      <c r="I43" s="7" t="s">
        <v>399</v>
      </c>
      <c r="J43" s="7" t="s">
        <v>12</v>
      </c>
      <c r="K43" s="7"/>
      <c r="L43" s="8"/>
      <c r="M43" s="7"/>
      <c r="N43" s="7"/>
      <c r="O43" s="7" t="s">
        <v>388</v>
      </c>
      <c r="P43" s="2" t="s">
        <v>36</v>
      </c>
    </row>
    <row r="44" spans="1:16" ht="100.5">
      <c r="A44" s="2" t="s">
        <v>249</v>
      </c>
      <c r="B44" s="2" t="s">
        <v>27</v>
      </c>
      <c r="C44" s="2" t="s">
        <v>113</v>
      </c>
      <c r="D44" s="2" t="s">
        <v>53</v>
      </c>
      <c r="E44" s="2" t="s">
        <v>250</v>
      </c>
      <c r="F44" s="2" t="s">
        <v>251</v>
      </c>
      <c r="G44" s="2" t="s">
        <v>252</v>
      </c>
      <c r="H44" s="2" t="s">
        <v>253</v>
      </c>
      <c r="I44" s="7" t="s">
        <v>400</v>
      </c>
      <c r="J44" s="7" t="s">
        <v>8</v>
      </c>
      <c r="K44" s="7" t="s">
        <v>36</v>
      </c>
      <c r="L44" s="8">
        <v>46256</v>
      </c>
      <c r="M44" s="7" t="s">
        <v>389</v>
      </c>
      <c r="N44" s="7"/>
      <c r="O44" s="7" t="s">
        <v>390</v>
      </c>
      <c r="P44" s="2" t="s">
        <v>35</v>
      </c>
    </row>
    <row r="45" spans="1:16" ht="86.25">
      <c r="A45" s="2" t="s">
        <v>254</v>
      </c>
      <c r="B45" s="2" t="s">
        <v>27</v>
      </c>
      <c r="C45" s="2" t="s">
        <v>113</v>
      </c>
      <c r="D45" s="2" t="s">
        <v>53</v>
      </c>
      <c r="E45" s="2" t="s">
        <v>255</v>
      </c>
      <c r="F45" s="2" t="s">
        <v>256</v>
      </c>
      <c r="G45" s="2" t="s">
        <v>257</v>
      </c>
      <c r="H45" s="2" t="s">
        <v>258</v>
      </c>
      <c r="I45" s="7" t="s">
        <v>401</v>
      </c>
      <c r="J45" s="7" t="s">
        <v>8</v>
      </c>
      <c r="K45" s="7" t="s">
        <v>36</v>
      </c>
      <c r="L45" s="8">
        <v>46256</v>
      </c>
      <c r="M45" s="7" t="s">
        <v>391</v>
      </c>
      <c r="N45" s="7"/>
      <c r="O45" s="7" t="s">
        <v>392</v>
      </c>
      <c r="P45" s="2" t="s">
        <v>35</v>
      </c>
    </row>
    <row r="46" spans="1:16" ht="85.5">
      <c r="A46" s="2" t="s">
        <v>259</v>
      </c>
      <c r="B46" s="2" t="s">
        <v>27</v>
      </c>
      <c r="C46" s="2" t="s">
        <v>113</v>
      </c>
      <c r="D46" s="2" t="s">
        <v>59</v>
      </c>
      <c r="E46" s="2" t="s">
        <v>260</v>
      </c>
      <c r="F46" s="2" t="s">
        <v>261</v>
      </c>
      <c r="G46" s="2" t="s">
        <v>262</v>
      </c>
      <c r="H46" s="2" t="s">
        <v>263</v>
      </c>
      <c r="I46" s="7" t="s">
        <v>402</v>
      </c>
      <c r="J46" s="7" t="s">
        <v>8</v>
      </c>
      <c r="K46" s="7" t="s">
        <v>36</v>
      </c>
      <c r="L46" s="8">
        <v>46256</v>
      </c>
      <c r="M46" s="7" t="s">
        <v>393</v>
      </c>
      <c r="N46" s="7"/>
      <c r="O46" s="7" t="s">
        <v>394</v>
      </c>
      <c r="P46" s="2" t="s">
        <v>35</v>
      </c>
    </row>
    <row r="47" spans="1:16" ht="71.25">
      <c r="A47" s="2" t="s">
        <v>264</v>
      </c>
      <c r="B47" s="2" t="s">
        <v>27</v>
      </c>
      <c r="C47" s="2" t="s">
        <v>113</v>
      </c>
      <c r="D47" s="2" t="s">
        <v>59</v>
      </c>
      <c r="E47" s="2" t="s">
        <v>265</v>
      </c>
      <c r="F47" s="2" t="s">
        <v>266</v>
      </c>
      <c r="G47" s="2" t="s">
        <v>267</v>
      </c>
      <c r="H47" s="2" t="s">
        <v>268</v>
      </c>
      <c r="I47" s="7" t="s">
        <v>403</v>
      </c>
      <c r="J47" s="7" t="s">
        <v>8</v>
      </c>
      <c r="K47" s="7" t="s">
        <v>36</v>
      </c>
      <c r="L47" s="8">
        <v>46256</v>
      </c>
      <c r="M47" s="7"/>
      <c r="N47" s="7"/>
      <c r="O47" s="7" t="s">
        <v>395</v>
      </c>
      <c r="P47" s="2" t="s">
        <v>35</v>
      </c>
    </row>
    <row r="48" spans="1:16" ht="71.25">
      <c r="A48" s="2" t="s">
        <v>269</v>
      </c>
      <c r="B48" s="2" t="s">
        <v>27</v>
      </c>
      <c r="C48" s="2" t="s">
        <v>113</v>
      </c>
      <c r="D48" s="2" t="s">
        <v>59</v>
      </c>
      <c r="E48" s="2" t="s">
        <v>270</v>
      </c>
      <c r="F48" s="2" t="s">
        <v>271</v>
      </c>
      <c r="G48" s="2" t="s">
        <v>272</v>
      </c>
      <c r="H48" s="2" t="s">
        <v>273</v>
      </c>
      <c r="I48" s="7" t="s">
        <v>404</v>
      </c>
      <c r="J48" s="7" t="s">
        <v>8</v>
      </c>
      <c r="K48" s="7" t="s">
        <v>36</v>
      </c>
      <c r="L48" s="8">
        <v>46256</v>
      </c>
      <c r="M48" s="7" t="s">
        <v>396</v>
      </c>
      <c r="N48" s="7"/>
      <c r="O48" s="7" t="s">
        <v>397</v>
      </c>
      <c r="P48" s="2" t="s">
        <v>35</v>
      </c>
    </row>
    <row r="49" spans="1:16" ht="86.25">
      <c r="A49" s="2" t="s">
        <v>274</v>
      </c>
      <c r="B49" s="2" t="s">
        <v>28</v>
      </c>
      <c r="C49" s="2" t="s">
        <v>113</v>
      </c>
      <c r="D49" s="2" t="s">
        <v>53</v>
      </c>
      <c r="E49" s="2" t="s">
        <v>275</v>
      </c>
      <c r="F49" s="2" t="s">
        <v>276</v>
      </c>
      <c r="G49" s="2" t="s">
        <v>277</v>
      </c>
      <c r="H49" s="2" t="s">
        <v>278</v>
      </c>
      <c r="I49" s="7" t="s">
        <v>405</v>
      </c>
      <c r="J49" s="7" t="s">
        <v>12</v>
      </c>
      <c r="K49" s="7"/>
      <c r="L49" s="8"/>
      <c r="M49" s="7"/>
      <c r="N49" s="7"/>
      <c r="O49" s="7" t="s">
        <v>398</v>
      </c>
      <c r="P49" s="2" t="s">
        <v>35</v>
      </c>
    </row>
    <row r="50" spans="1:16" ht="86.25">
      <c r="A50" s="2" t="s">
        <v>279</v>
      </c>
      <c r="B50" s="2" t="s">
        <v>28</v>
      </c>
      <c r="C50" s="2" t="s">
        <v>113</v>
      </c>
      <c r="D50" s="2" t="s">
        <v>53</v>
      </c>
      <c r="E50" s="2" t="s">
        <v>280</v>
      </c>
      <c r="F50" s="2" t="s">
        <v>281</v>
      </c>
      <c r="G50" s="2" t="s">
        <v>282</v>
      </c>
      <c r="H50" s="2" t="s">
        <v>283</v>
      </c>
      <c r="I50" s="7" t="s">
        <v>405</v>
      </c>
      <c r="J50" s="7" t="s">
        <v>12</v>
      </c>
      <c r="K50" s="7"/>
      <c r="L50" s="8"/>
      <c r="M50" s="7"/>
      <c r="N50" s="7"/>
      <c r="O50" s="7" t="s">
        <v>398</v>
      </c>
      <c r="P50" s="2" t="s">
        <v>35</v>
      </c>
    </row>
    <row r="51" spans="1:16" ht="85.5">
      <c r="A51" s="2" t="s">
        <v>284</v>
      </c>
      <c r="B51" s="2" t="s">
        <v>28</v>
      </c>
      <c r="C51" s="2" t="s">
        <v>113</v>
      </c>
      <c r="D51" s="2" t="s">
        <v>59</v>
      </c>
      <c r="E51" s="2" t="s">
        <v>285</v>
      </c>
      <c r="F51" s="2" t="s">
        <v>286</v>
      </c>
      <c r="G51" s="2" t="s">
        <v>287</v>
      </c>
      <c r="H51" s="2" t="s">
        <v>288</v>
      </c>
      <c r="I51" s="7" t="s">
        <v>405</v>
      </c>
      <c r="J51" s="7" t="s">
        <v>12</v>
      </c>
      <c r="K51" s="7"/>
      <c r="L51" s="8"/>
      <c r="M51" s="7"/>
      <c r="N51" s="7"/>
      <c r="O51" s="7" t="s">
        <v>398</v>
      </c>
      <c r="P51" s="2" t="s">
        <v>35</v>
      </c>
    </row>
    <row r="52" spans="1:16" ht="85.5">
      <c r="A52" s="2" t="s">
        <v>289</v>
      </c>
      <c r="B52" s="2" t="s">
        <v>28</v>
      </c>
      <c r="C52" s="2" t="s">
        <v>113</v>
      </c>
      <c r="D52" s="2" t="s">
        <v>59</v>
      </c>
      <c r="E52" s="2" t="s">
        <v>290</v>
      </c>
      <c r="F52" s="2" t="s">
        <v>291</v>
      </c>
      <c r="G52" s="2" t="s">
        <v>292</v>
      </c>
      <c r="H52" s="2" t="s">
        <v>293</v>
      </c>
      <c r="I52" s="7" t="s">
        <v>405</v>
      </c>
      <c r="J52" s="7" t="s">
        <v>12</v>
      </c>
      <c r="K52" s="7"/>
      <c r="L52" s="8"/>
      <c r="M52" s="7"/>
      <c r="N52" s="7"/>
      <c r="O52" s="7" t="s">
        <v>398</v>
      </c>
      <c r="P52" s="2" t="s">
        <v>35</v>
      </c>
    </row>
    <row r="53" spans="1:16" ht="29.25">
      <c r="A53" s="2" t="s">
        <v>294</v>
      </c>
      <c r="B53" s="2" t="s">
        <v>29</v>
      </c>
      <c r="C53" s="2" t="s">
        <v>29</v>
      </c>
      <c r="D53" s="2" t="s">
        <v>53</v>
      </c>
      <c r="E53" s="2" t="s">
        <v>295</v>
      </c>
      <c r="F53" s="2" t="s">
        <v>296</v>
      </c>
      <c r="G53" s="2" t="s">
        <v>297</v>
      </c>
      <c r="H53" s="2" t="s">
        <v>298</v>
      </c>
      <c r="I53" s="7"/>
      <c r="J53" s="7" t="s">
        <v>14</v>
      </c>
      <c r="K53" s="7"/>
      <c r="L53" s="8"/>
      <c r="M53" s="7"/>
      <c r="N53" s="7"/>
      <c r="O53" s="7"/>
      <c r="P53" s="2" t="s">
        <v>36</v>
      </c>
    </row>
    <row r="54" spans="1:16">
      <c r="A54" s="2" t="s">
        <v>299</v>
      </c>
      <c r="B54" s="2" t="s">
        <v>29</v>
      </c>
      <c r="C54" s="2" t="s">
        <v>29</v>
      </c>
      <c r="D54" s="2" t="s">
        <v>59</v>
      </c>
      <c r="E54" s="2" t="s">
        <v>300</v>
      </c>
      <c r="F54" s="2" t="s">
        <v>301</v>
      </c>
      <c r="G54" s="2" t="s">
        <v>302</v>
      </c>
      <c r="H54" s="2" t="s">
        <v>303</v>
      </c>
      <c r="I54" s="7"/>
      <c r="J54" s="7" t="s">
        <v>14</v>
      </c>
      <c r="K54" s="7"/>
      <c r="L54" s="8"/>
      <c r="M54" s="7"/>
      <c r="N54" s="7"/>
      <c r="O54" s="7"/>
      <c r="P54" s="2" t="s">
        <v>36</v>
      </c>
    </row>
    <row r="55" spans="1:16" ht="28.5">
      <c r="A55" s="2" t="s">
        <v>304</v>
      </c>
      <c r="B55" s="2" t="s">
        <v>29</v>
      </c>
      <c r="C55" s="2" t="s">
        <v>29</v>
      </c>
      <c r="D55" s="2" t="s">
        <v>59</v>
      </c>
      <c r="E55" s="2" t="s">
        <v>305</v>
      </c>
      <c r="F55" s="2" t="s">
        <v>306</v>
      </c>
      <c r="G55" s="2" t="s">
        <v>307</v>
      </c>
      <c r="H55" s="2" t="s">
        <v>308</v>
      </c>
      <c r="I55" s="7"/>
      <c r="J55" s="7" t="s">
        <v>14</v>
      </c>
      <c r="K55" s="7"/>
      <c r="L55" s="8"/>
      <c r="M55" s="7"/>
      <c r="N55" s="7"/>
      <c r="O55" s="7"/>
      <c r="P55" s="2" t="s">
        <v>37</v>
      </c>
    </row>
    <row r="56" spans="1:16" ht="29.25">
      <c r="A56" s="2" t="s">
        <v>309</v>
      </c>
      <c r="B56" s="2" t="s">
        <v>30</v>
      </c>
      <c r="C56" s="2" t="s">
        <v>30</v>
      </c>
      <c r="D56" s="2" t="s">
        <v>53</v>
      </c>
      <c r="E56" s="2" t="s">
        <v>310</v>
      </c>
      <c r="F56" s="2" t="s">
        <v>311</v>
      </c>
      <c r="G56" s="2" t="s">
        <v>312</v>
      </c>
      <c r="H56" s="2" t="s">
        <v>313</v>
      </c>
      <c r="I56" s="7"/>
      <c r="J56" s="7" t="s">
        <v>14</v>
      </c>
      <c r="K56" s="7"/>
      <c r="L56" s="8"/>
      <c r="M56" s="7"/>
      <c r="N56" s="7"/>
      <c r="O56" s="7"/>
      <c r="P56" s="2" t="s">
        <v>37</v>
      </c>
    </row>
    <row r="57" spans="1:16" ht="29.25">
      <c r="A57" s="2" t="s">
        <v>314</v>
      </c>
      <c r="B57" s="2" t="s">
        <v>30</v>
      </c>
      <c r="C57" s="2" t="s">
        <v>30</v>
      </c>
      <c r="D57" s="2" t="s">
        <v>53</v>
      </c>
      <c r="E57" s="2" t="s">
        <v>315</v>
      </c>
      <c r="F57" s="2" t="s">
        <v>316</v>
      </c>
      <c r="G57" s="2" t="s">
        <v>317</v>
      </c>
      <c r="H57" s="2" t="s">
        <v>318</v>
      </c>
      <c r="I57" s="7"/>
      <c r="J57" s="7" t="s">
        <v>14</v>
      </c>
      <c r="K57" s="7"/>
      <c r="L57" s="8"/>
      <c r="M57" s="7"/>
      <c r="N57" s="7"/>
      <c r="O57" s="7"/>
      <c r="P57" s="2" t="s">
        <v>37</v>
      </c>
    </row>
    <row r="58" spans="1:16" ht="28.5">
      <c r="A58" s="2" t="s">
        <v>319</v>
      </c>
      <c r="B58" s="2" t="s">
        <v>30</v>
      </c>
      <c r="C58" s="2" t="s">
        <v>30</v>
      </c>
      <c r="D58" s="2" t="s">
        <v>59</v>
      </c>
      <c r="E58" s="2" t="s">
        <v>320</v>
      </c>
      <c r="F58" s="2" t="s">
        <v>321</v>
      </c>
      <c r="G58" s="2" t="s">
        <v>322</v>
      </c>
      <c r="H58" s="2" t="s">
        <v>323</v>
      </c>
      <c r="I58" s="7"/>
      <c r="J58" s="7" t="s">
        <v>14</v>
      </c>
      <c r="K58" s="7"/>
      <c r="L58" s="8"/>
      <c r="M58" s="7"/>
      <c r="N58" s="7"/>
      <c r="O58" s="7"/>
      <c r="P58" s="2" t="s">
        <v>35</v>
      </c>
    </row>
    <row r="59" spans="1:16">
      <c r="A59" s="2" t="s">
        <v>324</v>
      </c>
      <c r="B59" s="2" t="s">
        <v>30</v>
      </c>
      <c r="C59" s="2" t="s">
        <v>30</v>
      </c>
      <c r="D59" s="2" t="s">
        <v>59</v>
      </c>
      <c r="E59" s="2" t="s">
        <v>325</v>
      </c>
      <c r="F59" s="2" t="s">
        <v>326</v>
      </c>
      <c r="G59" s="2" t="s">
        <v>327</v>
      </c>
      <c r="H59" s="2" t="s">
        <v>328</v>
      </c>
      <c r="I59" s="7"/>
      <c r="J59" s="7" t="s">
        <v>14</v>
      </c>
      <c r="K59" s="7"/>
      <c r="L59" s="8"/>
      <c r="M59" s="7"/>
      <c r="N59" s="7"/>
      <c r="O59" s="7"/>
      <c r="P59" s="2" t="s">
        <v>36</v>
      </c>
    </row>
    <row r="60" spans="1:16" ht="29.25">
      <c r="A60" s="2" t="s">
        <v>329</v>
      </c>
      <c r="B60" s="2" t="s">
        <v>33</v>
      </c>
      <c r="C60" s="2" t="s">
        <v>33</v>
      </c>
      <c r="D60" s="2" t="s">
        <v>53</v>
      </c>
      <c r="E60" s="2" t="s">
        <v>330</v>
      </c>
      <c r="F60" s="2" t="s">
        <v>331</v>
      </c>
      <c r="G60" s="2" t="s">
        <v>332</v>
      </c>
      <c r="H60" s="2" t="s">
        <v>333</v>
      </c>
      <c r="I60" s="7"/>
      <c r="J60" s="7" t="s">
        <v>14</v>
      </c>
      <c r="K60" s="7"/>
      <c r="L60" s="8"/>
      <c r="M60" s="7"/>
      <c r="N60" s="7"/>
      <c r="O60" s="7"/>
      <c r="P60" s="2" t="s">
        <v>37</v>
      </c>
    </row>
    <row r="61" spans="1:16" ht="29.25">
      <c r="A61" s="2" t="s">
        <v>334</v>
      </c>
      <c r="B61" s="2" t="s">
        <v>33</v>
      </c>
      <c r="C61" s="2" t="s">
        <v>33</v>
      </c>
      <c r="D61" s="2" t="s">
        <v>53</v>
      </c>
      <c r="E61" s="2" t="s">
        <v>335</v>
      </c>
      <c r="F61" s="2" t="s">
        <v>336</v>
      </c>
      <c r="G61" s="2" t="s">
        <v>337</v>
      </c>
      <c r="H61" s="2" t="s">
        <v>338</v>
      </c>
      <c r="I61" s="7"/>
      <c r="J61" s="7" t="s">
        <v>14</v>
      </c>
      <c r="K61" s="7"/>
      <c r="L61" s="8"/>
      <c r="M61" s="7"/>
      <c r="N61" s="7"/>
      <c r="O61" s="7"/>
      <c r="P61" s="2" t="s">
        <v>37</v>
      </c>
    </row>
    <row r="62" spans="1:16" ht="28.5">
      <c r="A62" s="2" t="s">
        <v>339</v>
      </c>
      <c r="B62" s="2" t="s">
        <v>33</v>
      </c>
      <c r="C62" s="2" t="s">
        <v>33</v>
      </c>
      <c r="D62" s="2" t="s">
        <v>59</v>
      </c>
      <c r="E62" s="2" t="s">
        <v>340</v>
      </c>
      <c r="F62" s="2" t="s">
        <v>341</v>
      </c>
      <c r="G62" s="2" t="s">
        <v>342</v>
      </c>
      <c r="H62" s="2" t="s">
        <v>343</v>
      </c>
      <c r="I62" s="7"/>
      <c r="J62" s="7" t="s">
        <v>14</v>
      </c>
      <c r="K62" s="7"/>
      <c r="L62" s="8"/>
      <c r="M62" s="7"/>
      <c r="N62" s="7"/>
      <c r="O62" s="7"/>
      <c r="P62" s="2" t="s">
        <v>37</v>
      </c>
    </row>
  </sheetData>
  <conditionalFormatting sqref="D2:D62">
    <cfRule type="expression" dxfId="5" priority="5">
      <formula>D2="Critical"</formula>
    </cfRule>
    <cfRule type="expression" dxfId="4" priority="6">
      <formula>D2="High"</formula>
    </cfRule>
  </conditionalFormatting>
  <conditionalFormatting sqref="J2:J62">
    <cfRule type="expression" dxfId="3" priority="1">
      <formula>J2="Pass"</formula>
    </cfRule>
    <cfRule type="expression" dxfId="2" priority="2">
      <formula>J2="Fail"</formula>
    </cfRule>
    <cfRule type="expression" dxfId="1" priority="3">
      <formula>J2="Blocked"</formula>
    </cfRule>
    <cfRule type="expression" dxfId="0" priority="4">
      <formula>J2="Not Run"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Reference!$D$2:$D$18</xm:f>
          </x14:formula1>
          <xm:sqref>B2:B62</xm:sqref>
        </x14:dataValidation>
        <x14:dataValidation type="list" xr:uid="{00000000-0002-0000-0100-000001000000}">
          <x14:formula1>
            <xm:f>Reference!$B$2:$B$10</xm:f>
          </x14:formula1>
          <xm:sqref>C2:C62</xm:sqref>
        </x14:dataValidation>
        <x14:dataValidation type="list" xr:uid="{00000000-0002-0000-0100-000002000000}">
          <x14:formula1>
            <xm:f>Reference!$C$2:$C$5</xm:f>
          </x14:formula1>
          <xm:sqref>D2:D62</xm:sqref>
        </x14:dataValidation>
        <x14:dataValidation type="list" xr:uid="{00000000-0002-0000-0100-000003000000}">
          <x14:formula1>
            <xm:f>Reference!$A$2:$A$5</xm:f>
          </x14:formula1>
          <xm:sqref>J2:J62</xm:sqref>
        </x14:dataValidation>
        <x14:dataValidation type="list" xr:uid="{00000000-0002-0000-0100-000004000000}">
          <x14:formula1>
            <xm:f>Reference!$I$2:$I$5</xm:f>
          </x14:formula1>
          <xm:sqref>P2:P62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0"/>
  <sheetViews>
    <sheetView workbookViewId="0"/>
  </sheetViews>
  <sheetFormatPr defaultRowHeight="14.25"/>
  <cols>
    <col min="1" max="1" width="14" customWidth="1"/>
    <col min="2" max="2" width="16" customWidth="1"/>
    <col min="3" max="3" width="18" customWidth="1"/>
    <col min="4" max="4" width="32" customWidth="1"/>
    <col min="5" max="5" width="40" customWidth="1"/>
    <col min="6" max="6" width="16" customWidth="1"/>
    <col min="7" max="7" width="13" customWidth="1"/>
    <col min="8" max="8" width="24" customWidth="1"/>
  </cols>
  <sheetData>
    <row r="1" spans="1:8" ht="15">
      <c r="A1" s="1" t="s">
        <v>48</v>
      </c>
      <c r="B1" s="1" t="s">
        <v>38</v>
      </c>
      <c r="C1" s="1" t="s">
        <v>344</v>
      </c>
      <c r="D1" s="1" t="s">
        <v>345</v>
      </c>
      <c r="E1" s="1" t="s">
        <v>346</v>
      </c>
      <c r="F1" s="1" t="s">
        <v>347</v>
      </c>
      <c r="G1" s="1" t="s">
        <v>348</v>
      </c>
      <c r="H1" s="1" t="s">
        <v>50</v>
      </c>
    </row>
    <row r="2" spans="1:8" ht="28.5">
      <c r="A2" s="2" t="s">
        <v>349</v>
      </c>
      <c r="B2" s="2"/>
      <c r="C2" s="2" t="s">
        <v>350</v>
      </c>
      <c r="D2" s="2" t="s">
        <v>351</v>
      </c>
      <c r="E2" s="2"/>
      <c r="F2" s="2"/>
      <c r="G2" s="3"/>
      <c r="H2" s="2"/>
    </row>
    <row r="3" spans="1:8" ht="28.5">
      <c r="A3" s="2" t="s">
        <v>352</v>
      </c>
      <c r="B3" s="2"/>
      <c r="C3" s="2" t="s">
        <v>353</v>
      </c>
      <c r="D3" s="2" t="s">
        <v>354</v>
      </c>
      <c r="E3" s="2"/>
      <c r="F3" s="2"/>
      <c r="G3" s="3"/>
      <c r="H3" s="2"/>
    </row>
    <row r="4" spans="1:8">
      <c r="A4" s="2" t="s">
        <v>355</v>
      </c>
      <c r="B4" s="2"/>
      <c r="C4" s="2" t="s">
        <v>356</v>
      </c>
      <c r="D4" s="2" t="s">
        <v>357</v>
      </c>
      <c r="E4" s="2"/>
      <c r="F4" s="2"/>
      <c r="G4" s="3"/>
      <c r="H4" s="2"/>
    </row>
    <row r="5" spans="1:8">
      <c r="A5" s="2" t="s">
        <v>358</v>
      </c>
      <c r="B5" s="2"/>
      <c r="C5" s="2" t="s">
        <v>356</v>
      </c>
      <c r="D5" s="2" t="s">
        <v>359</v>
      </c>
      <c r="E5" s="2"/>
      <c r="F5" s="2"/>
      <c r="G5" s="3"/>
      <c r="H5" s="2"/>
    </row>
    <row r="6" spans="1:8" ht="28.5">
      <c r="A6" s="2" t="s">
        <v>360</v>
      </c>
      <c r="B6" s="2"/>
      <c r="C6" s="2" t="s">
        <v>361</v>
      </c>
      <c r="D6" s="2" t="s">
        <v>362</v>
      </c>
      <c r="E6" s="2"/>
      <c r="F6" s="2"/>
      <c r="G6" s="3"/>
      <c r="H6" s="2"/>
    </row>
    <row r="7" spans="1:8">
      <c r="A7" s="2"/>
      <c r="B7" s="2"/>
      <c r="C7" s="2"/>
      <c r="D7" s="2"/>
      <c r="E7" s="2"/>
      <c r="F7" s="2"/>
      <c r="G7" s="3"/>
      <c r="H7" s="2"/>
    </row>
    <row r="8" spans="1:8">
      <c r="A8" s="2"/>
      <c r="B8" s="2"/>
      <c r="C8" s="2"/>
      <c r="D8" s="2"/>
      <c r="E8" s="2"/>
      <c r="F8" s="2"/>
      <c r="G8" s="3"/>
      <c r="H8" s="2"/>
    </row>
    <row r="9" spans="1:8">
      <c r="A9" s="2"/>
      <c r="B9" s="2"/>
      <c r="C9" s="2"/>
      <c r="D9" s="2"/>
      <c r="E9" s="2"/>
      <c r="F9" s="2"/>
      <c r="G9" s="3"/>
      <c r="H9" s="2"/>
    </row>
    <row r="10" spans="1:8">
      <c r="A10" s="2"/>
      <c r="B10" s="2"/>
      <c r="C10" s="2"/>
      <c r="D10" s="2"/>
      <c r="E10" s="2"/>
      <c r="F10" s="2"/>
      <c r="G10" s="3"/>
      <c r="H10" s="2"/>
    </row>
    <row r="11" spans="1:8">
      <c r="A11" s="2"/>
      <c r="B11" s="2"/>
      <c r="C11" s="2"/>
      <c r="D11" s="2"/>
      <c r="E11" s="2"/>
      <c r="F11" s="2"/>
      <c r="G11" s="3"/>
      <c r="H11" s="2"/>
    </row>
    <row r="12" spans="1:8">
      <c r="A12" s="2"/>
      <c r="B12" s="2"/>
      <c r="C12" s="2"/>
      <c r="D12" s="2"/>
      <c r="E12" s="2"/>
      <c r="F12" s="2"/>
      <c r="G12" s="3"/>
      <c r="H12" s="2"/>
    </row>
    <row r="13" spans="1:8">
      <c r="A13" s="2"/>
      <c r="B13" s="2"/>
      <c r="C13" s="2"/>
      <c r="D13" s="2"/>
      <c r="E13" s="2"/>
      <c r="F13" s="2"/>
      <c r="G13" s="3"/>
      <c r="H13" s="2"/>
    </row>
    <row r="14" spans="1:8">
      <c r="A14" s="2"/>
      <c r="B14" s="2"/>
      <c r="C14" s="2"/>
      <c r="D14" s="2"/>
      <c r="E14" s="2"/>
      <c r="F14" s="2"/>
      <c r="G14" s="3"/>
      <c r="H14" s="2"/>
    </row>
    <row r="15" spans="1:8">
      <c r="A15" s="2"/>
      <c r="B15" s="2"/>
      <c r="C15" s="2"/>
      <c r="D15" s="2"/>
      <c r="E15" s="2"/>
      <c r="F15" s="2"/>
      <c r="G15" s="3"/>
      <c r="H15" s="2"/>
    </row>
    <row r="16" spans="1:8">
      <c r="A16" s="2"/>
      <c r="B16" s="2"/>
      <c r="C16" s="2"/>
      <c r="D16" s="2"/>
      <c r="E16" s="2"/>
      <c r="F16" s="2"/>
      <c r="G16" s="3"/>
      <c r="H16" s="2"/>
    </row>
    <row r="17" spans="1:8">
      <c r="A17" s="2"/>
      <c r="B17" s="2"/>
      <c r="C17" s="2"/>
      <c r="D17" s="2"/>
      <c r="E17" s="2"/>
      <c r="F17" s="2"/>
      <c r="G17" s="3"/>
      <c r="H17" s="2"/>
    </row>
    <row r="18" spans="1:8">
      <c r="A18" s="2"/>
      <c r="B18" s="2"/>
      <c r="C18" s="2"/>
      <c r="D18" s="2"/>
      <c r="E18" s="2"/>
      <c r="F18" s="2"/>
      <c r="G18" s="3"/>
      <c r="H18" s="2"/>
    </row>
    <row r="19" spans="1:8">
      <c r="A19" s="2"/>
      <c r="B19" s="2"/>
      <c r="C19" s="2"/>
      <c r="D19" s="2"/>
      <c r="E19" s="2"/>
      <c r="F19" s="2"/>
      <c r="G19" s="3"/>
      <c r="H19" s="2"/>
    </row>
    <row r="20" spans="1:8">
      <c r="A20" s="2"/>
      <c r="B20" s="2"/>
      <c r="C20" s="2"/>
      <c r="D20" s="2"/>
      <c r="E20" s="2"/>
      <c r="F20" s="2"/>
      <c r="G20" s="3"/>
      <c r="H20" s="2"/>
    </row>
    <row r="21" spans="1:8">
      <c r="A21" s="2"/>
      <c r="B21" s="2"/>
      <c r="C21" s="2"/>
      <c r="D21" s="2"/>
      <c r="E21" s="2"/>
      <c r="F21" s="2"/>
      <c r="G21" s="3"/>
      <c r="H21" s="2"/>
    </row>
    <row r="22" spans="1:8">
      <c r="A22" s="2"/>
      <c r="B22" s="2"/>
      <c r="C22" s="2"/>
      <c r="D22" s="2"/>
      <c r="E22" s="2"/>
      <c r="F22" s="2"/>
      <c r="G22" s="3"/>
      <c r="H22" s="2"/>
    </row>
    <row r="23" spans="1:8">
      <c r="A23" s="2"/>
      <c r="B23" s="2"/>
      <c r="C23" s="2"/>
      <c r="D23" s="2"/>
      <c r="E23" s="2"/>
      <c r="F23" s="2"/>
      <c r="G23" s="3"/>
      <c r="H23" s="2"/>
    </row>
    <row r="24" spans="1:8">
      <c r="A24" s="2"/>
      <c r="B24" s="2"/>
      <c r="C24" s="2"/>
      <c r="D24" s="2"/>
      <c r="E24" s="2"/>
      <c r="F24" s="2"/>
      <c r="G24" s="3"/>
      <c r="H24" s="2"/>
    </row>
    <row r="25" spans="1:8">
      <c r="A25" s="2"/>
      <c r="B25" s="2"/>
      <c r="C25" s="2"/>
      <c r="D25" s="2"/>
      <c r="E25" s="2"/>
      <c r="F25" s="2"/>
      <c r="G25" s="3"/>
      <c r="H25" s="2"/>
    </row>
    <row r="26" spans="1:8">
      <c r="A26" s="2"/>
      <c r="B26" s="2"/>
      <c r="C26" s="2"/>
      <c r="D26" s="2"/>
      <c r="E26" s="2"/>
      <c r="F26" s="2"/>
      <c r="G26" s="3"/>
      <c r="H26" s="2"/>
    </row>
    <row r="27" spans="1:8">
      <c r="A27" s="2"/>
      <c r="B27" s="2"/>
      <c r="C27" s="2"/>
      <c r="D27" s="2"/>
      <c r="E27" s="2"/>
      <c r="F27" s="2"/>
      <c r="G27" s="3"/>
      <c r="H27" s="2"/>
    </row>
    <row r="28" spans="1:8">
      <c r="A28" s="2"/>
      <c r="B28" s="2"/>
      <c r="C28" s="2"/>
      <c r="D28" s="2"/>
      <c r="E28" s="2"/>
      <c r="F28" s="2"/>
      <c r="G28" s="3"/>
      <c r="H28" s="2"/>
    </row>
    <row r="29" spans="1:8">
      <c r="A29" s="2"/>
      <c r="B29" s="2"/>
      <c r="C29" s="2"/>
      <c r="D29" s="2"/>
      <c r="E29" s="2"/>
      <c r="F29" s="2"/>
      <c r="G29" s="3"/>
      <c r="H29" s="2"/>
    </row>
    <row r="30" spans="1:8">
      <c r="A30" s="2"/>
      <c r="B30" s="2"/>
      <c r="C30" s="2"/>
      <c r="D30" s="2"/>
      <c r="E30" s="2"/>
      <c r="F30" s="2"/>
      <c r="G30" s="3"/>
      <c r="H30" s="2"/>
    </row>
    <row r="31" spans="1:8">
      <c r="A31" s="2"/>
      <c r="B31" s="2"/>
      <c r="C31" s="2"/>
      <c r="D31" s="2"/>
      <c r="E31" s="2"/>
      <c r="F31" s="2"/>
      <c r="G31" s="3"/>
      <c r="H31" s="2"/>
    </row>
    <row r="32" spans="1:8">
      <c r="A32" s="2"/>
      <c r="B32" s="2"/>
      <c r="C32" s="2"/>
      <c r="D32" s="2"/>
      <c r="E32" s="2"/>
      <c r="F32" s="2"/>
      <c r="G32" s="3"/>
      <c r="H32" s="2"/>
    </row>
    <row r="33" spans="1:8">
      <c r="A33" s="2"/>
      <c r="B33" s="2"/>
      <c r="C33" s="2"/>
      <c r="D33" s="2"/>
      <c r="E33" s="2"/>
      <c r="F33" s="2"/>
      <c r="G33" s="3"/>
      <c r="H33" s="2"/>
    </row>
    <row r="34" spans="1:8">
      <c r="A34" s="2"/>
      <c r="B34" s="2"/>
      <c r="C34" s="2"/>
      <c r="D34" s="2"/>
      <c r="E34" s="2"/>
      <c r="F34" s="2"/>
      <c r="G34" s="3"/>
      <c r="H34" s="2"/>
    </row>
    <row r="35" spans="1:8">
      <c r="A35" s="2"/>
      <c r="B35" s="2"/>
      <c r="C35" s="2"/>
      <c r="D35" s="2"/>
      <c r="E35" s="2"/>
      <c r="F35" s="2"/>
      <c r="G35" s="3"/>
      <c r="H35" s="2"/>
    </row>
    <row r="36" spans="1:8">
      <c r="A36" s="2"/>
      <c r="B36" s="2"/>
      <c r="C36" s="2"/>
      <c r="D36" s="2"/>
      <c r="E36" s="2"/>
      <c r="F36" s="2"/>
      <c r="G36" s="3"/>
      <c r="H36" s="2"/>
    </row>
    <row r="37" spans="1:8">
      <c r="A37" s="2"/>
      <c r="B37" s="2"/>
      <c r="C37" s="2"/>
      <c r="D37" s="2"/>
      <c r="E37" s="2"/>
      <c r="F37" s="2"/>
      <c r="G37" s="3"/>
      <c r="H37" s="2"/>
    </row>
    <row r="38" spans="1:8">
      <c r="A38" s="2"/>
      <c r="B38" s="2"/>
      <c r="C38" s="2"/>
      <c r="D38" s="2"/>
      <c r="E38" s="2"/>
      <c r="F38" s="2"/>
      <c r="G38" s="3"/>
      <c r="H38" s="2"/>
    </row>
    <row r="39" spans="1:8">
      <c r="A39" s="2"/>
      <c r="B39" s="2"/>
      <c r="C39" s="2"/>
      <c r="D39" s="2"/>
      <c r="E39" s="2"/>
      <c r="F39" s="2"/>
      <c r="G39" s="3"/>
      <c r="H39" s="2"/>
    </row>
    <row r="40" spans="1:8">
      <c r="A40" s="2"/>
      <c r="B40" s="2"/>
      <c r="C40" s="2"/>
      <c r="D40" s="2"/>
      <c r="E40" s="2"/>
      <c r="F40" s="2"/>
      <c r="G40" s="3"/>
      <c r="H40" s="2"/>
    </row>
    <row r="41" spans="1:8">
      <c r="A41" s="2"/>
      <c r="B41" s="2"/>
      <c r="C41" s="2"/>
      <c r="D41" s="2"/>
      <c r="E41" s="2"/>
      <c r="F41" s="2"/>
      <c r="G41" s="3"/>
      <c r="H41" s="2"/>
    </row>
    <row r="42" spans="1:8">
      <c r="A42" s="2"/>
      <c r="B42" s="2"/>
      <c r="C42" s="2"/>
      <c r="D42" s="2"/>
      <c r="E42" s="2"/>
      <c r="F42" s="2"/>
      <c r="G42" s="3"/>
      <c r="H42" s="2"/>
    </row>
    <row r="43" spans="1:8">
      <c r="A43" s="2"/>
      <c r="B43" s="2"/>
      <c r="C43" s="2"/>
      <c r="D43" s="2"/>
      <c r="E43" s="2"/>
      <c r="F43" s="2"/>
      <c r="G43" s="3"/>
      <c r="H43" s="2"/>
    </row>
    <row r="44" spans="1:8">
      <c r="A44" s="2"/>
      <c r="B44" s="2"/>
      <c r="C44" s="2"/>
      <c r="D44" s="2"/>
      <c r="E44" s="2"/>
      <c r="F44" s="2"/>
      <c r="G44" s="3"/>
      <c r="H44" s="2"/>
    </row>
    <row r="45" spans="1:8">
      <c r="A45" s="2"/>
      <c r="B45" s="2"/>
      <c r="C45" s="2"/>
      <c r="D45" s="2"/>
      <c r="E45" s="2"/>
      <c r="F45" s="2"/>
      <c r="G45" s="3"/>
      <c r="H45" s="2"/>
    </row>
    <row r="46" spans="1:8">
      <c r="A46" s="2"/>
      <c r="B46" s="2"/>
      <c r="C46" s="2"/>
      <c r="D46" s="2"/>
      <c r="E46" s="2"/>
      <c r="F46" s="2"/>
      <c r="G46" s="3"/>
      <c r="H46" s="2"/>
    </row>
    <row r="47" spans="1:8">
      <c r="A47" s="2"/>
      <c r="B47" s="2"/>
      <c r="C47" s="2"/>
      <c r="D47" s="2"/>
      <c r="E47" s="2"/>
      <c r="F47" s="2"/>
      <c r="G47" s="3"/>
      <c r="H47" s="2"/>
    </row>
    <row r="48" spans="1:8">
      <c r="A48" s="2"/>
      <c r="B48" s="2"/>
      <c r="C48" s="2"/>
      <c r="D48" s="2"/>
      <c r="E48" s="2"/>
      <c r="F48" s="2"/>
      <c r="G48" s="3"/>
      <c r="H48" s="2"/>
    </row>
    <row r="49" spans="1:8">
      <c r="A49" s="2"/>
      <c r="B49" s="2"/>
      <c r="C49" s="2"/>
      <c r="D49" s="2"/>
      <c r="E49" s="2"/>
      <c r="F49" s="2"/>
      <c r="G49" s="3"/>
      <c r="H49" s="2"/>
    </row>
    <row r="50" spans="1:8">
      <c r="A50" s="2"/>
      <c r="B50" s="2"/>
      <c r="C50" s="2"/>
      <c r="D50" s="2"/>
      <c r="E50" s="2"/>
      <c r="F50" s="2"/>
      <c r="G50" s="3"/>
      <c r="H50" s="2"/>
    </row>
    <row r="51" spans="1:8">
      <c r="A51" s="2"/>
      <c r="B51" s="2"/>
      <c r="C51" s="2"/>
      <c r="D51" s="2"/>
      <c r="E51" s="2"/>
      <c r="F51" s="2"/>
      <c r="G51" s="3"/>
      <c r="H51" s="2"/>
    </row>
    <row r="52" spans="1:8">
      <c r="A52" s="2"/>
      <c r="B52" s="2"/>
      <c r="C52" s="2"/>
      <c r="D52" s="2"/>
      <c r="E52" s="2"/>
      <c r="F52" s="2"/>
      <c r="G52" s="3"/>
      <c r="H52" s="2"/>
    </row>
    <row r="53" spans="1:8">
      <c r="A53" s="2"/>
      <c r="B53" s="2"/>
      <c r="C53" s="2"/>
      <c r="D53" s="2"/>
      <c r="E53" s="2"/>
      <c r="F53" s="2"/>
      <c r="G53" s="3"/>
      <c r="H53" s="2"/>
    </row>
    <row r="54" spans="1:8">
      <c r="A54" s="2"/>
      <c r="B54" s="2"/>
      <c r="C54" s="2"/>
      <c r="D54" s="2"/>
      <c r="E54" s="2"/>
      <c r="F54" s="2"/>
      <c r="G54" s="3"/>
      <c r="H54" s="2"/>
    </row>
    <row r="55" spans="1:8">
      <c r="A55" s="2"/>
      <c r="B55" s="2"/>
      <c r="C55" s="2"/>
      <c r="D55" s="2"/>
      <c r="E55" s="2"/>
      <c r="F55" s="2"/>
      <c r="G55" s="3"/>
      <c r="H55" s="2"/>
    </row>
    <row r="56" spans="1:8">
      <c r="A56" s="2"/>
      <c r="B56" s="2"/>
      <c r="C56" s="2"/>
      <c r="D56" s="2"/>
      <c r="E56" s="2"/>
      <c r="F56" s="2"/>
      <c r="G56" s="3"/>
      <c r="H56" s="2"/>
    </row>
    <row r="57" spans="1:8">
      <c r="A57" s="2"/>
      <c r="B57" s="2"/>
      <c r="C57" s="2"/>
      <c r="D57" s="2"/>
      <c r="E57" s="2"/>
      <c r="F57" s="2"/>
      <c r="G57" s="3"/>
      <c r="H57" s="2"/>
    </row>
    <row r="58" spans="1:8">
      <c r="A58" s="2"/>
      <c r="B58" s="2"/>
      <c r="C58" s="2"/>
      <c r="D58" s="2"/>
      <c r="E58" s="2"/>
      <c r="F58" s="2"/>
      <c r="G58" s="3"/>
      <c r="H58" s="2"/>
    </row>
    <row r="59" spans="1:8">
      <c r="A59" s="2"/>
      <c r="B59" s="2"/>
      <c r="C59" s="2"/>
      <c r="D59" s="2"/>
      <c r="E59" s="2"/>
      <c r="F59" s="2"/>
      <c r="G59" s="3"/>
      <c r="H59" s="2"/>
    </row>
    <row r="60" spans="1:8">
      <c r="A60" s="2"/>
      <c r="B60" s="2"/>
      <c r="C60" s="2"/>
      <c r="D60" s="2"/>
      <c r="E60" s="2"/>
      <c r="F60" s="2"/>
      <c r="G60" s="3"/>
      <c r="H60" s="2"/>
    </row>
    <row r="61" spans="1:8">
      <c r="A61" s="2"/>
      <c r="B61" s="2"/>
      <c r="C61" s="2"/>
      <c r="D61" s="2"/>
      <c r="E61" s="2"/>
      <c r="F61" s="2"/>
      <c r="G61" s="3"/>
      <c r="H61" s="2"/>
    </row>
    <row r="62" spans="1:8">
      <c r="A62" s="2"/>
      <c r="B62" s="2"/>
      <c r="C62" s="2"/>
      <c r="D62" s="2"/>
      <c r="E62" s="2"/>
      <c r="F62" s="2"/>
      <c r="G62" s="3"/>
      <c r="H62" s="2"/>
    </row>
    <row r="63" spans="1:8">
      <c r="A63" s="2"/>
      <c r="B63" s="2"/>
      <c r="C63" s="2"/>
      <c r="D63" s="2"/>
      <c r="E63" s="2"/>
      <c r="F63" s="2"/>
      <c r="G63" s="3"/>
      <c r="H63" s="2"/>
    </row>
    <row r="64" spans="1:8">
      <c r="A64" s="2"/>
      <c r="B64" s="2"/>
      <c r="C64" s="2"/>
      <c r="D64" s="2"/>
      <c r="E64" s="2"/>
      <c r="F64" s="2"/>
      <c r="G64" s="3"/>
      <c r="H64" s="2"/>
    </row>
    <row r="65" spans="1:8">
      <c r="A65" s="2"/>
      <c r="B65" s="2"/>
      <c r="C65" s="2"/>
      <c r="D65" s="2"/>
      <c r="E65" s="2"/>
      <c r="F65" s="2"/>
      <c r="G65" s="3"/>
      <c r="H65" s="2"/>
    </row>
    <row r="66" spans="1:8">
      <c r="A66" s="2"/>
      <c r="B66" s="2"/>
      <c r="C66" s="2"/>
      <c r="D66" s="2"/>
      <c r="E66" s="2"/>
      <c r="F66" s="2"/>
      <c r="G66" s="3"/>
      <c r="H66" s="2"/>
    </row>
    <row r="67" spans="1:8">
      <c r="A67" s="2"/>
      <c r="B67" s="2"/>
      <c r="C67" s="2"/>
      <c r="D67" s="2"/>
      <c r="E67" s="2"/>
      <c r="F67" s="2"/>
      <c r="G67" s="3"/>
      <c r="H67" s="2"/>
    </row>
    <row r="68" spans="1:8">
      <c r="A68" s="2"/>
      <c r="B68" s="2"/>
      <c r="C68" s="2"/>
      <c r="D68" s="2"/>
      <c r="E68" s="2"/>
      <c r="F68" s="2"/>
      <c r="G68" s="3"/>
      <c r="H68" s="2"/>
    </row>
    <row r="69" spans="1:8">
      <c r="A69" s="2"/>
      <c r="B69" s="2"/>
      <c r="C69" s="2"/>
      <c r="D69" s="2"/>
      <c r="E69" s="2"/>
      <c r="F69" s="2"/>
      <c r="G69" s="3"/>
      <c r="H69" s="2"/>
    </row>
    <row r="70" spans="1:8">
      <c r="A70" s="2"/>
      <c r="B70" s="2"/>
      <c r="C70" s="2"/>
      <c r="D70" s="2"/>
      <c r="E70" s="2"/>
      <c r="F70" s="2"/>
      <c r="G70" s="3"/>
      <c r="H70" s="2"/>
    </row>
    <row r="71" spans="1:8">
      <c r="A71" s="2"/>
      <c r="B71" s="2"/>
      <c r="C71" s="2"/>
      <c r="D71" s="2"/>
      <c r="E71" s="2"/>
      <c r="F71" s="2"/>
      <c r="G71" s="3"/>
      <c r="H71" s="2"/>
    </row>
    <row r="72" spans="1:8">
      <c r="A72" s="2"/>
      <c r="B72" s="2"/>
      <c r="C72" s="2"/>
      <c r="D72" s="2"/>
      <c r="E72" s="2"/>
      <c r="F72" s="2"/>
      <c r="G72" s="3"/>
      <c r="H72" s="2"/>
    </row>
    <row r="73" spans="1:8">
      <c r="A73" s="2"/>
      <c r="B73" s="2"/>
      <c r="C73" s="2"/>
      <c r="D73" s="2"/>
      <c r="E73" s="2"/>
      <c r="F73" s="2"/>
      <c r="G73" s="3"/>
      <c r="H73" s="2"/>
    </row>
    <row r="74" spans="1:8">
      <c r="A74" s="2"/>
      <c r="B74" s="2"/>
      <c r="C74" s="2"/>
      <c r="D74" s="2"/>
      <c r="E74" s="2"/>
      <c r="F74" s="2"/>
      <c r="G74" s="3"/>
      <c r="H74" s="2"/>
    </row>
    <row r="75" spans="1:8">
      <c r="A75" s="2"/>
      <c r="B75" s="2"/>
      <c r="C75" s="2"/>
      <c r="D75" s="2"/>
      <c r="E75" s="2"/>
      <c r="F75" s="2"/>
      <c r="G75" s="3"/>
      <c r="H75" s="2"/>
    </row>
    <row r="76" spans="1:8">
      <c r="A76" s="2"/>
      <c r="B76" s="2"/>
      <c r="C76" s="2"/>
      <c r="D76" s="2"/>
      <c r="E76" s="2"/>
      <c r="F76" s="2"/>
      <c r="G76" s="3"/>
      <c r="H76" s="2"/>
    </row>
    <row r="77" spans="1:8">
      <c r="A77" s="2"/>
      <c r="B77" s="2"/>
      <c r="C77" s="2"/>
      <c r="D77" s="2"/>
      <c r="E77" s="2"/>
      <c r="F77" s="2"/>
      <c r="G77" s="3"/>
      <c r="H77" s="2"/>
    </row>
    <row r="78" spans="1:8">
      <c r="A78" s="2"/>
      <c r="B78" s="2"/>
      <c r="C78" s="2"/>
      <c r="D78" s="2"/>
      <c r="E78" s="2"/>
      <c r="F78" s="2"/>
      <c r="G78" s="3"/>
      <c r="H78" s="2"/>
    </row>
    <row r="79" spans="1:8">
      <c r="A79" s="2"/>
      <c r="B79" s="2"/>
      <c r="C79" s="2"/>
      <c r="D79" s="2"/>
      <c r="E79" s="2"/>
      <c r="F79" s="2"/>
      <c r="G79" s="3"/>
      <c r="H79" s="2"/>
    </row>
    <row r="80" spans="1:8">
      <c r="A80" s="2"/>
      <c r="B80" s="2"/>
      <c r="C80" s="2"/>
      <c r="D80" s="2"/>
      <c r="E80" s="2"/>
      <c r="F80" s="2"/>
      <c r="G80" s="3"/>
      <c r="H80" s="2"/>
    </row>
    <row r="81" spans="1:8">
      <c r="A81" s="2"/>
      <c r="B81" s="2"/>
      <c r="C81" s="2"/>
      <c r="D81" s="2"/>
      <c r="E81" s="2"/>
      <c r="F81" s="2"/>
      <c r="G81" s="3"/>
      <c r="H81" s="2"/>
    </row>
    <row r="82" spans="1:8">
      <c r="A82" s="2"/>
      <c r="B82" s="2"/>
      <c r="C82" s="2"/>
      <c r="D82" s="2"/>
      <c r="E82" s="2"/>
      <c r="F82" s="2"/>
      <c r="G82" s="3"/>
      <c r="H82" s="2"/>
    </row>
    <row r="83" spans="1:8">
      <c r="A83" s="2"/>
      <c r="B83" s="2"/>
      <c r="C83" s="2"/>
      <c r="D83" s="2"/>
      <c r="E83" s="2"/>
      <c r="F83" s="2"/>
      <c r="G83" s="3"/>
      <c r="H83" s="2"/>
    </row>
    <row r="84" spans="1:8">
      <c r="A84" s="2"/>
      <c r="B84" s="2"/>
      <c r="C84" s="2"/>
      <c r="D84" s="2"/>
      <c r="E84" s="2"/>
      <c r="F84" s="2"/>
      <c r="G84" s="3"/>
      <c r="H84" s="2"/>
    </row>
    <row r="85" spans="1:8">
      <c r="A85" s="2"/>
      <c r="B85" s="2"/>
      <c r="C85" s="2"/>
      <c r="D85" s="2"/>
      <c r="E85" s="2"/>
      <c r="F85" s="2"/>
      <c r="G85" s="3"/>
      <c r="H85" s="2"/>
    </row>
    <row r="86" spans="1:8">
      <c r="A86" s="2"/>
      <c r="B86" s="2"/>
      <c r="C86" s="2"/>
      <c r="D86" s="2"/>
      <c r="E86" s="2"/>
      <c r="F86" s="2"/>
      <c r="G86" s="3"/>
      <c r="H86" s="2"/>
    </row>
    <row r="87" spans="1:8">
      <c r="A87" s="2"/>
      <c r="B87" s="2"/>
      <c r="C87" s="2"/>
      <c r="D87" s="2"/>
      <c r="E87" s="2"/>
      <c r="F87" s="2"/>
      <c r="G87" s="3"/>
      <c r="H87" s="2"/>
    </row>
    <row r="88" spans="1:8">
      <c r="A88" s="2"/>
      <c r="B88" s="2"/>
      <c r="C88" s="2"/>
      <c r="D88" s="2"/>
      <c r="E88" s="2"/>
      <c r="F88" s="2"/>
      <c r="G88" s="3"/>
      <c r="H88" s="2"/>
    </row>
    <row r="89" spans="1:8">
      <c r="A89" s="2"/>
      <c r="B89" s="2"/>
      <c r="C89" s="2"/>
      <c r="D89" s="2"/>
      <c r="E89" s="2"/>
      <c r="F89" s="2"/>
      <c r="G89" s="3"/>
      <c r="H89" s="2"/>
    </row>
    <row r="90" spans="1:8">
      <c r="A90" s="2"/>
      <c r="B90" s="2"/>
      <c r="C90" s="2"/>
      <c r="D90" s="2"/>
      <c r="E90" s="2"/>
      <c r="F90" s="2"/>
      <c r="G90" s="3"/>
      <c r="H90" s="2"/>
    </row>
    <row r="91" spans="1:8">
      <c r="A91" s="2"/>
      <c r="B91" s="2"/>
      <c r="C91" s="2"/>
      <c r="D91" s="2"/>
      <c r="E91" s="2"/>
      <c r="F91" s="2"/>
      <c r="G91" s="3"/>
      <c r="H91" s="2"/>
    </row>
    <row r="92" spans="1:8">
      <c r="A92" s="2"/>
      <c r="B92" s="2"/>
      <c r="C92" s="2"/>
      <c r="D92" s="2"/>
      <c r="E92" s="2"/>
      <c r="F92" s="2"/>
      <c r="G92" s="3"/>
      <c r="H92" s="2"/>
    </row>
    <row r="93" spans="1:8">
      <c r="A93" s="2"/>
      <c r="B93" s="2"/>
      <c r="C93" s="2"/>
      <c r="D93" s="2"/>
      <c r="E93" s="2"/>
      <c r="F93" s="2"/>
      <c r="G93" s="3"/>
      <c r="H93" s="2"/>
    </row>
    <row r="94" spans="1:8">
      <c r="A94" s="2"/>
      <c r="B94" s="2"/>
      <c r="C94" s="2"/>
      <c r="D94" s="2"/>
      <c r="E94" s="2"/>
      <c r="F94" s="2"/>
      <c r="G94" s="3"/>
      <c r="H94" s="2"/>
    </row>
    <row r="95" spans="1:8">
      <c r="A95" s="2"/>
      <c r="B95" s="2"/>
      <c r="C95" s="2"/>
      <c r="D95" s="2"/>
      <c r="E95" s="2"/>
      <c r="F95" s="2"/>
      <c r="G95" s="3"/>
      <c r="H95" s="2"/>
    </row>
    <row r="96" spans="1:8">
      <c r="A96" s="2"/>
      <c r="B96" s="2"/>
      <c r="C96" s="2"/>
      <c r="D96" s="2"/>
      <c r="E96" s="2"/>
      <c r="F96" s="2"/>
      <c r="G96" s="3"/>
      <c r="H96" s="2"/>
    </row>
    <row r="97" spans="1:8">
      <c r="A97" s="2"/>
      <c r="B97" s="2"/>
      <c r="C97" s="2"/>
      <c r="D97" s="2"/>
      <c r="E97" s="2"/>
      <c r="F97" s="2"/>
      <c r="G97" s="3"/>
      <c r="H97" s="2"/>
    </row>
    <row r="98" spans="1:8">
      <c r="A98" s="2"/>
      <c r="B98" s="2"/>
      <c r="C98" s="2"/>
      <c r="D98" s="2"/>
      <c r="E98" s="2"/>
      <c r="F98" s="2"/>
      <c r="G98" s="3"/>
      <c r="H98" s="2"/>
    </row>
    <row r="99" spans="1:8">
      <c r="A99" s="2"/>
      <c r="B99" s="2"/>
      <c r="C99" s="2"/>
      <c r="D99" s="2"/>
      <c r="E99" s="2"/>
      <c r="F99" s="2"/>
      <c r="G99" s="3"/>
      <c r="H99" s="2"/>
    </row>
    <row r="100" spans="1:8">
      <c r="A100" s="2"/>
      <c r="B100" s="2"/>
      <c r="C100" s="2"/>
      <c r="D100" s="2"/>
      <c r="E100" s="2"/>
      <c r="F100" s="2"/>
      <c r="G100" s="3"/>
      <c r="H100" s="2"/>
    </row>
    <row r="101" spans="1:8">
      <c r="A101" s="2"/>
      <c r="B101" s="2"/>
      <c r="C101" s="2"/>
      <c r="D101" s="2"/>
      <c r="E101" s="2"/>
      <c r="F101" s="2"/>
      <c r="G101" s="3"/>
      <c r="H101" s="2"/>
    </row>
    <row r="102" spans="1:8">
      <c r="A102" s="2"/>
      <c r="B102" s="2"/>
      <c r="C102" s="2"/>
      <c r="D102" s="2"/>
      <c r="E102" s="2"/>
      <c r="F102" s="2"/>
      <c r="G102" s="3"/>
      <c r="H102" s="2"/>
    </row>
    <row r="103" spans="1:8">
      <c r="A103" s="2"/>
      <c r="B103" s="2"/>
      <c r="C103" s="2"/>
      <c r="D103" s="2"/>
      <c r="E103" s="2"/>
      <c r="F103" s="2"/>
      <c r="G103" s="3"/>
      <c r="H103" s="2"/>
    </row>
    <row r="104" spans="1:8">
      <c r="A104" s="2"/>
      <c r="B104" s="2"/>
      <c r="C104" s="2"/>
      <c r="D104" s="2"/>
      <c r="E104" s="2"/>
      <c r="F104" s="2"/>
      <c r="G104" s="3"/>
      <c r="H104" s="2"/>
    </row>
    <row r="105" spans="1:8">
      <c r="A105" s="2"/>
      <c r="B105" s="2"/>
      <c r="C105" s="2"/>
      <c r="D105" s="2"/>
      <c r="E105" s="2"/>
      <c r="F105" s="2"/>
      <c r="G105" s="3"/>
      <c r="H105" s="2"/>
    </row>
    <row r="106" spans="1:8">
      <c r="A106" s="2"/>
      <c r="B106" s="2"/>
      <c r="C106" s="2"/>
      <c r="D106" s="2"/>
      <c r="E106" s="2"/>
      <c r="F106" s="2"/>
      <c r="G106" s="3"/>
      <c r="H106" s="2"/>
    </row>
    <row r="107" spans="1:8">
      <c r="A107" s="2"/>
      <c r="B107" s="2"/>
      <c r="C107" s="2"/>
      <c r="D107" s="2"/>
      <c r="E107" s="2"/>
      <c r="F107" s="2"/>
      <c r="G107" s="3"/>
      <c r="H107" s="2"/>
    </row>
    <row r="108" spans="1:8">
      <c r="A108" s="2"/>
      <c r="B108" s="2"/>
      <c r="C108" s="2"/>
      <c r="D108" s="2"/>
      <c r="E108" s="2"/>
      <c r="F108" s="2"/>
      <c r="G108" s="3"/>
      <c r="H108" s="2"/>
    </row>
    <row r="109" spans="1:8">
      <c r="A109" s="2"/>
      <c r="B109" s="2"/>
      <c r="C109" s="2"/>
      <c r="D109" s="2"/>
      <c r="E109" s="2"/>
      <c r="F109" s="2"/>
      <c r="G109" s="3"/>
      <c r="H109" s="2"/>
    </row>
    <row r="110" spans="1:8">
      <c r="A110" s="2"/>
      <c r="B110" s="2"/>
      <c r="C110" s="2"/>
      <c r="D110" s="2"/>
      <c r="E110" s="2"/>
      <c r="F110" s="2"/>
      <c r="G110" s="3"/>
      <c r="H110" s="2"/>
    </row>
    <row r="111" spans="1:8">
      <c r="A111" s="2"/>
      <c r="B111" s="2"/>
      <c r="C111" s="2"/>
      <c r="D111" s="2"/>
      <c r="E111" s="2"/>
      <c r="F111" s="2"/>
      <c r="G111" s="3"/>
      <c r="H111" s="2"/>
    </row>
    <row r="112" spans="1:8">
      <c r="A112" s="2"/>
      <c r="B112" s="2"/>
      <c r="C112" s="2"/>
      <c r="D112" s="2"/>
      <c r="E112" s="2"/>
      <c r="F112" s="2"/>
      <c r="G112" s="3"/>
      <c r="H112" s="2"/>
    </row>
    <row r="113" spans="1:8">
      <c r="A113" s="2"/>
      <c r="B113" s="2"/>
      <c r="C113" s="2"/>
      <c r="D113" s="2"/>
      <c r="E113" s="2"/>
      <c r="F113" s="2"/>
      <c r="G113" s="3"/>
      <c r="H113" s="2"/>
    </row>
    <row r="114" spans="1:8">
      <c r="A114" s="2"/>
      <c r="B114" s="2"/>
      <c r="C114" s="2"/>
      <c r="D114" s="2"/>
      <c r="E114" s="2"/>
      <c r="F114" s="2"/>
      <c r="G114" s="3"/>
      <c r="H114" s="2"/>
    </row>
    <row r="115" spans="1:8">
      <c r="A115" s="2"/>
      <c r="B115" s="2"/>
      <c r="C115" s="2"/>
      <c r="D115" s="2"/>
      <c r="E115" s="2"/>
      <c r="F115" s="2"/>
      <c r="G115" s="3"/>
      <c r="H115" s="2"/>
    </row>
    <row r="116" spans="1:8">
      <c r="A116" s="2"/>
      <c r="B116" s="2"/>
      <c r="C116" s="2"/>
      <c r="D116" s="2"/>
      <c r="E116" s="2"/>
      <c r="F116" s="2"/>
      <c r="G116" s="3"/>
      <c r="H116" s="2"/>
    </row>
    <row r="117" spans="1:8">
      <c r="A117" s="2"/>
      <c r="B117" s="2"/>
      <c r="C117" s="2"/>
      <c r="D117" s="2"/>
      <c r="E117" s="2"/>
      <c r="F117" s="2"/>
      <c r="G117" s="3"/>
      <c r="H117" s="2"/>
    </row>
    <row r="118" spans="1:8">
      <c r="A118" s="2"/>
      <c r="B118" s="2"/>
      <c r="C118" s="2"/>
      <c r="D118" s="2"/>
      <c r="E118" s="2"/>
      <c r="F118" s="2"/>
      <c r="G118" s="3"/>
      <c r="H118" s="2"/>
    </row>
    <row r="119" spans="1:8">
      <c r="A119" s="2"/>
      <c r="B119" s="2"/>
      <c r="C119" s="2"/>
      <c r="D119" s="2"/>
      <c r="E119" s="2"/>
      <c r="F119" s="2"/>
      <c r="G119" s="3"/>
      <c r="H119" s="2"/>
    </row>
    <row r="120" spans="1:8">
      <c r="A120" s="2"/>
      <c r="B120" s="2"/>
      <c r="C120" s="2"/>
      <c r="D120" s="2"/>
      <c r="E120" s="2"/>
      <c r="F120" s="2"/>
      <c r="G120" s="3"/>
      <c r="H120" s="2"/>
    </row>
    <row r="121" spans="1:8">
      <c r="A121" s="2"/>
      <c r="B121" s="2"/>
      <c r="C121" s="2"/>
      <c r="D121" s="2"/>
      <c r="E121" s="2"/>
      <c r="F121" s="2"/>
      <c r="G121" s="3"/>
      <c r="H121" s="2"/>
    </row>
    <row r="122" spans="1:8">
      <c r="A122" s="2"/>
      <c r="B122" s="2"/>
      <c r="C122" s="2"/>
      <c r="D122" s="2"/>
      <c r="E122" s="2"/>
      <c r="F122" s="2"/>
      <c r="G122" s="3"/>
      <c r="H122" s="2"/>
    </row>
    <row r="123" spans="1:8">
      <c r="A123" s="2"/>
      <c r="B123" s="2"/>
      <c r="C123" s="2"/>
      <c r="D123" s="2"/>
      <c r="E123" s="2"/>
      <c r="F123" s="2"/>
      <c r="G123" s="3"/>
      <c r="H123" s="2"/>
    </row>
    <row r="124" spans="1:8">
      <c r="A124" s="2"/>
      <c r="B124" s="2"/>
      <c r="C124" s="2"/>
      <c r="D124" s="2"/>
      <c r="E124" s="2"/>
      <c r="F124" s="2"/>
      <c r="G124" s="3"/>
      <c r="H124" s="2"/>
    </row>
    <row r="125" spans="1:8">
      <c r="A125" s="2"/>
      <c r="B125" s="2"/>
      <c r="C125" s="2"/>
      <c r="D125" s="2"/>
      <c r="E125" s="2"/>
      <c r="F125" s="2"/>
      <c r="G125" s="3"/>
      <c r="H125" s="2"/>
    </row>
    <row r="126" spans="1:8">
      <c r="A126" s="2"/>
      <c r="B126" s="2"/>
      <c r="C126" s="2"/>
      <c r="D126" s="2"/>
      <c r="E126" s="2"/>
      <c r="F126" s="2"/>
      <c r="G126" s="3"/>
      <c r="H126" s="2"/>
    </row>
    <row r="127" spans="1:8">
      <c r="A127" s="2"/>
      <c r="B127" s="2"/>
      <c r="C127" s="2"/>
      <c r="D127" s="2"/>
      <c r="E127" s="2"/>
      <c r="F127" s="2"/>
      <c r="G127" s="3"/>
      <c r="H127" s="2"/>
    </row>
    <row r="128" spans="1:8">
      <c r="A128" s="2"/>
      <c r="B128" s="2"/>
      <c r="C128" s="2"/>
      <c r="D128" s="2"/>
      <c r="E128" s="2"/>
      <c r="F128" s="2"/>
      <c r="G128" s="3"/>
      <c r="H128" s="2"/>
    </row>
    <row r="129" spans="1:8">
      <c r="A129" s="2"/>
      <c r="B129" s="2"/>
      <c r="C129" s="2"/>
      <c r="D129" s="2"/>
      <c r="E129" s="2"/>
      <c r="F129" s="2"/>
      <c r="G129" s="3"/>
      <c r="H129" s="2"/>
    </row>
    <row r="130" spans="1:8">
      <c r="A130" s="2"/>
      <c r="B130" s="2"/>
      <c r="C130" s="2"/>
      <c r="D130" s="2"/>
      <c r="E130" s="2"/>
      <c r="F130" s="2"/>
      <c r="G130" s="3"/>
      <c r="H130" s="2"/>
    </row>
    <row r="131" spans="1:8">
      <c r="A131" s="2"/>
      <c r="B131" s="2"/>
      <c r="C131" s="2"/>
      <c r="D131" s="2"/>
      <c r="E131" s="2"/>
      <c r="F131" s="2"/>
      <c r="G131" s="3"/>
      <c r="H131" s="2"/>
    </row>
    <row r="132" spans="1:8">
      <c r="A132" s="2"/>
      <c r="B132" s="2"/>
      <c r="C132" s="2"/>
      <c r="D132" s="2"/>
      <c r="E132" s="2"/>
      <c r="F132" s="2"/>
      <c r="G132" s="3"/>
      <c r="H132" s="2"/>
    </row>
    <row r="133" spans="1:8">
      <c r="A133" s="2"/>
      <c r="B133" s="2"/>
      <c r="C133" s="2"/>
      <c r="D133" s="2"/>
      <c r="E133" s="2"/>
      <c r="F133" s="2"/>
      <c r="G133" s="3"/>
      <c r="H133" s="2"/>
    </row>
    <row r="134" spans="1:8">
      <c r="A134" s="2"/>
      <c r="B134" s="2"/>
      <c r="C134" s="2"/>
      <c r="D134" s="2"/>
      <c r="E134" s="2"/>
      <c r="F134" s="2"/>
      <c r="G134" s="3"/>
      <c r="H134" s="2"/>
    </row>
    <row r="135" spans="1:8">
      <c r="A135" s="2"/>
      <c r="B135" s="2"/>
      <c r="C135" s="2"/>
      <c r="D135" s="2"/>
      <c r="E135" s="2"/>
      <c r="F135" s="2"/>
      <c r="G135" s="3"/>
      <c r="H135" s="2"/>
    </row>
    <row r="136" spans="1:8">
      <c r="A136" s="2"/>
      <c r="B136" s="2"/>
      <c r="C136" s="2"/>
      <c r="D136" s="2"/>
      <c r="E136" s="2"/>
      <c r="F136" s="2"/>
      <c r="G136" s="3"/>
      <c r="H136" s="2"/>
    </row>
    <row r="137" spans="1:8">
      <c r="A137" s="2"/>
      <c r="B137" s="2"/>
      <c r="C137" s="2"/>
      <c r="D137" s="2"/>
      <c r="E137" s="2"/>
      <c r="F137" s="2"/>
      <c r="G137" s="3"/>
      <c r="H137" s="2"/>
    </row>
    <row r="138" spans="1:8">
      <c r="A138" s="2"/>
      <c r="B138" s="2"/>
      <c r="C138" s="2"/>
      <c r="D138" s="2"/>
      <c r="E138" s="2"/>
      <c r="F138" s="2"/>
      <c r="G138" s="3"/>
      <c r="H138" s="2"/>
    </row>
    <row r="139" spans="1:8">
      <c r="A139" s="2"/>
      <c r="B139" s="2"/>
      <c r="C139" s="2"/>
      <c r="D139" s="2"/>
      <c r="E139" s="2"/>
      <c r="F139" s="2"/>
      <c r="G139" s="3"/>
      <c r="H139" s="2"/>
    </row>
    <row r="140" spans="1:8">
      <c r="A140" s="2"/>
      <c r="B140" s="2"/>
      <c r="C140" s="2"/>
      <c r="D140" s="2"/>
      <c r="E140" s="2"/>
      <c r="F140" s="2"/>
      <c r="G140" s="3"/>
      <c r="H140" s="2"/>
    </row>
    <row r="141" spans="1:8">
      <c r="A141" s="2"/>
      <c r="B141" s="2"/>
      <c r="C141" s="2"/>
      <c r="D141" s="2"/>
      <c r="E141" s="2"/>
      <c r="F141" s="2"/>
      <c r="G141" s="3"/>
      <c r="H141" s="2"/>
    </row>
    <row r="142" spans="1:8">
      <c r="A142" s="2"/>
      <c r="B142" s="2"/>
      <c r="C142" s="2"/>
      <c r="D142" s="2"/>
      <c r="E142" s="2"/>
      <c r="F142" s="2"/>
      <c r="G142" s="3"/>
      <c r="H142" s="2"/>
    </row>
    <row r="143" spans="1:8">
      <c r="A143" s="2"/>
      <c r="B143" s="2"/>
      <c r="C143" s="2"/>
      <c r="D143" s="2"/>
      <c r="E143" s="2"/>
      <c r="F143" s="2"/>
      <c r="G143" s="3"/>
      <c r="H143" s="2"/>
    </row>
    <row r="144" spans="1:8">
      <c r="A144" s="2"/>
      <c r="B144" s="2"/>
      <c r="C144" s="2"/>
      <c r="D144" s="2"/>
      <c r="E144" s="2"/>
      <c r="F144" s="2"/>
      <c r="G144" s="3"/>
      <c r="H144" s="2"/>
    </row>
    <row r="145" spans="1:8">
      <c r="A145" s="2"/>
      <c r="B145" s="2"/>
      <c r="C145" s="2"/>
      <c r="D145" s="2"/>
      <c r="E145" s="2"/>
      <c r="F145" s="2"/>
      <c r="G145" s="3"/>
      <c r="H145" s="2"/>
    </row>
    <row r="146" spans="1:8">
      <c r="A146" s="2"/>
      <c r="B146" s="2"/>
      <c r="C146" s="2"/>
      <c r="D146" s="2"/>
      <c r="E146" s="2"/>
      <c r="F146" s="2"/>
      <c r="G146" s="3"/>
      <c r="H146" s="2"/>
    </row>
    <row r="147" spans="1:8">
      <c r="A147" s="2"/>
      <c r="B147" s="2"/>
      <c r="C147" s="2"/>
      <c r="D147" s="2"/>
      <c r="E147" s="2"/>
      <c r="F147" s="2"/>
      <c r="G147" s="3"/>
      <c r="H147" s="2"/>
    </row>
    <row r="148" spans="1:8">
      <c r="A148" s="2"/>
      <c r="B148" s="2"/>
      <c r="C148" s="2"/>
      <c r="D148" s="2"/>
      <c r="E148" s="2"/>
      <c r="F148" s="2"/>
      <c r="G148" s="3"/>
      <c r="H148" s="2"/>
    </row>
    <row r="149" spans="1:8">
      <c r="A149" s="2"/>
      <c r="B149" s="2"/>
      <c r="C149" s="2"/>
      <c r="D149" s="2"/>
      <c r="E149" s="2"/>
      <c r="F149" s="2"/>
      <c r="G149" s="3"/>
      <c r="H149" s="2"/>
    </row>
    <row r="150" spans="1:8">
      <c r="A150" s="2"/>
      <c r="B150" s="2"/>
      <c r="C150" s="2"/>
      <c r="D150" s="2"/>
      <c r="E150" s="2"/>
      <c r="F150" s="2"/>
      <c r="G150" s="3"/>
      <c r="H150" s="2"/>
    </row>
    <row r="151" spans="1:8">
      <c r="A151" s="2"/>
      <c r="B151" s="2"/>
      <c r="C151" s="2"/>
      <c r="D151" s="2"/>
      <c r="E151" s="2"/>
      <c r="F151" s="2"/>
      <c r="G151" s="3"/>
      <c r="H151" s="2"/>
    </row>
    <row r="152" spans="1:8">
      <c r="A152" s="2"/>
      <c r="B152" s="2"/>
      <c r="C152" s="2"/>
      <c r="D152" s="2"/>
      <c r="E152" s="2"/>
      <c r="F152" s="2"/>
      <c r="G152" s="3"/>
      <c r="H152" s="2"/>
    </row>
    <row r="153" spans="1:8">
      <c r="A153" s="2"/>
      <c r="B153" s="2"/>
      <c r="C153" s="2"/>
      <c r="D153" s="2"/>
      <c r="E153" s="2"/>
      <c r="F153" s="2"/>
      <c r="G153" s="3"/>
      <c r="H153" s="2"/>
    </row>
    <row r="154" spans="1:8">
      <c r="A154" s="2"/>
      <c r="B154" s="2"/>
      <c r="C154" s="2"/>
      <c r="D154" s="2"/>
      <c r="E154" s="2"/>
      <c r="F154" s="2"/>
      <c r="G154" s="3"/>
      <c r="H154" s="2"/>
    </row>
    <row r="155" spans="1:8">
      <c r="A155" s="2"/>
      <c r="B155" s="2"/>
      <c r="C155" s="2"/>
      <c r="D155" s="2"/>
      <c r="E155" s="2"/>
      <c r="F155" s="2"/>
      <c r="G155" s="3"/>
      <c r="H155" s="2"/>
    </row>
    <row r="156" spans="1:8">
      <c r="A156" s="2"/>
      <c r="B156" s="2"/>
      <c r="C156" s="2"/>
      <c r="D156" s="2"/>
      <c r="E156" s="2"/>
      <c r="F156" s="2"/>
      <c r="G156" s="3"/>
      <c r="H156" s="2"/>
    </row>
    <row r="157" spans="1:8">
      <c r="A157" s="2"/>
      <c r="B157" s="2"/>
      <c r="C157" s="2"/>
      <c r="D157" s="2"/>
      <c r="E157" s="2"/>
      <c r="F157" s="2"/>
      <c r="G157" s="3"/>
      <c r="H157" s="2"/>
    </row>
    <row r="158" spans="1:8">
      <c r="A158" s="2"/>
      <c r="B158" s="2"/>
      <c r="C158" s="2"/>
      <c r="D158" s="2"/>
      <c r="E158" s="2"/>
      <c r="F158" s="2"/>
      <c r="G158" s="3"/>
      <c r="H158" s="2"/>
    </row>
    <row r="159" spans="1:8">
      <c r="A159" s="2"/>
      <c r="B159" s="2"/>
      <c r="C159" s="2"/>
      <c r="D159" s="2"/>
      <c r="E159" s="2"/>
      <c r="F159" s="2"/>
      <c r="G159" s="3"/>
      <c r="H159" s="2"/>
    </row>
    <row r="160" spans="1:8">
      <c r="A160" s="2"/>
      <c r="B160" s="2"/>
      <c r="C160" s="2"/>
      <c r="D160" s="2"/>
      <c r="E160" s="2"/>
      <c r="F160" s="2"/>
      <c r="G160" s="3"/>
      <c r="H160" s="2"/>
    </row>
    <row r="161" spans="1:8">
      <c r="A161" s="2"/>
      <c r="B161" s="2"/>
      <c r="C161" s="2"/>
      <c r="D161" s="2"/>
      <c r="E161" s="2"/>
      <c r="F161" s="2"/>
      <c r="G161" s="3"/>
      <c r="H161" s="2"/>
    </row>
    <row r="162" spans="1:8">
      <c r="A162" s="2"/>
      <c r="B162" s="2"/>
      <c r="C162" s="2"/>
      <c r="D162" s="2"/>
      <c r="E162" s="2"/>
      <c r="F162" s="2"/>
      <c r="G162" s="3"/>
      <c r="H162" s="2"/>
    </row>
    <row r="163" spans="1:8">
      <c r="A163" s="2"/>
      <c r="B163" s="2"/>
      <c r="C163" s="2"/>
      <c r="D163" s="2"/>
      <c r="E163" s="2"/>
      <c r="F163" s="2"/>
      <c r="G163" s="3"/>
      <c r="H163" s="2"/>
    </row>
    <row r="164" spans="1:8">
      <c r="A164" s="2"/>
      <c r="B164" s="2"/>
      <c r="C164" s="2"/>
      <c r="D164" s="2"/>
      <c r="E164" s="2"/>
      <c r="F164" s="2"/>
      <c r="G164" s="3"/>
      <c r="H164" s="2"/>
    </row>
    <row r="165" spans="1:8">
      <c r="A165" s="2"/>
      <c r="B165" s="2"/>
      <c r="C165" s="2"/>
      <c r="D165" s="2"/>
      <c r="E165" s="2"/>
      <c r="F165" s="2"/>
      <c r="G165" s="3"/>
      <c r="H165" s="2"/>
    </row>
    <row r="166" spans="1:8">
      <c r="A166" s="2"/>
      <c r="B166" s="2"/>
      <c r="C166" s="2"/>
      <c r="D166" s="2"/>
      <c r="E166" s="2"/>
      <c r="F166" s="2"/>
      <c r="G166" s="3"/>
      <c r="H166" s="2"/>
    </row>
    <row r="167" spans="1:8">
      <c r="A167" s="2"/>
      <c r="B167" s="2"/>
      <c r="C167" s="2"/>
      <c r="D167" s="2"/>
      <c r="E167" s="2"/>
      <c r="F167" s="2"/>
      <c r="G167" s="3"/>
      <c r="H167" s="2"/>
    </row>
    <row r="168" spans="1:8">
      <c r="A168" s="2"/>
      <c r="B168" s="2"/>
      <c r="C168" s="2"/>
      <c r="D168" s="2"/>
      <c r="E168" s="2"/>
      <c r="F168" s="2"/>
      <c r="G168" s="3"/>
      <c r="H168" s="2"/>
    </row>
    <row r="169" spans="1:8">
      <c r="A169" s="2"/>
      <c r="B169" s="2"/>
      <c r="C169" s="2"/>
      <c r="D169" s="2"/>
      <c r="E169" s="2"/>
      <c r="F169" s="2"/>
      <c r="G169" s="3"/>
      <c r="H169" s="2"/>
    </row>
    <row r="170" spans="1:8">
      <c r="A170" s="2"/>
      <c r="B170" s="2"/>
      <c r="C170" s="2"/>
      <c r="D170" s="2"/>
      <c r="E170" s="2"/>
      <c r="F170" s="2"/>
      <c r="G170" s="3"/>
      <c r="H170" s="2"/>
    </row>
    <row r="171" spans="1:8">
      <c r="A171" s="2"/>
      <c r="B171" s="2"/>
      <c r="C171" s="2"/>
      <c r="D171" s="2"/>
      <c r="E171" s="2"/>
      <c r="F171" s="2"/>
      <c r="G171" s="3"/>
      <c r="H171" s="2"/>
    </row>
    <row r="172" spans="1:8">
      <c r="A172" s="2"/>
      <c r="B172" s="2"/>
      <c r="C172" s="2"/>
      <c r="D172" s="2"/>
      <c r="E172" s="2"/>
      <c r="F172" s="2"/>
      <c r="G172" s="3"/>
      <c r="H172" s="2"/>
    </row>
    <row r="173" spans="1:8">
      <c r="A173" s="2"/>
      <c r="B173" s="2"/>
      <c r="C173" s="2"/>
      <c r="D173" s="2"/>
      <c r="E173" s="2"/>
      <c r="F173" s="2"/>
      <c r="G173" s="3"/>
      <c r="H173" s="2"/>
    </row>
    <row r="174" spans="1:8">
      <c r="A174" s="2"/>
      <c r="B174" s="2"/>
      <c r="C174" s="2"/>
      <c r="D174" s="2"/>
      <c r="E174" s="2"/>
      <c r="F174" s="2"/>
      <c r="G174" s="3"/>
      <c r="H174" s="2"/>
    </row>
    <row r="175" spans="1:8">
      <c r="A175" s="2"/>
      <c r="B175" s="2"/>
      <c r="C175" s="2"/>
      <c r="D175" s="2"/>
      <c r="E175" s="2"/>
      <c r="F175" s="2"/>
      <c r="G175" s="3"/>
      <c r="H175" s="2"/>
    </row>
    <row r="176" spans="1:8">
      <c r="A176" s="2"/>
      <c r="B176" s="2"/>
      <c r="C176" s="2"/>
      <c r="D176" s="2"/>
      <c r="E176" s="2"/>
      <c r="F176" s="2"/>
      <c r="G176" s="3"/>
      <c r="H176" s="2"/>
    </row>
    <row r="177" spans="1:8">
      <c r="A177" s="2"/>
      <c r="B177" s="2"/>
      <c r="C177" s="2"/>
      <c r="D177" s="2"/>
      <c r="E177" s="2"/>
      <c r="F177" s="2"/>
      <c r="G177" s="3"/>
      <c r="H177" s="2"/>
    </row>
    <row r="178" spans="1:8">
      <c r="A178" s="2"/>
      <c r="B178" s="2"/>
      <c r="C178" s="2"/>
      <c r="D178" s="2"/>
      <c r="E178" s="2"/>
      <c r="F178" s="2"/>
      <c r="G178" s="3"/>
      <c r="H178" s="2"/>
    </row>
    <row r="179" spans="1:8">
      <c r="A179" s="2"/>
      <c r="B179" s="2"/>
      <c r="C179" s="2"/>
      <c r="D179" s="2"/>
      <c r="E179" s="2"/>
      <c r="F179" s="2"/>
      <c r="G179" s="3"/>
      <c r="H179" s="2"/>
    </row>
    <row r="180" spans="1:8">
      <c r="A180" s="2"/>
      <c r="B180" s="2"/>
      <c r="C180" s="2"/>
      <c r="D180" s="2"/>
      <c r="E180" s="2"/>
      <c r="F180" s="2"/>
      <c r="G180" s="3"/>
      <c r="H180" s="2"/>
    </row>
    <row r="181" spans="1:8">
      <c r="A181" s="2"/>
      <c r="B181" s="2"/>
      <c r="C181" s="2"/>
      <c r="D181" s="2"/>
      <c r="E181" s="2"/>
      <c r="F181" s="2"/>
      <c r="G181" s="3"/>
      <c r="H181" s="2"/>
    </row>
    <row r="182" spans="1:8">
      <c r="A182" s="2"/>
      <c r="B182" s="2"/>
      <c r="C182" s="2"/>
      <c r="D182" s="2"/>
      <c r="E182" s="2"/>
      <c r="F182" s="2"/>
      <c r="G182" s="3"/>
      <c r="H182" s="2"/>
    </row>
    <row r="183" spans="1:8">
      <c r="A183" s="2"/>
      <c r="B183" s="2"/>
      <c r="C183" s="2"/>
      <c r="D183" s="2"/>
      <c r="E183" s="2"/>
      <c r="F183" s="2"/>
      <c r="G183" s="3"/>
      <c r="H183" s="2"/>
    </row>
    <row r="184" spans="1:8">
      <c r="A184" s="2"/>
      <c r="B184" s="2"/>
      <c r="C184" s="2"/>
      <c r="D184" s="2"/>
      <c r="E184" s="2"/>
      <c r="F184" s="2"/>
      <c r="G184" s="3"/>
      <c r="H184" s="2"/>
    </row>
    <row r="185" spans="1:8">
      <c r="A185" s="2"/>
      <c r="B185" s="2"/>
      <c r="C185" s="2"/>
      <c r="D185" s="2"/>
      <c r="E185" s="2"/>
      <c r="F185" s="2"/>
      <c r="G185" s="3"/>
      <c r="H185" s="2"/>
    </row>
    <row r="186" spans="1:8">
      <c r="A186" s="2"/>
      <c r="B186" s="2"/>
      <c r="C186" s="2"/>
      <c r="D186" s="2"/>
      <c r="E186" s="2"/>
      <c r="F186" s="2"/>
      <c r="G186" s="3"/>
      <c r="H186" s="2"/>
    </row>
    <row r="187" spans="1:8">
      <c r="A187" s="2"/>
      <c r="B187" s="2"/>
      <c r="C187" s="2"/>
      <c r="D187" s="2"/>
      <c r="E187" s="2"/>
      <c r="F187" s="2"/>
      <c r="G187" s="3"/>
      <c r="H187" s="2"/>
    </row>
    <row r="188" spans="1:8">
      <c r="A188" s="2"/>
      <c r="B188" s="2"/>
      <c r="C188" s="2"/>
      <c r="D188" s="2"/>
      <c r="E188" s="2"/>
      <c r="F188" s="2"/>
      <c r="G188" s="3"/>
      <c r="H188" s="2"/>
    </row>
    <row r="189" spans="1:8">
      <c r="A189" s="2"/>
      <c r="B189" s="2"/>
      <c r="C189" s="2"/>
      <c r="D189" s="2"/>
      <c r="E189" s="2"/>
      <c r="F189" s="2"/>
      <c r="G189" s="3"/>
      <c r="H189" s="2"/>
    </row>
    <row r="190" spans="1:8">
      <c r="A190" s="2"/>
      <c r="B190" s="2"/>
      <c r="C190" s="2"/>
      <c r="D190" s="2"/>
      <c r="E190" s="2"/>
      <c r="F190" s="2"/>
      <c r="G190" s="3"/>
      <c r="H190" s="2"/>
    </row>
    <row r="191" spans="1:8">
      <c r="A191" s="2"/>
      <c r="B191" s="2"/>
      <c r="C191" s="2"/>
      <c r="D191" s="2"/>
      <c r="E191" s="2"/>
      <c r="F191" s="2"/>
      <c r="G191" s="3"/>
      <c r="H191" s="2"/>
    </row>
    <row r="192" spans="1:8">
      <c r="A192" s="2"/>
      <c r="B192" s="2"/>
      <c r="C192" s="2"/>
      <c r="D192" s="2"/>
      <c r="E192" s="2"/>
      <c r="F192" s="2"/>
      <c r="G192" s="3"/>
      <c r="H192" s="2"/>
    </row>
    <row r="193" spans="1:8">
      <c r="A193" s="2"/>
      <c r="B193" s="2"/>
      <c r="C193" s="2"/>
      <c r="D193" s="2"/>
      <c r="E193" s="2"/>
      <c r="F193" s="2"/>
      <c r="G193" s="3"/>
      <c r="H193" s="2"/>
    </row>
    <row r="194" spans="1:8">
      <c r="A194" s="2"/>
      <c r="B194" s="2"/>
      <c r="C194" s="2"/>
      <c r="D194" s="2"/>
      <c r="E194" s="2"/>
      <c r="F194" s="2"/>
      <c r="G194" s="3"/>
      <c r="H194" s="2"/>
    </row>
    <row r="195" spans="1:8">
      <c r="A195" s="2"/>
      <c r="B195" s="2"/>
      <c r="C195" s="2"/>
      <c r="D195" s="2"/>
      <c r="E195" s="2"/>
      <c r="F195" s="2"/>
      <c r="G195" s="3"/>
      <c r="H195" s="2"/>
    </row>
    <row r="196" spans="1:8">
      <c r="A196" s="2"/>
      <c r="B196" s="2"/>
      <c r="C196" s="2"/>
      <c r="D196" s="2"/>
      <c r="E196" s="2"/>
      <c r="F196" s="2"/>
      <c r="G196" s="3"/>
      <c r="H196" s="2"/>
    </row>
    <row r="197" spans="1:8">
      <c r="A197" s="2"/>
      <c r="B197" s="2"/>
      <c r="C197" s="2"/>
      <c r="D197" s="2"/>
      <c r="E197" s="2"/>
      <c r="F197" s="2"/>
      <c r="G197" s="3"/>
      <c r="H197" s="2"/>
    </row>
    <row r="198" spans="1:8">
      <c r="A198" s="2"/>
      <c r="B198" s="2"/>
      <c r="C198" s="2"/>
      <c r="D198" s="2"/>
      <c r="E198" s="2"/>
      <c r="F198" s="2"/>
      <c r="G198" s="3"/>
      <c r="H198" s="2"/>
    </row>
    <row r="199" spans="1:8">
      <c r="A199" s="2"/>
      <c r="B199" s="2"/>
      <c r="C199" s="2"/>
      <c r="D199" s="2"/>
      <c r="E199" s="2"/>
      <c r="F199" s="2"/>
      <c r="G199" s="3"/>
      <c r="H199" s="2"/>
    </row>
    <row r="200" spans="1:8">
      <c r="A200" s="2"/>
      <c r="B200" s="2"/>
      <c r="C200" s="2"/>
      <c r="D200" s="2"/>
      <c r="E200" s="2"/>
      <c r="F200" s="2"/>
      <c r="G200" s="3"/>
      <c r="H200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workbookViewId="0"/>
  </sheetViews>
  <sheetFormatPr defaultRowHeight="14.25"/>
  <cols>
    <col min="1" max="4" width="20" customWidth="1"/>
    <col min="6" max="6" width="26" customWidth="1"/>
    <col min="7" max="7" width="48" customWidth="1"/>
    <col min="9" max="9" width="14" customWidth="1"/>
    <col min="10" max="10" width="52" customWidth="1"/>
  </cols>
  <sheetData>
    <row r="1" spans="1:10" ht="15">
      <c r="A1" s="1" t="s">
        <v>19</v>
      </c>
      <c r="B1" s="1" t="s">
        <v>39</v>
      </c>
      <c r="C1" s="1" t="s">
        <v>40</v>
      </c>
      <c r="D1" s="1" t="s">
        <v>3</v>
      </c>
      <c r="E1" s="2"/>
      <c r="F1" s="1" t="s">
        <v>363</v>
      </c>
      <c r="G1" s="1" t="s">
        <v>364</v>
      </c>
      <c r="I1" s="4" t="s">
        <v>31</v>
      </c>
      <c r="J1" s="4" t="s">
        <v>365</v>
      </c>
    </row>
    <row r="2" spans="1:10" ht="28.5">
      <c r="A2" s="2" t="s">
        <v>14</v>
      </c>
      <c r="B2" s="2" t="s">
        <v>366</v>
      </c>
      <c r="C2" s="2" t="s">
        <v>53</v>
      </c>
      <c r="D2" s="2" t="s">
        <v>7</v>
      </c>
      <c r="E2" s="2"/>
      <c r="F2" s="2" t="s">
        <v>367</v>
      </c>
      <c r="G2" s="2" t="s">
        <v>368</v>
      </c>
      <c r="I2" s="2" t="s">
        <v>34</v>
      </c>
      <c r="J2" s="2" t="s">
        <v>369</v>
      </c>
    </row>
    <row r="3" spans="1:10" ht="28.5">
      <c r="A3" s="2" t="s">
        <v>8</v>
      </c>
      <c r="B3" s="2" t="s">
        <v>52</v>
      </c>
      <c r="C3" s="2" t="s">
        <v>59</v>
      </c>
      <c r="D3" s="2" t="s">
        <v>9</v>
      </c>
      <c r="E3" s="2"/>
      <c r="F3" s="2" t="s">
        <v>370</v>
      </c>
      <c r="G3" s="2" t="s">
        <v>371</v>
      </c>
      <c r="I3" s="2" t="s">
        <v>35</v>
      </c>
      <c r="J3" s="2" t="s">
        <v>372</v>
      </c>
    </row>
    <row r="4" spans="1:10" ht="28.5">
      <c r="A4" s="2" t="s">
        <v>10</v>
      </c>
      <c r="B4" s="2" t="s">
        <v>165</v>
      </c>
      <c r="C4" s="2" t="s">
        <v>119</v>
      </c>
      <c r="D4" s="2" t="s">
        <v>11</v>
      </c>
      <c r="E4" s="2"/>
      <c r="F4" s="2" t="s">
        <v>373</v>
      </c>
      <c r="G4" s="2" t="s">
        <v>374</v>
      </c>
      <c r="I4" s="2" t="s">
        <v>36</v>
      </c>
      <c r="J4" s="2" t="s">
        <v>375</v>
      </c>
    </row>
    <row r="5" spans="1:10">
      <c r="A5" s="2" t="s">
        <v>12</v>
      </c>
      <c r="B5" s="2" t="s">
        <v>113</v>
      </c>
      <c r="C5" s="2" t="s">
        <v>245</v>
      </c>
      <c r="D5" s="2" t="s">
        <v>13</v>
      </c>
      <c r="E5" s="2"/>
      <c r="F5" s="2" t="s">
        <v>376</v>
      </c>
      <c r="G5" s="2" t="s">
        <v>377</v>
      </c>
      <c r="I5" s="2" t="s">
        <v>37</v>
      </c>
      <c r="J5" s="2" t="s">
        <v>378</v>
      </c>
    </row>
    <row r="6" spans="1:10">
      <c r="A6" s="2"/>
      <c r="B6" s="2" t="s">
        <v>379</v>
      </c>
      <c r="C6" s="2"/>
      <c r="D6" s="2" t="s">
        <v>15</v>
      </c>
      <c r="E6" s="2"/>
      <c r="F6" s="2" t="s">
        <v>380</v>
      </c>
      <c r="G6" s="2" t="s">
        <v>381</v>
      </c>
    </row>
    <row r="7" spans="1:10">
      <c r="A7" s="2"/>
      <c r="B7" s="2" t="s">
        <v>33</v>
      </c>
      <c r="C7" s="2"/>
      <c r="D7" s="2" t="s">
        <v>16</v>
      </c>
      <c r="E7" s="2"/>
      <c r="F7" s="2" t="s">
        <v>382</v>
      </c>
      <c r="G7" s="2" t="s">
        <v>383</v>
      </c>
    </row>
    <row r="8" spans="1:10">
      <c r="A8" s="2"/>
      <c r="B8" s="2" t="s">
        <v>30</v>
      </c>
      <c r="C8" s="2"/>
      <c r="D8" s="2" t="s">
        <v>17</v>
      </c>
      <c r="E8" s="2"/>
      <c r="F8" s="2"/>
      <c r="G8" s="2"/>
    </row>
    <row r="9" spans="1:10" ht="15">
      <c r="A9" s="2"/>
      <c r="B9" s="2" t="s">
        <v>29</v>
      </c>
      <c r="C9" s="2"/>
      <c r="D9" s="2" t="s">
        <v>20</v>
      </c>
      <c r="E9" s="2"/>
      <c r="F9" s="5" t="s">
        <v>384</v>
      </c>
      <c r="G9" s="5" t="s">
        <v>385</v>
      </c>
    </row>
    <row r="10" spans="1:10">
      <c r="A10" s="2"/>
      <c r="B10" s="2" t="s">
        <v>192</v>
      </c>
      <c r="C10" s="2"/>
      <c r="D10" s="2" t="s">
        <v>22</v>
      </c>
      <c r="E10" s="2"/>
      <c r="F10" s="2" t="s">
        <v>31</v>
      </c>
      <c r="G10" s="2" t="s">
        <v>386</v>
      </c>
    </row>
    <row r="11" spans="1:10" ht="28.5">
      <c r="A11" s="2"/>
      <c r="B11" s="2"/>
      <c r="C11" s="2"/>
      <c r="D11" s="2" t="s">
        <v>24</v>
      </c>
      <c r="E11" s="2"/>
      <c r="F11" s="2" t="s">
        <v>46</v>
      </c>
      <c r="G11" s="2" t="s">
        <v>387</v>
      </c>
    </row>
    <row r="12" spans="1:10">
      <c r="A12" s="2"/>
      <c r="B12" s="2"/>
      <c r="C12" s="2"/>
      <c r="D12" s="2" t="s">
        <v>25</v>
      </c>
      <c r="E12" s="2"/>
      <c r="F12" s="2"/>
      <c r="G12" s="2"/>
    </row>
    <row r="13" spans="1:10">
      <c r="A13" s="2"/>
      <c r="B13" s="2"/>
      <c r="C13" s="2"/>
      <c r="D13" s="2" t="s">
        <v>26</v>
      </c>
      <c r="E13" s="2"/>
      <c r="F13" s="2"/>
      <c r="G13" s="2"/>
    </row>
    <row r="14" spans="1:10">
      <c r="A14" s="2"/>
      <c r="B14" s="2"/>
      <c r="C14" s="2"/>
      <c r="D14" s="2" t="s">
        <v>27</v>
      </c>
      <c r="E14" s="2"/>
      <c r="F14" s="2"/>
      <c r="G14" s="2"/>
    </row>
    <row r="15" spans="1:10">
      <c r="A15" s="2"/>
      <c r="B15" s="2"/>
      <c r="C15" s="2"/>
      <c r="D15" s="2" t="s">
        <v>28</v>
      </c>
      <c r="E15" s="2"/>
      <c r="F15" s="2"/>
      <c r="G15" s="2"/>
    </row>
    <row r="16" spans="1:10">
      <c r="A16" s="2"/>
      <c r="B16" s="2"/>
      <c r="C16" s="2"/>
      <c r="D16" s="2" t="s">
        <v>29</v>
      </c>
      <c r="E16" s="2"/>
      <c r="F16" s="2"/>
      <c r="G16" s="2"/>
    </row>
    <row r="17" spans="1:7">
      <c r="A17" s="2"/>
      <c r="B17" s="2"/>
      <c r="C17" s="2"/>
      <c r="D17" s="2" t="s">
        <v>30</v>
      </c>
      <c r="E17" s="2"/>
      <c r="F17" s="2"/>
      <c r="G17" s="2"/>
    </row>
    <row r="18" spans="1:7">
      <c r="A18" s="2"/>
      <c r="B18" s="2"/>
      <c r="C18" s="2"/>
      <c r="D18" s="2" t="s">
        <v>33</v>
      </c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Test Cases</vt:lpstr>
      <vt:lpstr>Evidence Index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Jerald Christopher Bucud</cp:lastModifiedBy>
  <dcterms:modified xsi:type="dcterms:W3CDTF">2026-08-22T13:29:46Z</dcterms:modified>
</cp:coreProperties>
</file>