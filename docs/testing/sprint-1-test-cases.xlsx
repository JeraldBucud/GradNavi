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a115a14de43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66da9187c0e422f"/>
    <x:sheet xmlns:r="http://schemas.openxmlformats.org/officeDocument/2006/relationships" name="Test Cases" sheetId="2" r:id="Rfd01c607bdb14b66"/>
    <x:sheet xmlns:r="http://schemas.openxmlformats.org/officeDocument/2006/relationships" name="Evidence Index" sheetId="3" r:id="Rb960dde071114815"/>
    <x:sheet xmlns:r="http://schemas.openxmlformats.org/officeDocument/2006/relationships" name="Reference" sheetId="4" r:id="R9b3c4654a63b4d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color rgb="FF006100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color rgb="FF9C6500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9C6500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edf8fe55ad4211" /><Relationship Type="http://schemas.openxmlformats.org/officeDocument/2006/relationships/theme" Target="/xl/theme/theme1.xml" Id="Rb96418dca3664027" /><Relationship Type="http://schemas.openxmlformats.org/officeDocument/2006/relationships/sharedStrings" Target="/xl/sharedStrings.xml" Id="R6726664998c24ea0" /><Relationship Type="http://schemas.openxmlformats.org/officeDocument/2006/relationships/worksheet" Target="/xl/worksheets/sheet1.xml" Id="R966da9187c0e422f" /><Relationship Type="http://schemas.openxmlformats.org/officeDocument/2006/relationships/worksheet" Target="/xl/worksheets/sheet2.xml" Id="Rfd01c607bdb14b66" /><Relationship Type="http://schemas.openxmlformats.org/officeDocument/2006/relationships/worksheet" Target="/xl/worksheets/sheet3.xml" Id="Rb960dde071114815" /><Relationship Type="http://schemas.openxmlformats.org/officeDocument/2006/relationships/worksheet" Target="/xl/worksheets/sheet4.xml" Id="R9b3c4654a63b4d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5d0fb3641a45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Sprint 1 Test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'Summary'!$A$4:$A$8</c:f>
              <c:strCache>
                <c:ptCount val="0"/>
              </c:strCache>
            </c:strRef>
          </c:cat>
          <c:val>
            <c:numRef>
              <c:f>'Summary'!$B$4:$B$8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5d0fb3641a451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rint1TestCases" displayName="Sprint1TestCases" ref="A1:O62" headerRowCount="1" totalsRowCount="0" totalsRowShown="0">
  <x:tableColumns count="15">
    <x:tableColumn id="1" name="Test ID"/>
    <x:tableColumn id="2" name="Area"/>
    <x:tableColumn id="3" name="Test Type"/>
    <x:tableColumn id="4" name="Priority"/>
    <x:tableColumn id="5" name="Scenario"/>
    <x:tableColumn id="6" name="Preconditions"/>
    <x:tableColumn id="7" name="Test Steps"/>
    <x:tableColumn id="8" name="Expected Result"/>
    <x:tableColumn id="9" name="Actual Result"/>
    <x:tableColumn id="10" name="Status"/>
    <x:tableColumn id="11" name="Tester"/>
    <x:tableColumn id="12" name="Test Date"/>
    <x:tableColumn id="13" name="Evidence ID"/>
    <x:tableColumn id="14" name="Defect Reference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1Evidence" displayName="Sprint1Evidence" ref="A1:H200" headerRowCount="1" totalsRowCount="0" totalsRowShown="0">
  <x:tableColumns count="8">
    <x:tableColumn id="1" name="Evidence ID"/>
    <x:tableColumn id="2" name="Test ID"/>
    <x:tableColumn id="3" name="Evidence Type"/>
    <x:tableColumn id="4" name="Description"/>
    <x:tableColumn id="5" name="Location / Link"/>
    <x:tableColumn id="6" name="Captured By"/>
    <x:tableColumn id="7" name="Date"/>
    <x:tableColumn id="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rint1ReferenceValues" displayName="Sprint1ReferenceValues" ref="A1:D18" headerRowCount="1" totalsRowCount="0" totalsRowShown="0">
  <x:tableColumns count="4">
    <x:tableColumn id="1" name="Status"/>
    <x:tableColumn id="2" name="Test Type"/>
    <x:tableColumn id="3" name="Priority"/>
    <x:tableColumn id="4" name="Are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059ebdad7984e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57419e309b48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961033c7cf49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d4a3399f8f4ce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4" max="4" width="22" hidden="0" customWidth="1"/>
    <x:col min="5" max="5" width="12" hidden="0" customWidth="1"/>
    <x:col min="6" max="6" width="12" hidden="0" customWidth="1"/>
    <x:col min="8" max="8" width="14" hidden="0" customWidth="1"/>
    <x:col min="9" max="9" width="12" hidden="0" customWidth="1"/>
    <x:col min="10" max="10" width="12" hidden="0" customWidth="1"/>
  </x:cols>
  <x:sheetData>
    <x:row r="1">
      <x:c r="A1" s="22" t="str">
        <x:v>GradNavi Sprint 1 Test Dashboard</x:v>
      </x:c>
      <x:c r="B1" s="22"/>
      <x:c r="C1" s="22"/>
      <x:c r="D1" s="22"/>
      <x:c r="E1" s="22"/>
      <x:c r="F1" s="22"/>
      <x:c r="G1" s="22"/>
      <x:c r="H1" s="22"/>
      <x:c r="I1" s="20"/>
      <x:c r="J1" s="20"/>
      <x:c r="K1" s="20"/>
      <x:c r="L1" s="20"/>
      <x:c r="M1" s="20"/>
      <x:c r="N1" s="20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14" t="str">
        <x:v>Metric</x:v>
      </x:c>
      <x:c r="B3" s="14" t="str">
        <x:v>Value</x:v>
      </x:c>
      <x:c r="C3" s="20"/>
      <x:c r="D3" s="14" t="str">
        <x:v>Area</x:v>
      </x:c>
      <x:c r="E3" s="14" t="str">
        <x:v>Total</x:v>
      </x:c>
      <x:c r="F3" s="14" t="str">
        <x:v>Passed</x:v>
      </x:c>
      <x:c r="G3" s="20"/>
      <x:c r="H3" s="20"/>
      <x:c r="I3" s="20"/>
      <x:c r="J3" s="20"/>
      <x:c r="K3" s="20"/>
      <x:c r="L3" s="20"/>
      <x:c r="M3" s="20"/>
      <x:c r="N3" s="20"/>
    </x:row>
    <x:row r="4">
      <x:c r="A4" s="20" t="str">
        <x:v>Total Test Cases</x:v>
      </x:c>
      <x:c r="B4" s="20" t="n">
        <x:f>COUNTA('Test Cases'!A2:A62)</x:f>
        <x:v>61</x:v>
      </x:c>
      <x:c r="C4" s="20"/>
      <x:c r="D4" s="20" t="str">
        <x:v>Authentication</x:v>
      </x:c>
      <x:c r="E4" s="20" t="n">
        <x:f>COUNTIF('Test Cases'!B$2:B$62,D4)</x:f>
        <x:v>10</x:v>
      </x:c>
      <x:c r="F4" s="20" t="n">
        <x:f>COUNTIFS('Test Cases'!B$2:B$62,D4,'Test Cases'!J$2:J$62,"Pass")</x:f>
        <x:v>0</x:v>
      </x:c>
      <x:c r="G4" s="20"/>
      <x:c r="H4" s="20"/>
      <x:c r="I4" s="20"/>
      <x:c r="J4" s="20"/>
      <x:c r="K4" s="20"/>
      <x:c r="L4" s="20"/>
      <x:c r="M4" s="20"/>
      <x:c r="N4" s="20"/>
    </x:row>
    <x:row r="5">
      <x:c r="A5" s="20" t="str">
        <x:v>Pass</x:v>
      </x:c>
      <x:c r="B5" s="20" t="n">
        <x:f>COUNTIF('Test Cases'!J2:J62,"Pass")</x:f>
        <x:v>0</x:v>
      </x:c>
      <x:c r="C5" s="20"/>
      <x:c r="D5" s="20" t="str">
        <x:v>JWT</x:v>
      </x:c>
      <x:c r="E5" s="20" t="n">
        <x:f>COUNTIF('Test Cases'!B$2:B$62,D5)</x:f>
        <x:v>3</x:v>
      </x:c>
      <x:c r="F5" s="20" t="n">
        <x:f>COUNTIFS('Test Cases'!B$2:B$62,D5,'Test Cases'!J$2:J$62,"Pass")</x:f>
        <x:v>0</x:v>
      </x:c>
      <x:c r="G5" s="20"/>
      <x:c r="H5" s="20"/>
      <x:c r="I5" s="20"/>
      <x:c r="J5" s="20"/>
      <x:c r="K5" s="20"/>
      <x:c r="L5" s="20"/>
      <x:c r="M5" s="20"/>
      <x:c r="N5" s="20"/>
    </x:row>
    <x:row r="6">
      <x:c r="A6" s="20" t="str">
        <x:v>Fail</x:v>
      </x:c>
      <x:c r="B6" s="20" t="n">
        <x:f>COUNTIF('Test Cases'!J2:J62,"Fail")</x:f>
        <x:v>0</x:v>
      </x:c>
      <x:c r="C6" s="20"/>
      <x:c r="D6" s="20" t="str">
        <x:v>Current User</x:v>
      </x:c>
      <x:c r="E6" s="20" t="n">
        <x:f>COUNTIF('Test Cases'!B$2:B$62,D6)</x:f>
        <x:v>2</x:v>
      </x:c>
      <x:c r="F6" s="20" t="n">
        <x:f>COUNTIFS('Test Cases'!B$2:B$62,D6,'Test Cases'!J$2:J$62,"Pass")</x:f>
        <x:v>0</x:v>
      </x:c>
      <x:c r="G6" s="20"/>
      <x:c r="H6" s="20"/>
      <x:c r="I6" s="20"/>
      <x:c r="J6" s="20"/>
      <x:c r="K6" s="20"/>
      <x:c r="L6" s="20"/>
      <x:c r="M6" s="20"/>
      <x:c r="N6" s="20"/>
    </x:row>
    <x:row r="7">
      <x:c r="A7" s="20" t="str">
        <x:v>Blocked</x:v>
      </x:c>
      <x:c r="B7" s="20" t="n">
        <x:f>COUNTIF('Test Cases'!J2:J62,"Blocked")</x:f>
        <x:v>0</x:v>
      </x:c>
      <x:c r="C7" s="20"/>
      <x:c r="D7" s="20" t="str">
        <x:v>Student Profile</x:v>
      </x:c>
      <x:c r="E7" s="20" t="n">
        <x:f>COUNTIF('Test Cases'!B$2:B$62,D7)</x:f>
        <x:v>8</x:v>
      </x:c>
      <x:c r="F7" s="20" t="n">
        <x:f>COUNTIFS('Test Cases'!B$2:B$62,D7,'Test Cases'!J$2:J$62,"Pass")</x:f>
        <x:v>0</x:v>
      </x:c>
      <x:c r="G7" s="20"/>
      <x:c r="H7" s="20"/>
      <x:c r="I7" s="20"/>
      <x:c r="J7" s="20"/>
      <x:c r="K7" s="20"/>
      <x:c r="L7" s="20"/>
      <x:c r="M7" s="20"/>
      <x:c r="N7" s="20"/>
    </x:row>
    <x:row r="8">
      <x:c r="A8" s="20" t="str">
        <x:v>Not Run</x:v>
      </x:c>
      <x:c r="B8" s="20" t="n">
        <x:f>COUNTIF('Test Cases'!J2:J62,"Not Run")</x:f>
        <x:v>61</x:v>
      </x:c>
      <x:c r="C8" s="20"/>
      <x:c r="D8" s="20" t="str">
        <x:v>Ownership</x:v>
      </x:c>
      <x:c r="E8" s="20" t="n">
        <x:f>COUNTIF('Test Cases'!B$2:B$62,D8)</x:f>
        <x:v>4</x:v>
      </x:c>
      <x:c r="F8" s="20" t="n">
        <x:f>COUNTIFS('Test Cases'!B$2:B$62,D8,'Test Cases'!J$2:J$62,"Pass")</x:f>
        <x:v>0</x:v>
      </x:c>
      <x:c r="G8" s="20"/>
      <x:c r="H8" s="20"/>
      <x:c r="I8" s="20"/>
      <x:c r="J8" s="20"/>
      <x:c r="K8" s="20"/>
      <x:c r="L8" s="20"/>
      <x:c r="M8" s="20"/>
      <x:c r="N8" s="20"/>
    </x:row>
    <x:row r="9">
      <x:c r="A9" s="20"/>
      <x:c r="B9" s="20"/>
      <x:c r="C9" s="20"/>
      <x:c r="D9" s="20" t="str">
        <x:v>Skills</x:v>
      </x:c>
      <x:c r="E9" s="20" t="n">
        <x:f>COUNTIF('Test Cases'!B$2:B$62,D9)</x:f>
        <x:v>4</x:v>
      </x:c>
      <x:c r="F9" s="20" t="n">
        <x:f>COUNTIFS('Test Cases'!B$2:B$62,D9,'Test Cases'!J$2:J$62,"Pass")</x:f>
        <x:v>0</x:v>
      </x:c>
      <x:c r="G9" s="20"/>
      <x:c r="H9" s="20"/>
      <x:c r="I9" s="20"/>
      <x:c r="J9" s="20"/>
      <x:c r="K9" s="20"/>
      <x:c r="L9" s="20"/>
      <x:c r="M9" s="20"/>
      <x:c r="N9" s="20"/>
    </x:row>
    <x:row r="10">
      <x:c r="A10" s="20"/>
      <x:c r="B10" s="20"/>
      <x:c r="C10" s="20"/>
      <x:c r="D10" s="20" t="str">
        <x:v>Interests</x:v>
      </x:c>
      <x:c r="E10" s="20" t="n">
        <x:f>COUNTIF('Test Cases'!B$2:B$62,D10)</x:f>
        <x:v>3</x:v>
      </x:c>
      <x:c r="F10" s="20" t="n">
        <x:f>COUNTIFS('Test Cases'!B$2:B$62,D10,'Test Cases'!J$2:J$62,"Pass")</x:f>
        <x:v>0</x:v>
      </x:c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14" t="str">
        <x:v>Sprint 1 Exit Checks</x:v>
      </x:c>
      <x:c r="B11" s="14" t="str">
        <x:v>Status</x:v>
      </x:c>
      <x:c r="C11" s="20"/>
      <x:c r="D11" s="20" t="str">
        <x:v>Education</x:v>
      </x:c>
      <x:c r="E11" s="20" t="n">
        <x:f>COUNTIF('Test Cases'!B$2:B$62,D11)</x:f>
        <x:v>2</x:v>
      </x:c>
      <x:c r="F11" s="20" t="n">
        <x:f>COUNTIFS('Test Cases'!B$2:B$62,D11,'Test Cases'!J$2:J$62,"Pass")</x:f>
        <x:v>0</x:v>
      </x:c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 t="str">
        <x:v>Critical tests</x:v>
      </x:c>
      <x:c r="B12" s="20" t="str">
        <x:f>IF(COUNTIFS('Test Cases'!D2:D62,"Critical",'Test Cases'!J2:J62,"Fail")+COUNTIFS('Test Cases'!D2:D62,"Critical",'Test Cases'!J2:J62,"Blocked")&gt;0,"NOT READY",IF(COUNTIFS('Test Cases'!D2:D62,"Critical",'Test Cases'!J2:J62,"Not Run")&gt;0,"PENDING","READY"))</x:f>
        <x:v>PENDING</x:v>
      </x:c>
      <x:c r="C12" s="20"/>
      <x:c r="D12" s="20" t="str">
        <x:v>Experience</x:v>
      </x:c>
      <x:c r="E12" s="20" t="n">
        <x:f>COUNTIF('Test Cases'!B$2:B$62,D12)</x:f>
        <x:v>2</x:v>
      </x:c>
      <x:c r="F12" s="20" t="n">
        <x:f>COUNTIFS('Test Cases'!B$2:B$62,D12,'Test Cases'!J$2:J$62,"Pass")</x:f>
        <x:v>0</x:v>
      </x:c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 t="str">
        <x:v>Integration tests</x:v>
      </x:c>
      <x:c r="B13" s="20" t="str">
        <x:f>IF(COUNTIFS('Test Cases'!C2:C62,"Integration",'Test Cases'!J2:J62,"Fail")+COUNTIFS('Test Cases'!C2:C62,"Integration",'Test Cases'!J2:J62,"Blocked")&gt;0,"NOT READY",IF(COUNTIFS('Test Cases'!C2:C62,"Integration",'Test Cases'!J2:J62,"Not Run")&gt;0,"PENDING","READY"))</x:f>
        <x:v>PENDING</x:v>
      </x:c>
      <x:c r="C13" s="20"/>
      <x:c r="D13" s="20" t="str">
        <x:v>Projects</x:v>
      </x:c>
      <x:c r="E13" s="20" t="n">
        <x:f>COUNTIF('Test Cases'!B$2:B$62,D13)</x:f>
        <x:v>2</x:v>
      </x:c>
      <x:c r="F13" s="20" t="n">
        <x:f>COUNTIFS('Test Cases'!B$2:B$62,D13,'Test Cases'!J$2:J$62,"Pass")</x:f>
        <x:v>0</x:v>
      </x:c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 t="str">
        <x:v>Career Goals</x:v>
      </x:c>
      <x:c r="E14" s="20" t="n">
        <x:f>COUNTIF('Test Cases'!B$2:B$62,D14)</x:f>
        <x:v>1</x:v>
      </x:c>
      <x:c r="F14" s="20" t="n">
        <x:f>COUNTIFS('Test Cases'!B$2:B$62,D14,'Test Cases'!J$2:J$62,"Pass")</x:f>
        <x:v>0</x:v>
      </x:c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 t="str">
        <x:v>Personality</x:v>
      </x:c>
      <x:c r="E15" s="20" t="n">
        <x:f>COUNTIF('Test Cases'!B$2:B$62,D15)</x:f>
        <x:v>1</x:v>
      </x:c>
      <x:c r="F15" s="20" t="n">
        <x:f>COUNTIFS('Test Cases'!B$2:B$62,D15,'Test Cases'!J$2:J$62,"Pass")</x:f>
        <x:v>0</x:v>
      </x:c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 t="str">
        <x:v>Frontend Auth</x:v>
      </x:c>
      <x:c r="E16" s="20" t="n">
        <x:f>COUNTIF('Test Cases'!B$2:B$62,D16)</x:f>
        <x:v>5</x:v>
      </x:c>
      <x:c r="F16" s="20" t="n">
        <x:f>COUNTIFS('Test Cases'!B$2:B$62,D16,'Test Cases'!J$2:J$62,"Pass")</x:f>
        <x:v>0</x:v>
      </x:c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 t="str">
        <x:v>Frontend Profile</x:v>
      </x:c>
      <x:c r="E17" s="20" t="n">
        <x:f>COUNTIF('Test Cases'!B$2:B$62,D17)</x:f>
        <x:v>4</x:v>
      </x:c>
      <x:c r="F17" s="20" t="n">
        <x:f>COUNTIFS('Test Cases'!B$2:B$62,D17,'Test Cases'!J$2:J$62,"Pass")</x:f>
        <x:v>0</x:v>
      </x:c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 t="str">
        <x:v>Database</x:v>
      </x:c>
      <x:c r="E18" s="20" t="n">
        <x:f>COUNTIF('Test Cases'!B$2:B$62,D18)</x:f>
        <x:v>3</x:v>
      </x:c>
      <x:c r="F18" s="20" t="n">
        <x:f>COUNTIFS('Test Cases'!B$2:B$62,D18,'Test Cases'!J$2:J$62,"Pass")</x:f>
        <x:v>0</x:v>
      </x:c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 t="str">
        <x:v>Security</x:v>
      </x:c>
      <x:c r="E19" s="20" t="n">
        <x:f>COUNTIF('Test Cases'!B$2:B$62,D19)</x:f>
        <x:v>4</x:v>
      </x:c>
      <x:c r="F19" s="20" t="n">
        <x:f>COUNTIFS('Test Cases'!B$2:B$62,D19,'Test Cases'!J$2:J$62,"Pass")</x:f>
        <x:v>0</x:v>
      </x:c>
      <x:c r="G19" s="20"/>
      <x:c r="H19" s="31" t="str">
        <x:v>Test Owner</x:v>
      </x:c>
      <x:c r="I19" s="31" t="str">
        <x:v>Assigned</x:v>
      </x:c>
      <x:c r="J19" s="31" t="str">
        <x:v>Passed</x:v>
      </x:c>
      <x:c r="K19" s="20"/>
      <x:c r="L19" s="20"/>
      <x:c r="M19" s="20"/>
      <x:c r="N19" s="20"/>
    </x:row>
    <x:row r="20">
      <x:c r="A20" s="20"/>
      <x:c r="B20" s="20"/>
      <x:c r="C20" s="20"/>
      <x:c r="D20" s="20" t="str">
        <x:v>Regression</x:v>
      </x:c>
      <x:c r="E20" s="20" t="n">
        <x:f>COUNTIF('Test Cases'!B$2:B$62,D20)</x:f>
        <x:v>3</x:v>
      </x:c>
      <x:c r="F20" s="20" t="n">
        <x:f>COUNTIFS('Test Cases'!B$2:B$62,D20,'Test Cases'!J$2:J$62,"Pass")</x:f>
        <x:v>0</x:v>
      </x:c>
      <x:c r="G20" s="20"/>
      <x:c r="H20" s="20" t="str">
        <x:v>MD</x:v>
      </x:c>
      <x:c r="I20" s="20" t="n">
        <x:f>COUNTIF('Test Cases'!P$2:P$62,H20)</x:f>
        <x:v>22</x:v>
      </x:c>
      <x:c r="J20" s="20" t="n">
        <x:f>COUNTIFS('Test Cases'!P$2:P$62,H20,'Test Cases'!J$2:J$62,"Pass")</x:f>
        <x:v>0</x:v>
      </x:c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 t="str">
        <x:v>Joyee</x:v>
      </x:c>
      <x:c r="I21" s="20" t="n">
        <x:f>COUNTIF('Test Cases'!P$2:P$62,H21)</x:f>
        <x:v>10</x:v>
      </x:c>
      <x:c r="J21" s="20" t="n">
        <x:f>COUNTIFS('Test Cases'!P$2:P$62,H21,'Test Cases'!J$2:J$62,"Pass")</x:f>
        <x:v>0</x:v>
      </x:c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 t="str">
        <x:v>Jerald</x:v>
      </x:c>
      <x:c r="I22" s="20" t="n">
        <x:f>COUNTIF('Test Cases'!P$2:P$62,H22)</x:f>
        <x:v>23</x:v>
      </x:c>
      <x:c r="J22" s="20" t="n">
        <x:f>COUNTIFS('Test Cases'!P$2:P$62,H22,'Test Cases'!J$2:J$62,"Pass")</x:f>
        <x:v>0</x:v>
      </x:c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 t="str">
        <x:v>Shared</x:v>
      </x:c>
      <x:c r="I23" s="20" t="n">
        <x:f>COUNTIF('Test Cases'!P$2:P$62,H23)</x:f>
        <x:v>6</x:v>
      </x:c>
      <x:c r="J23" s="20" t="n">
        <x:f>COUNTIFS('Test Cases'!P$2:P$62,H23,'Test Cases'!J$2:J$62,"Pass")</x:f>
        <x:v>0</x:v>
      </x:c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9059ebdad7984e02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1" hidden="0" customWidth="1"/>
    <x:col min="5" max="5" width="28" hidden="0" customWidth="1"/>
    <x:col min="6" max="6" width="28" hidden="0" customWidth="1"/>
    <x:col min="7" max="7" width="38" hidden="0" customWidth="1"/>
    <x:col min="8" max="8" width="38" hidden="0" customWidth="1"/>
    <x:col min="9" max="9" width="28" hidden="0" customWidth="1"/>
    <x:col min="10" max="10" width="12" hidden="0" customWidth="1"/>
    <x:col min="11" max="11" width="16" hidden="0" customWidth="1"/>
    <x:col min="12" max="12" width="13" hidden="0" customWidth="1"/>
    <x:col min="13" max="13" width="14" hidden="0" customWidth="1"/>
    <x:col min="14" max="14" width="18" hidden="0" customWidth="1"/>
    <x:col min="15" max="15" width="24" hidden="0" customWidth="1"/>
    <x:col min="16" max="16" width="14" hidden="0" customWidth="1"/>
  </x:cols>
  <x:sheetData>
    <x:row r="1">
      <x:c r="A1" s="14" t="str">
        <x:v>Test ID</x:v>
      </x:c>
      <x:c r="B1" s="14" t="str">
        <x:v>Area</x:v>
      </x:c>
      <x:c r="C1" s="14" t="str">
        <x:v>Test Type</x:v>
      </x:c>
      <x:c r="D1" s="14" t="str">
        <x:v>Priority</x:v>
      </x:c>
      <x:c r="E1" s="14" t="str">
        <x:v>Scenario</x:v>
      </x:c>
      <x:c r="F1" s="14" t="str">
        <x:v>Preconditions</x:v>
      </x:c>
      <x:c r="G1" s="14" t="str">
        <x:v>Test Steps</x:v>
      </x:c>
      <x:c r="H1" s="14" t="str">
        <x:v>Expected Result</x:v>
      </x:c>
      <x:c r="I1" s="14" t="str">
        <x:v>Actual Result</x:v>
      </x:c>
      <x:c r="J1" s="14" t="str">
        <x:v>Status</x:v>
      </x:c>
      <x:c r="K1" s="14" t="str">
        <x:v>Tester</x:v>
      </x:c>
      <x:c r="L1" s="14" t="str">
        <x:v>Test Date</x:v>
      </x:c>
      <x:c r="M1" s="14" t="str">
        <x:v>Evidence ID</x:v>
      </x:c>
      <x:c r="N1" s="14" t="str">
        <x:v>Defect Reference</x:v>
      </x:c>
      <x:c r="O1" s="14" t="str">
        <x:v>Notes</x:v>
      </x:c>
      <x:c r="P1" s="31" t="str">
        <x:v>Test Owner</x:v>
      </x:c>
    </x:row>
    <x:row r="2">
      <x:c r="A2" s="20" t="str">
        <x:v>AUTH-REG-01</x:v>
      </x:c>
      <x:c r="B2" s="20" t="str">
        <x:v>Authentication</x:v>
      </x:c>
      <x:c r="C2" s="20" t="str">
        <x:v>API</x:v>
      </x:c>
      <x:c r="D2" s="20" t="str">
        <x:v>Critical</x:v>
      </x:c>
      <x:c r="E2" s="20" t="str">
        <x:v>Valid student registration</x:v>
      </x:c>
      <x:c r="F2" s="20" t="str">
        <x:v>Unique test email</x:v>
      </x:c>
      <x:c r="G2" s="20" t="str">
        <x:v>POST valid payload to /api/v1/auth/register/</x:v>
      </x:c>
      <x:c r="H2" s="20" t="str">
        <x:v>Approved success response; account created; password not returned</x:v>
      </x:c>
      <x:c r="I2" s="20" t="str"/>
      <x:c r="J2" s="20" t="str">
        <x:v>Not Run</x:v>
      </x:c>
      <x:c r="K2" s="20" t="str"/>
      <x:c r="L2" s="24" t="str"/>
      <x:c r="M2" s="20" t="str"/>
      <x:c r="N2" s="20" t="str"/>
      <x:c r="O2" s="20" t="str"/>
      <x:c r="P2" s="20" t="str">
        <x:v>MD</x:v>
      </x:c>
    </x:row>
    <x:row r="3">
      <x:c r="A3" s="20" t="str">
        <x:v>AUTH-REG-02</x:v>
      </x:c>
      <x:c r="B3" s="20" t="str">
        <x:v>Authentication</x:v>
      </x:c>
      <x:c r="C3" s="20" t="str">
        <x:v>API</x:v>
      </x:c>
      <x:c r="D3" s="20" t="str">
        <x:v>High</x:v>
      </x:c>
      <x:c r="E3" s="20" t="str">
        <x:v>Missing required registration field</x:v>
      </x:c>
      <x:c r="F3" s="20" t="str">
        <x:v>Registration endpoint available</x:v>
      </x:c>
      <x:c r="G3" s="20" t="str">
        <x:v>POST payload missing one required field</x:v>
      </x:c>
      <x:c r="H3" s="20" t="str">
        <x:v>400 Bad Request; validation error; account not created</x:v>
      </x:c>
      <x:c r="I3" s="20" t="str"/>
      <x:c r="J3" s="20" t="str">
        <x:v>Not Run</x:v>
      </x:c>
      <x:c r="K3" s="20" t="str"/>
      <x:c r="L3" s="24" t="str"/>
      <x:c r="M3" s="20" t="str"/>
      <x:c r="N3" s="20" t="str"/>
      <x:c r="O3" s="20" t="str"/>
      <x:c r="P3" s="20" t="str">
        <x:v>MD</x:v>
      </x:c>
    </x:row>
    <x:row r="4">
      <x:c r="A4" s="20" t="str">
        <x:v>AUTH-REG-03</x:v>
      </x:c>
      <x:c r="B4" s="20" t="str">
        <x:v>Authentication</x:v>
      </x:c>
      <x:c r="C4" s="20" t="str">
        <x:v>API</x:v>
      </x:c>
      <x:c r="D4" s="20" t="str">
        <x:v>High</x:v>
      </x:c>
      <x:c r="E4" s="20" t="str">
        <x:v>Duplicate email registration</x:v>
      </x:c>
      <x:c r="F4" s="20" t="str">
        <x:v>Existing account uses test email</x:v>
      </x:c>
      <x:c r="G4" s="20" t="str">
        <x:v>POST registration with existing email</x:v>
      </x:c>
      <x:c r="H4" s="20" t="str">
        <x:v>409 Conflict or approved duplicate-data response</x:v>
      </x:c>
      <x:c r="I4" s="20" t="str"/>
      <x:c r="J4" s="20" t="str">
        <x:v>Not Run</x:v>
      </x:c>
      <x:c r="K4" s="20" t="str"/>
      <x:c r="L4" s="24" t="str"/>
      <x:c r="M4" s="20" t="str"/>
      <x:c r="N4" s="20" t="str"/>
      <x:c r="O4" s="20" t="str"/>
      <x:c r="P4" s="20" t="str">
        <x:v>MD</x:v>
      </x:c>
    </x:row>
    <x:row r="5">
      <x:c r="A5" s="20" t="str">
        <x:v>AUTH-REG-04</x:v>
      </x:c>
      <x:c r="B5" s="20" t="str">
        <x:v>Authentication</x:v>
      </x:c>
      <x:c r="C5" s="20" t="str">
        <x:v>Security</x:v>
      </x:c>
      <x:c r="D5" s="20" t="str">
        <x:v>Critical</x:v>
      </x:c>
      <x:c r="E5" s="20" t="str">
        <x:v>Registration response protects password</x:v>
      </x:c>
      <x:c r="F5" s="20" t="str">
        <x:v>Registration endpoint available</x:v>
      </x:c>
      <x:c r="G5" s="20" t="str">
        <x:v>Register account and inspect response</x:v>
      </x:c>
      <x:c r="H5" s="20" t="str">
        <x:v>No password, hash, reset credential, or secret returned</x:v>
      </x:c>
      <x:c r="I5" s="20" t="str"/>
      <x:c r="J5" s="20" t="str">
        <x:v>Not Run</x:v>
      </x:c>
      <x:c r="K5" s="20" t="str"/>
      <x:c r="L5" s="24" t="str"/>
      <x:c r="M5" s="20" t="str"/>
      <x:c r="N5" s="20" t="str"/>
      <x:c r="O5" s="20" t="str"/>
      <x:c r="P5" s="20" t="str">
        <x:v>MD</x:v>
      </x:c>
    </x:row>
    <x:row r="6">
      <x:c r="A6" s="20" t="str">
        <x:v>AUTH-LOGIN-01</x:v>
      </x:c>
      <x:c r="B6" s="20" t="str">
        <x:v>Authentication</x:v>
      </x:c>
      <x:c r="C6" s="20" t="str">
        <x:v>API</x:v>
      </x:c>
      <x:c r="D6" s="20" t="str">
        <x:v>Critical</x:v>
      </x:c>
      <x:c r="E6" s="20" t="str">
        <x:v>Valid login</x:v>
      </x:c>
      <x:c r="F6" s="20" t="str">
        <x:v>Active Student account exists</x:v>
      </x:c>
      <x:c r="G6" s="20" t="str">
        <x:v>POST valid credentials to /api/v1/auth/login/</x:v>
      </x:c>
      <x:c r="H6" s="20" t="str">
        <x:v>200 OK; expected JWT authentication data returned</x:v>
      </x:c>
      <x:c r="I6" s="20" t="str"/>
      <x:c r="J6" s="20" t="str">
        <x:v>Not Run</x:v>
      </x:c>
      <x:c r="K6" s="20" t="str"/>
      <x:c r="L6" s="24" t="str"/>
      <x:c r="M6" s="20" t="str"/>
      <x:c r="N6" s="20" t="str"/>
      <x:c r="O6" s="20" t="str"/>
      <x:c r="P6" s="20" t="str">
        <x:v>MD</x:v>
      </x:c>
    </x:row>
    <x:row r="7">
      <x:c r="A7" s="20" t="str">
        <x:v>AUTH-LOGIN-02</x:v>
      </x:c>
      <x:c r="B7" s="20" t="str">
        <x:v>Authentication</x:v>
      </x:c>
      <x:c r="C7" s="20" t="str">
        <x:v>API</x:v>
      </x:c>
      <x:c r="D7" s="20" t="str">
        <x:v>Critical</x:v>
      </x:c>
      <x:c r="E7" s="20" t="str">
        <x:v>Invalid password</x:v>
      </x:c>
      <x:c r="F7" s="20" t="str">
        <x:v>Active Student account exists</x:v>
      </x:c>
      <x:c r="G7" s="20" t="str">
        <x:v>POST correct email with wrong password</x:v>
      </x:c>
      <x:c r="H7" s="20" t="str">
        <x:v>401 Unauthorized or approved auth failure; no tokens returned</x:v>
      </x:c>
      <x:c r="I7" s="20" t="str"/>
      <x:c r="J7" s="20" t="str">
        <x:v>Not Run</x:v>
      </x:c>
      <x:c r="K7" s="20" t="str"/>
      <x:c r="L7" s="24" t="str"/>
      <x:c r="M7" s="20" t="str"/>
      <x:c r="N7" s="20" t="str"/>
      <x:c r="O7" s="20" t="str"/>
      <x:c r="P7" s="20" t="str">
        <x:v>MD</x:v>
      </x:c>
    </x:row>
    <x:row r="8">
      <x:c r="A8" s="20" t="str">
        <x:v>AUTH-LOGIN-03</x:v>
      </x:c>
      <x:c r="B8" s="20" t="str">
        <x:v>Authentication</x:v>
      </x:c>
      <x:c r="C8" s="20" t="str">
        <x:v>API</x:v>
      </x:c>
      <x:c r="D8" s="20" t="str">
        <x:v>High</x:v>
      </x:c>
      <x:c r="E8" s="20" t="str">
        <x:v>Missing login credentials</x:v>
      </x:c>
      <x:c r="F8" s="20" t="str">
        <x:v>Login endpoint available</x:v>
      </x:c>
      <x:c r="G8" s="20" t="str">
        <x:v>POST request with missing email or password</x:v>
      </x:c>
      <x:c r="H8" s="20" t="str">
        <x:v>400 Bad Request; standard error structure</x:v>
      </x:c>
      <x:c r="I8" s="20" t="str"/>
      <x:c r="J8" s="20" t="str">
        <x:v>Not Run</x:v>
      </x:c>
      <x:c r="K8" s="20" t="str"/>
      <x:c r="L8" s="24" t="str"/>
      <x:c r="M8" s="20" t="str"/>
      <x:c r="N8" s="20" t="str"/>
      <x:c r="O8" s="20" t="str"/>
      <x:c r="P8" s="20" t="str">
        <x:v>MD</x:v>
      </x:c>
    </x:row>
    <x:row r="9">
      <x:c r="A9" s="20" t="str">
        <x:v>AUTH-ME-01</x:v>
      </x:c>
      <x:c r="B9" s="20" t="str">
        <x:v>Current User</x:v>
      </x:c>
      <x:c r="C9" s="20" t="str">
        <x:v>API</x:v>
      </x:c>
      <x:c r="D9" s="20" t="str">
        <x:v>Critical</x:v>
      </x:c>
      <x:c r="E9" s="20" t="str">
        <x:v>Retrieve current authenticated user</x:v>
      </x:c>
      <x:c r="F9" s="20" t="str">
        <x:v>Valid access token</x:v>
      </x:c>
      <x:c r="G9" s="20" t="str">
        <x:v>GET /api/v1/auth/me/ with Bearer token</x:v>
      </x:c>
      <x:c r="H9" s="20" t="str">
        <x:v>200 OK; authenticated user only</x:v>
      </x:c>
      <x:c r="I9" s="20" t="str"/>
      <x:c r="J9" s="20" t="str">
        <x:v>Not Run</x:v>
      </x:c>
      <x:c r="K9" s="20" t="str"/>
      <x:c r="L9" s="24" t="str"/>
      <x:c r="M9" s="20" t="str"/>
      <x:c r="N9" s="20" t="str"/>
      <x:c r="O9" s="20" t="str"/>
      <x:c r="P9" s="20" t="str">
        <x:v>MD</x:v>
      </x:c>
    </x:row>
    <x:row r="10">
      <x:c r="A10" s="20" t="str">
        <x:v>AUTH-ME-02</x:v>
      </x:c>
      <x:c r="B10" s="20" t="str">
        <x:v>Current User</x:v>
      </x:c>
      <x:c r="C10" s="20" t="str">
        <x:v>Security</x:v>
      </x:c>
      <x:c r="D10" s="20" t="str">
        <x:v>Critical</x:v>
      </x:c>
      <x:c r="E10" s="20" t="str">
        <x:v>Current user without token</x:v>
      </x:c>
      <x:c r="F10" s="20" t="str">
        <x:v>None</x:v>
      </x:c>
      <x:c r="G10" s="20" t="str">
        <x:v>GET /api/v1/auth/me/ without Authorization</x:v>
      </x:c>
      <x:c r="H10" s="20" t="str">
        <x:v>401 Unauthorized; no account data returned</x:v>
      </x:c>
      <x:c r="I10" s="20" t="str"/>
      <x:c r="J10" s="20" t="str">
        <x:v>Not Run</x:v>
      </x:c>
      <x:c r="K10" s="20" t="str"/>
      <x:c r="L10" s="24" t="str"/>
      <x:c r="M10" s="20" t="str"/>
      <x:c r="N10" s="20" t="str"/>
      <x:c r="O10" s="20" t="str"/>
      <x:c r="P10" s="20" t="str">
        <x:v>MD</x:v>
      </x:c>
    </x:row>
    <x:row r="11">
      <x:c r="A11" s="20" t="str">
        <x:v>JWT-REF-01</x:v>
      </x:c>
      <x:c r="B11" s="20" t="str">
        <x:v>JWT</x:v>
      </x:c>
      <x:c r="C11" s="20" t="str">
        <x:v>API</x:v>
      </x:c>
      <x:c r="D11" s="20" t="str">
        <x:v>Critical</x:v>
      </x:c>
      <x:c r="E11" s="20" t="str">
        <x:v>Refresh valid access token</x:v>
      </x:c>
      <x:c r="F11" s="20" t="str">
        <x:v>Valid refresh token</x:v>
      </x:c>
      <x:c r="G11" s="20" t="str">
        <x:v>POST refresh token to /api/v1/auth/token/refresh/</x:v>
      </x:c>
      <x:c r="H11" s="20" t="str">
        <x:v>200 OK; new access token according to implementation</x:v>
      </x:c>
      <x:c r="I11" s="20" t="str"/>
      <x:c r="J11" s="20" t="str">
        <x:v>Not Run</x:v>
      </x:c>
      <x:c r="K11" s="20" t="str"/>
      <x:c r="L11" s="24" t="str"/>
      <x:c r="M11" s="20" t="str"/>
      <x:c r="N11" s="20" t="str"/>
      <x:c r="O11" s="20" t="str"/>
      <x:c r="P11" s="20" t="str">
        <x:v>MD</x:v>
      </x:c>
    </x:row>
    <x:row r="12">
      <x:c r="A12" s="20" t="str">
        <x:v>JWT-REF-02</x:v>
      </x:c>
      <x:c r="B12" s="20" t="str">
        <x:v>JWT</x:v>
      </x:c>
      <x:c r="C12" s="20" t="str">
        <x:v>Security</x:v>
      </x:c>
      <x:c r="D12" s="20" t="str">
        <x:v>Critical</x:v>
      </x:c>
      <x:c r="E12" s="20" t="str">
        <x:v>Reject invalid refresh token</x:v>
      </x:c>
      <x:c r="F12" s="20" t="str">
        <x:v>Invalid refresh token</x:v>
      </x:c>
      <x:c r="G12" s="20" t="str">
        <x:v>POST invalid refresh token</x:v>
      </x:c>
      <x:c r="H12" s="20" t="str">
        <x:v>Rejected; no access token issued</x:v>
      </x:c>
      <x:c r="I12" s="20" t="str"/>
      <x:c r="J12" s="20" t="str">
        <x:v>Not Run</x:v>
      </x:c>
      <x:c r="K12" s="20" t="str"/>
      <x:c r="L12" s="24" t="str"/>
      <x:c r="M12" s="20" t="str"/>
      <x:c r="N12" s="20" t="str"/>
      <x:c r="O12" s="20" t="str"/>
      <x:c r="P12" s="20" t="str">
        <x:v>MD</x:v>
      </x:c>
    </x:row>
    <x:row r="13">
      <x:c r="A13" s="20" t="str">
        <x:v>JWT-REF-03</x:v>
      </x:c>
      <x:c r="B13" s="20" t="str">
        <x:v>JWT</x:v>
      </x:c>
      <x:c r="C13" s="20" t="str">
        <x:v>Security</x:v>
      </x:c>
      <x:c r="D13" s="20" t="str">
        <x:v>High</x:v>
      </x:c>
      <x:c r="E13" s="20" t="str">
        <x:v>Reject blacklisted refresh token</x:v>
      </x:c>
      <x:c r="F13" s="20" t="str">
        <x:v>Blacklisting implemented; token logged out</x:v>
      </x:c>
      <x:c r="G13" s="20" t="str">
        <x:v>Reuse blacklisted refresh token</x:v>
      </x:c>
      <x:c r="H13" s="20" t="str">
        <x:v>Rejected according to JWT implementation</x:v>
      </x:c>
      <x:c r="I13" s="20" t="str"/>
      <x:c r="J13" s="20" t="str">
        <x:v>Not Run</x:v>
      </x:c>
      <x:c r="K13" s="20" t="str"/>
      <x:c r="L13" s="24" t="str"/>
      <x:c r="M13" s="20" t="str"/>
      <x:c r="N13" s="20" t="str"/>
      <x:c r="O13" s="20" t="str"/>
      <x:c r="P13" s="20" t="str">
        <x:v>MD</x:v>
      </x:c>
    </x:row>
    <x:row r="14">
      <x:c r="A14" s="20" t="str">
        <x:v>AUTH-LOG-01</x:v>
      </x:c>
      <x:c r="B14" s="20" t="str">
        <x:v>Authentication</x:v>
      </x:c>
      <x:c r="C14" s="20" t="str">
        <x:v>Integration</x:v>
      </x:c>
      <x:c r="D14" s="20" t="str">
        <x:v>Critical</x:v>
      </x:c>
      <x:c r="E14" s="20" t="str">
        <x:v>Logout invalidates session as designed</x:v>
      </x:c>
      <x:c r="F14" s="20" t="str">
        <x:v>Authenticated user; valid refresh token</x:v>
      </x:c>
      <x:c r="G14" s="20" t="str">
        <x:v>POST logout then attempt token reuse</x:v>
      </x:c>
      <x:c r="H14" s="20" t="str">
        <x:v>Logout succeeds; token reuse fails where blacklisting applies</x:v>
      </x:c>
      <x:c r="I14" s="20" t="str"/>
      <x:c r="J14" s="20" t="str">
        <x:v>Not Run</x:v>
      </x:c>
      <x:c r="K14" s="20" t="str"/>
      <x:c r="L14" s="24" t="str"/>
      <x:c r="M14" s="20" t="str"/>
      <x:c r="N14" s="20" t="str"/>
      <x:c r="O14" s="20" t="str"/>
      <x:c r="P14" s="20" t="str">
        <x:v>MD</x:v>
      </x:c>
    </x:row>
    <x:row r="15">
      <x:c r="A15" s="20" t="str">
        <x:v>AUTH-PWR-01</x:v>
      </x:c>
      <x:c r="B15" s="20" t="str">
        <x:v>Authentication</x:v>
      </x:c>
      <x:c r="C15" s="20" t="str">
        <x:v>API</x:v>
      </x:c>
      <x:c r="D15" s="20" t="str">
        <x:v>Medium</x:v>
      </x:c>
      <x:c r="E15" s="20" t="str">
        <x:v>Password reset request</x:v>
      </x:c>
      <x:c r="F15" s="20" t="str">
        <x:v>Reset endpoint enabled</x:v>
      </x:c>
      <x:c r="G15" s="20" t="str">
        <x:v>POST approved reset request</x:v>
      </x:c>
      <x:c r="H15" s="20" t="str">
        <x:v>Controlled success response; avoids unnecessary account disclosure</x:v>
      </x:c>
      <x:c r="I15" s="20" t="str"/>
      <x:c r="J15" s="20" t="str">
        <x:v>Not Run</x:v>
      </x:c>
      <x:c r="K15" s="20" t="str"/>
      <x:c r="L15" s="24" t="str"/>
      <x:c r="M15" s="20" t="str"/>
      <x:c r="N15" s="20" t="str"/>
      <x:c r="O15" s="20" t="str"/>
      <x:c r="P15" s="20" t="str">
        <x:v>MD</x:v>
      </x:c>
    </x:row>
    <x:row r="16">
      <x:c r="A16" s="20" t="str">
        <x:v>AUTH-PWR-02</x:v>
      </x:c>
      <x:c r="B16" s="20" t="str">
        <x:v>Authentication</x:v>
      </x:c>
      <x:c r="C16" s="20" t="str">
        <x:v>Security</x:v>
      </x:c>
      <x:c r="D16" s="20" t="str">
        <x:v>High</x:v>
      </x:c>
      <x:c r="E16" s="20" t="str">
        <x:v>Invalid password reset confirmation</x:v>
      </x:c>
      <x:c r="F16" s="20" t="str">
        <x:v>Invalid or expired reset credential</x:v>
      </x:c>
      <x:c r="G16" s="20" t="str">
        <x:v>POST reset confirmation with invalid credential</x:v>
      </x:c>
      <x:c r="H16" s="20" t="str">
        <x:v>Rejected; password unchanged</x:v>
      </x:c>
      <x:c r="I16" s="20" t="str"/>
      <x:c r="J16" s="20" t="str">
        <x:v>Not Run</x:v>
      </x:c>
      <x:c r="K16" s="20" t="str"/>
      <x:c r="L16" s="24" t="str"/>
      <x:c r="M16" s="20" t="str"/>
      <x:c r="N16" s="20" t="str"/>
      <x:c r="O16" s="20" t="str"/>
      <x:c r="P16" s="20" t="str">
        <x:v>MD</x:v>
      </x:c>
    </x:row>
    <x:row r="17">
      <x:c r="A17" s="20" t="str">
        <x:v>PROF-GET-01</x:v>
      </x:c>
      <x:c r="B17" s="20" t="str">
        <x:v>Student Profile</x:v>
      </x:c>
      <x:c r="C17" s="20" t="str">
        <x:v>API</x:v>
      </x:c>
      <x:c r="D17" s="20" t="str">
        <x:v>Critical</x:v>
      </x:c>
      <x:c r="E17" s="20" t="str">
        <x:v>Authenticated student retrieves own profile</x:v>
      </x:c>
      <x:c r="F17" s="20" t="str">
        <x:v>Student A has profile and valid token</x:v>
      </x:c>
      <x:c r="G17" s="20" t="str">
        <x:v>GET /api/v1/profile/ as Student A</x:v>
      </x:c>
      <x:c r="H17" s="20" t="str">
        <x:v>200 OK; only Student A profile data returned</x:v>
      </x:c>
      <x:c r="I17" s="20" t="str"/>
      <x:c r="J17" s="20" t="str">
        <x:v>Not Run</x:v>
      </x:c>
      <x:c r="K17" s="20" t="str"/>
      <x:c r="L17" s="24" t="str"/>
      <x:c r="M17" s="20" t="str"/>
      <x:c r="N17" s="20" t="str"/>
      <x:c r="O17" s="20" t="str"/>
      <x:c r="P17" s="20" t="str">
        <x:v>MD</x:v>
      </x:c>
    </x:row>
    <x:row r="18">
      <x:c r="A18" s="20" t="str">
        <x:v>PROF-GET-02</x:v>
      </x:c>
      <x:c r="B18" s="20" t="str">
        <x:v>Student Profile</x:v>
      </x:c>
      <x:c r="C18" s="20" t="str">
        <x:v>Security</x:v>
      </x:c>
      <x:c r="D18" s="20" t="str">
        <x:v>Critical</x:v>
      </x:c>
      <x:c r="E18" s="20" t="str">
        <x:v>Profile request without authentication</x:v>
      </x:c>
      <x:c r="F18" s="20" t="str">
        <x:v>None</x:v>
      </x:c>
      <x:c r="G18" s="20" t="str">
        <x:v>GET /api/v1/profile/ without token</x:v>
      </x:c>
      <x:c r="H18" s="20" t="str">
        <x:v>401 Unauthorized; no profile data returned</x:v>
      </x:c>
      <x:c r="I18" s="20" t="str"/>
      <x:c r="J18" s="20" t="str">
        <x:v>Not Run</x:v>
      </x:c>
      <x:c r="K18" s="20" t="str"/>
      <x:c r="L18" s="24" t="str"/>
      <x:c r="M18" s="20" t="str"/>
      <x:c r="N18" s="20" t="str"/>
      <x:c r="O18" s="20" t="str"/>
      <x:c r="P18" s="20" t="str">
        <x:v>MD</x:v>
      </x:c>
    </x:row>
    <x:row r="19">
      <x:c r="A19" s="20" t="str">
        <x:v>PROF-GET-03</x:v>
      </x:c>
      <x:c r="B19" s="20" t="str">
        <x:v>Student Profile</x:v>
      </x:c>
      <x:c r="C19" s="20" t="str">
        <x:v>API</x:v>
      </x:c>
      <x:c r="D19" s="20" t="str">
        <x:v>High</x:v>
      </x:c>
      <x:c r="E19" s="20" t="str">
        <x:v>Profile response contains approved collections</x:v>
      </x:c>
      <x:c r="F19" s="20" t="str">
        <x:v>Profile has related data</x:v>
      </x:c>
      <x:c r="G19" s="20" t="str">
        <x:v>GET /api/v1/profile/</x:v>
      </x:c>
      <x:c r="H19" s="20" t="str">
        <x:v>Response matches implemented profile contract</x:v>
      </x:c>
      <x:c r="I19" s="20" t="str"/>
      <x:c r="J19" s="20" t="str">
        <x:v>Not Run</x:v>
      </x:c>
      <x:c r="K19" s="20" t="str"/>
      <x:c r="L19" s="24" t="str"/>
      <x:c r="M19" s="20" t="str"/>
      <x:c r="N19" s="20" t="str"/>
      <x:c r="O19" s="20" t="str"/>
      <x:c r="P19" s="20" t="str">
        <x:v>MD</x:v>
      </x:c>
    </x:row>
    <x:row r="20">
      <x:c r="A20" s="20" t="str">
        <x:v>PROF-PAT-01</x:v>
      </x:c>
      <x:c r="B20" s="20" t="str">
        <x:v>Student Profile</x:v>
      </x:c>
      <x:c r="C20" s="20" t="str">
        <x:v>API</x:v>
      </x:c>
      <x:c r="D20" s="20" t="str">
        <x:v>Critical</x:v>
      </x:c>
      <x:c r="E20" s="20" t="str">
        <x:v>Valid partial profile update</x:v>
      </x:c>
      <x:c r="F20" s="20" t="str">
        <x:v>Authenticated Student A</x:v>
      </x:c>
      <x:c r="G20" s="20" t="str">
        <x:v>PATCH approved fields</x:v>
      </x:c>
      <x:c r="H20" s="20" t="str">
        <x:v>200 OK; submitted data updated; unrelated data preserved</x:v>
      </x:c>
      <x:c r="I20" s="20" t="str"/>
      <x:c r="J20" s="20" t="str">
        <x:v>Not Run</x:v>
      </x:c>
      <x:c r="K20" s="20" t="str"/>
      <x:c r="L20" s="24" t="str"/>
      <x:c r="M20" s="20" t="str"/>
      <x:c r="N20" s="20" t="str"/>
      <x:c r="O20" s="20" t="str"/>
      <x:c r="P20" s="20" t="str">
        <x:v>MD</x:v>
      </x:c>
    </x:row>
    <x:row r="21">
      <x:c r="A21" s="20" t="str">
        <x:v>PROF-PAT-02</x:v>
      </x:c>
      <x:c r="B21" s="20" t="str">
        <x:v>Student Profile</x:v>
      </x:c>
      <x:c r="C21" s="20" t="str">
        <x:v>API</x:v>
      </x:c>
      <x:c r="D21" s="20" t="str">
        <x:v>High</x:v>
      </x:c>
      <x:c r="E21" s="20" t="str">
        <x:v>Invalid profile field value</x:v>
      </x:c>
      <x:c r="F21" s="20" t="str">
        <x:v>Authenticated Student A</x:v>
      </x:c>
      <x:c r="G21" s="20" t="str">
        <x:v>PATCH invalid profile data</x:v>
      </x:c>
      <x:c r="H21" s="20" t="str">
        <x:v>400 Bad Request; invalid data not persisted</x:v>
      </x:c>
      <x:c r="I21" s="20" t="str"/>
      <x:c r="J21" s="20" t="str">
        <x:v>Not Run</x:v>
      </x:c>
      <x:c r="K21" s="20" t="str"/>
      <x:c r="L21" s="24" t="str"/>
      <x:c r="M21" s="20" t="str"/>
      <x:c r="N21" s="20" t="str"/>
      <x:c r="O21" s="20" t="str"/>
      <x:c r="P21" s="20" t="str">
        <x:v>MD</x:v>
      </x:c>
    </x:row>
    <x:row r="22">
      <x:c r="A22" s="20" t="str">
        <x:v>PROF-PAT-03</x:v>
      </x:c>
      <x:c r="B22" s="20" t="str">
        <x:v>Student Profile</x:v>
      </x:c>
      <x:c r="C22" s="20" t="str">
        <x:v>API</x:v>
      </x:c>
      <x:c r="D22" s="20" t="str">
        <x:v>Medium</x:v>
      </x:c>
      <x:c r="E22" s="20" t="str">
        <x:v>Empty partial request</x:v>
      </x:c>
      <x:c r="F22" s="20" t="str">
        <x:v>Authenticated Student A</x:v>
      </x:c>
      <x:c r="G22" s="20" t="str">
        <x:v>PATCH empty body</x:v>
      </x:c>
      <x:c r="H22" s="20" t="str">
        <x:v>Approved behaviour; no unintended deletion</x:v>
      </x:c>
      <x:c r="I22" s="20" t="str"/>
      <x:c r="J22" s="20" t="str">
        <x:v>Not Run</x:v>
      </x:c>
      <x:c r="K22" s="20" t="str"/>
      <x:c r="L22" s="24" t="str"/>
      <x:c r="M22" s="20" t="str"/>
      <x:c r="N22" s="20" t="str"/>
      <x:c r="O22" s="20" t="str"/>
      <x:c r="P22" s="20" t="str">
        <x:v>MD</x:v>
      </x:c>
    </x:row>
    <x:row r="23">
      <x:c r="A23" s="20" t="str">
        <x:v>PROF-PAT-04</x:v>
      </x:c>
      <x:c r="B23" s="20" t="str">
        <x:v>Student Profile</x:v>
      </x:c>
      <x:c r="C23" s="20" t="str">
        <x:v>Security</x:v>
      </x:c>
      <x:c r="D23" s="20" t="str">
        <x:v>Critical</x:v>
      </x:c>
      <x:c r="E23" s="20" t="str">
        <x:v>Attempt ownership-field change</x:v>
      </x:c>
      <x:c r="F23" s="20" t="str">
        <x:v>Authenticated Student A</x:v>
      </x:c>
      <x:c r="G23" s="20" t="str">
        <x:v>PATCH another user_id or student_profile_id</x:v>
      </x:c>
      <x:c r="H23" s="20" t="str">
        <x:v>Ownership unchanged; field rejected or ignored</x:v>
      </x:c>
      <x:c r="I23" s="20" t="str"/>
      <x:c r="J23" s="20" t="str">
        <x:v>Not Run</x:v>
      </x:c>
      <x:c r="K23" s="20" t="str"/>
      <x:c r="L23" s="24" t="str"/>
      <x:c r="M23" s="20" t="str"/>
      <x:c r="N23" s="20" t="str"/>
      <x:c r="O23" s="20" t="str"/>
      <x:c r="P23" s="20" t="str">
        <x:v>MD</x:v>
      </x:c>
    </x:row>
    <x:row r="24">
      <x:c r="A24" s="20" t="str">
        <x:v>PROF-PAT-05</x:v>
      </x:c>
      <x:c r="B24" s="20" t="str">
        <x:v>Student Profile</x:v>
      </x:c>
      <x:c r="C24" s="20" t="str">
        <x:v>Database</x:v>
      </x:c>
      <x:c r="D24" s="20" t="str">
        <x:v>High</x:v>
      </x:c>
      <x:c r="E24" s="20" t="str">
        <x:v>Profile update persists</x:v>
      </x:c>
      <x:c r="F24" s="20" t="str">
        <x:v>Authenticated Student A</x:v>
      </x:c>
      <x:c r="G24" s="20" t="str">
        <x:v>PATCH valid update then GET profile</x:v>
      </x:c>
      <x:c r="H24" s="20" t="str">
        <x:v>New value persists in PostgreSQL</x:v>
      </x:c>
      <x:c r="I24" s="20" t="str"/>
      <x:c r="J24" s="20" t="str">
        <x:v>Not Run</x:v>
      </x:c>
      <x:c r="K24" s="20" t="str"/>
      <x:c r="L24" s="24" t="str"/>
      <x:c r="M24" s="20" t="str"/>
      <x:c r="N24" s="20" t="str"/>
      <x:c r="O24" s="20" t="str"/>
      <x:c r="P24" s="20" t="str">
        <x:v>Jerald</x:v>
      </x:c>
    </x:row>
    <x:row r="25">
      <x:c r="A25" s="20" t="str">
        <x:v>OWN-01</x:v>
      </x:c>
      <x:c r="B25" s="20" t="str">
        <x:v>Ownership</x:v>
      </x:c>
      <x:c r="C25" s="20" t="str">
        <x:v>Permission</x:v>
      </x:c>
      <x:c r="D25" s="20" t="str">
        <x:v>Critical</x:v>
      </x:c>
      <x:c r="E25" s="20" t="str">
        <x:v>Student A reads own profile</x:v>
      </x:c>
      <x:c r="F25" s="20" t="str">
        <x:v>Student A and B exist</x:v>
      </x:c>
      <x:c r="G25" s="20" t="str">
        <x:v>GET own profile as Student A</x:v>
      </x:c>
      <x:c r="H25" s="20" t="str">
        <x:v>Access succeeds</x:v>
      </x:c>
      <x:c r="I25" s="20" t="str"/>
      <x:c r="J25" s="20" t="str">
        <x:v>Not Run</x:v>
      </x:c>
      <x:c r="K25" s="20" t="str"/>
      <x:c r="L25" s="24" t="str"/>
      <x:c r="M25" s="20" t="str"/>
      <x:c r="N25" s="20" t="str"/>
      <x:c r="O25" s="20" t="str"/>
      <x:c r="P25" s="20" t="str">
        <x:v>Jerald</x:v>
      </x:c>
    </x:row>
    <x:row r="26">
      <x:c r="A26" s="20" t="str">
        <x:v>OWN-02</x:v>
      </x:c>
      <x:c r="B26" s="20" t="str">
        <x:v>Ownership</x:v>
      </x:c>
      <x:c r="C26" s="20" t="str">
        <x:v>Permission</x:v>
      </x:c>
      <x:c r="D26" s="20" t="str">
        <x:v>Critical</x:v>
      </x:c>
      <x:c r="E26" s="20" t="str">
        <x:v>Student B reads own profile</x:v>
      </x:c>
      <x:c r="F26" s="20" t="str">
        <x:v>Student A and B exist</x:v>
      </x:c>
      <x:c r="G26" s="20" t="str">
        <x:v>GET own profile as Student B</x:v>
      </x:c>
      <x:c r="H26" s="20" t="str">
        <x:v>Access succeeds</x:v>
      </x:c>
      <x:c r="I26" s="20" t="str"/>
      <x:c r="J26" s="20" t="str">
        <x:v>Not Run</x:v>
      </x:c>
      <x:c r="K26" s="20" t="str"/>
      <x:c r="L26" s="24" t="str"/>
      <x:c r="M26" s="20" t="str"/>
      <x:c r="N26" s="20" t="str"/>
      <x:c r="O26" s="20" t="str"/>
      <x:c r="P26" s="20" t="str">
        <x:v>Jerald</x:v>
      </x:c>
    </x:row>
    <x:row r="27">
      <x:c r="A27" s="20" t="str">
        <x:v>OWN-03</x:v>
      </x:c>
      <x:c r="B27" s="20" t="str">
        <x:v>Ownership</x:v>
      </x:c>
      <x:c r="C27" s="20" t="str">
        <x:v>Permission</x:v>
      </x:c>
      <x:c r="D27" s="20" t="str">
        <x:v>Critical</x:v>
      </x:c>
      <x:c r="E27" s="20" t="str">
        <x:v>Cross-student access blocked</x:v>
      </x:c>
      <x:c r="F27" s="20" t="str">
        <x:v>Student A and B exist</x:v>
      </x:c>
      <x:c r="G27" s="20" t="str">
        <x:v>Attempt Student B data while authenticated as A</x:v>
      </x:c>
      <x:c r="H27" s="20" t="str">
        <x:v>No Student B protected data exposed</x:v>
      </x:c>
      <x:c r="I27" s="20" t="str"/>
      <x:c r="J27" s="20" t="str">
        <x:v>Not Run</x:v>
      </x:c>
      <x:c r="K27" s="20" t="str"/>
      <x:c r="L27" s="24" t="str"/>
      <x:c r="M27" s="20" t="str"/>
      <x:c r="N27" s="20" t="str"/>
      <x:c r="O27" s="20" t="str"/>
      <x:c r="P27" s="20" t="str">
        <x:v>Jerald</x:v>
      </x:c>
    </x:row>
    <x:row r="28">
      <x:c r="A28" s="20" t="str">
        <x:v>OWN-04</x:v>
      </x:c>
      <x:c r="B28" s="20" t="str">
        <x:v>Ownership</x:v>
      </x:c>
      <x:c r="C28" s="20" t="str">
        <x:v>Security</x:v>
      </x:c>
      <x:c r="D28" s="20" t="str">
        <x:v>Critical</x:v>
      </x:c>
      <x:c r="E28" s="20" t="str">
        <x:v>Cross-student ownership modification blocked</x:v>
      </x:c>
      <x:c r="F28" s="20" t="str">
        <x:v>Student A and B exist</x:v>
      </x:c>
      <x:c r="G28" s="20" t="str">
        <x:v>Submit B identifier in A update</x:v>
      </x:c>
      <x:c r="H28" s="20" t="str">
        <x:v>Ownership cannot be transferred or B modified</x:v>
      </x:c>
      <x:c r="I28" s="20" t="str"/>
      <x:c r="J28" s="20" t="str">
        <x:v>Not Run</x:v>
      </x:c>
      <x:c r="K28" s="20" t="str"/>
      <x:c r="L28" s="24" t="str"/>
      <x:c r="M28" s="20" t="str"/>
      <x:c r="N28" s="20" t="str"/>
      <x:c r="O28" s="20" t="str"/>
      <x:c r="P28" s="20" t="str">
        <x:v>Jerald</x:v>
      </x:c>
    </x:row>
    <x:row r="29">
      <x:c r="A29" s="20" t="str">
        <x:v>SKILL-01</x:v>
      </x:c>
      <x:c r="B29" s="20" t="str">
        <x:v>Skills</x:v>
      </x:c>
      <x:c r="C29" s="20" t="str">
        <x:v>API</x:v>
      </x:c>
      <x:c r="D29" s="20" t="str">
        <x:v>High</x:v>
      </x:c>
      <x:c r="E29" s="20" t="str">
        <x:v>Add valid student skill</x:v>
      </x:c>
      <x:c r="F29" s="20" t="str">
        <x:v>Skill exists; feature implemented</x:v>
      </x:c>
      <x:c r="G29" s="20" t="str">
        <x:v>Submit valid StudentSkill relationship</x:v>
      </x:c>
      <x:c r="H29" s="20" t="str">
        <x:v>Created for authenticated StudentProfile</x:v>
      </x:c>
      <x:c r="I29" s="20" t="str"/>
      <x:c r="J29" s="20" t="str">
        <x:v>Not Run</x:v>
      </x:c>
      <x:c r="K29" s="20" t="str"/>
      <x:c r="L29" s="24" t="str"/>
      <x:c r="M29" s="20" t="str"/>
      <x:c r="N29" s="20" t="str"/>
      <x:c r="O29" s="20" t="str"/>
      <x:c r="P29" s="20" t="str">
        <x:v>Jerald</x:v>
      </x:c>
    </x:row>
    <x:row r="30">
      <x:c r="A30" s="20" t="str">
        <x:v>SKILL-02</x:v>
      </x:c>
      <x:c r="B30" s="20" t="str">
        <x:v>Skills</x:v>
      </x:c>
      <x:c r="C30" s="20" t="str">
        <x:v>API</x:v>
      </x:c>
      <x:c r="D30" s="20" t="str">
        <x:v>High</x:v>
      </x:c>
      <x:c r="E30" s="20" t="str">
        <x:v>Reject invalid skill reference</x:v>
      </x:c>
      <x:c r="F30" s="20" t="str">
        <x:v>Feature implemented</x:v>
      </x:c>
      <x:c r="G30" s="20" t="str">
        <x:v>Submit non-existent Skill ID</x:v>
      </x:c>
      <x:c r="H30" s="20" t="str">
        <x:v>400/404 per contract; no relationship created</x:v>
      </x:c>
      <x:c r="I30" s="20" t="str"/>
      <x:c r="J30" s="20" t="str">
        <x:v>Not Run</x:v>
      </x:c>
      <x:c r="K30" s="20" t="str"/>
      <x:c r="L30" s="24" t="str"/>
      <x:c r="M30" s="20" t="str"/>
      <x:c r="N30" s="20" t="str"/>
      <x:c r="O30" s="20" t="str"/>
      <x:c r="P30" s="20" t="str">
        <x:v>Jerald</x:v>
      </x:c>
    </x:row>
    <x:row r="31">
      <x:c r="A31" s="20" t="str">
        <x:v>SKILL-03</x:v>
      </x:c>
      <x:c r="B31" s="20" t="str">
        <x:v>Skills</x:v>
      </x:c>
      <x:c r="C31" s="20" t="str">
        <x:v>Validation</x:v>
      </x:c>
      <x:c r="D31" s="20" t="str">
        <x:v>High</x:v>
      </x:c>
      <x:c r="E31" s="20" t="str">
        <x:v>Reject invalid proficiency level</x:v>
      </x:c>
      <x:c r="F31" s="20" t="str">
        <x:v>Scale confirmed</x:v>
      </x:c>
      <x:c r="G31" s="20" t="str">
        <x:v>Submit value outside approved set</x:v>
      </x:c>
      <x:c r="H31" s="20" t="str">
        <x:v>400 Bad Request; invalid relationship not persisted</x:v>
      </x:c>
      <x:c r="I31" s="20" t="str"/>
      <x:c r="J31" s="20" t="str">
        <x:v>Not Run</x:v>
      </x:c>
      <x:c r="K31" s="20" t="str"/>
      <x:c r="L31" s="24" t="str"/>
      <x:c r="M31" s="20" t="str"/>
      <x:c r="N31" s="20" t="str"/>
      <x:c r="O31" s="20" t="str"/>
      <x:c r="P31" s="20" t="str">
        <x:v>Jerald</x:v>
      </x:c>
    </x:row>
    <x:row r="32">
      <x:c r="A32" s="20" t="str">
        <x:v>SKILL-04</x:v>
      </x:c>
      <x:c r="B32" s="20" t="str">
        <x:v>Skills</x:v>
      </x:c>
      <x:c r="C32" s="20" t="str">
        <x:v>Validation</x:v>
      </x:c>
      <x:c r="D32" s="20" t="str">
        <x:v>Medium</x:v>
      </x:c>
      <x:c r="E32" s="20" t="str">
        <x:v>Prevent duplicate student skill</x:v>
      </x:c>
      <x:c r="F32" s="20" t="str">
        <x:v>Student already linked to Skill</x:v>
      </x:c>
      <x:c r="G32" s="20" t="str">
        <x:v>Submit duplicate relationship</x:v>
      </x:c>
      <x:c r="H32" s="20" t="str">
        <x:v>Duplicate prevented per model/API rules</x:v>
      </x:c>
      <x:c r="I32" s="20" t="str"/>
      <x:c r="J32" s="20" t="str">
        <x:v>Not Run</x:v>
      </x:c>
      <x:c r="K32" s="20" t="str"/>
      <x:c r="L32" s="24" t="str"/>
      <x:c r="M32" s="20" t="str"/>
      <x:c r="N32" s="20" t="str"/>
      <x:c r="O32" s="20" t="str"/>
      <x:c r="P32" s="20" t="str">
        <x:v>Jerald</x:v>
      </x:c>
    </x:row>
    <x:row r="33">
      <x:c r="A33" s="20" t="str">
        <x:v>INT-01</x:v>
      </x:c>
      <x:c r="B33" s="20" t="str">
        <x:v>Interests</x:v>
      </x:c>
      <x:c r="C33" s="20" t="str">
        <x:v>API</x:v>
      </x:c>
      <x:c r="D33" s="20" t="str">
        <x:v>High</x:v>
      </x:c>
      <x:c r="E33" s="20" t="str">
        <x:v>Add valid student interest</x:v>
      </x:c>
      <x:c r="F33" s="20" t="str">
        <x:v>Interest exists</x:v>
      </x:c>
      <x:c r="G33" s="20" t="str">
        <x:v>Submit valid StudentInterest relationship</x:v>
      </x:c>
      <x:c r="H33" s="20" t="str">
        <x:v>Created for authenticated StudentProfile</x:v>
      </x:c>
      <x:c r="I33" s="20" t="str"/>
      <x:c r="J33" s="20" t="str">
        <x:v>Not Run</x:v>
      </x:c>
      <x:c r="K33" s="20" t="str"/>
      <x:c r="L33" s="24" t="str"/>
      <x:c r="M33" s="20" t="str"/>
      <x:c r="N33" s="20" t="str"/>
      <x:c r="O33" s="20" t="str"/>
      <x:c r="P33" s="20" t="str">
        <x:v>Jerald</x:v>
      </x:c>
    </x:row>
    <x:row r="34">
      <x:c r="A34" s="20" t="str">
        <x:v>INT-02</x:v>
      </x:c>
      <x:c r="B34" s="20" t="str">
        <x:v>Interests</x:v>
      </x:c>
      <x:c r="C34" s="20" t="str">
        <x:v>API</x:v>
      </x:c>
      <x:c r="D34" s="20" t="str">
        <x:v>High</x:v>
      </x:c>
      <x:c r="E34" s="20" t="str">
        <x:v>Reject invalid interest reference</x:v>
      </x:c>
      <x:c r="F34" s="20" t="str">
        <x:v>Feature implemented</x:v>
      </x:c>
      <x:c r="G34" s="20" t="str">
        <x:v>Submit non-existent Interest ID</x:v>
      </x:c>
      <x:c r="H34" s="20" t="str">
        <x:v>400/404 per contract; no relationship created</x:v>
      </x:c>
      <x:c r="I34" s="20" t="str"/>
      <x:c r="J34" s="20" t="str">
        <x:v>Not Run</x:v>
      </x:c>
      <x:c r="K34" s="20" t="str"/>
      <x:c r="L34" s="24" t="str"/>
      <x:c r="M34" s="20" t="str"/>
      <x:c r="N34" s="20" t="str"/>
      <x:c r="O34" s="20" t="str"/>
      <x:c r="P34" s="20" t="str">
        <x:v>Jerald</x:v>
      </x:c>
    </x:row>
    <x:row r="35">
      <x:c r="A35" s="20" t="str">
        <x:v>INT-03</x:v>
      </x:c>
      <x:c r="B35" s="20" t="str">
        <x:v>Interests</x:v>
      </x:c>
      <x:c r="C35" s="20" t="str">
        <x:v>Permission</x:v>
      </x:c>
      <x:c r="D35" s="20" t="str">
        <x:v>High</x:v>
      </x:c>
      <x:c r="E35" s="20" t="str">
        <x:v>Protect shared Interest data</x:v>
      </x:c>
      <x:c r="F35" s="20" t="str">
        <x:v>Student profile API available</x:v>
      </x:c>
      <x:c r="G35" s="20" t="str">
        <x:v>Attempt shared Interest edit via student profile</x:v>
      </x:c>
      <x:c r="H35" s="20" t="str">
        <x:v>Shared reference data remains protected</x:v>
      </x:c>
      <x:c r="I35" s="20" t="str"/>
      <x:c r="J35" s="20" t="str">
        <x:v>Not Run</x:v>
      </x:c>
      <x:c r="K35" s="20" t="str"/>
      <x:c r="L35" s="24" t="str"/>
      <x:c r="M35" s="20" t="str"/>
      <x:c r="N35" s="20" t="str"/>
      <x:c r="O35" s="20" t="str"/>
      <x:c r="P35" s="20" t="str">
        <x:v>Jerald</x:v>
      </x:c>
    </x:row>
    <x:row r="36">
      <x:c r="A36" s="20" t="str">
        <x:v>EDU-01</x:v>
      </x:c>
      <x:c r="B36" s="20" t="str">
        <x:v>Education</x:v>
      </x:c>
      <x:c r="C36" s="20" t="str">
        <x:v>API</x:v>
      </x:c>
      <x:c r="D36" s="20" t="str">
        <x:v>Medium</x:v>
      </x:c>
      <x:c r="E36" s="20" t="str">
        <x:v>Create valid education record</x:v>
      </x:c>
      <x:c r="F36" s="20" t="str">
        <x:v>Education feature implemented</x:v>
      </x:c>
      <x:c r="G36" s="20" t="str">
        <x:v>Submit valid education data</x:v>
      </x:c>
      <x:c r="H36" s="20" t="str">
        <x:v>Stored for authenticated StudentProfile</x:v>
      </x:c>
      <x:c r="I36" s="20" t="str"/>
      <x:c r="J36" s="20" t="str">
        <x:v>Not Run</x:v>
      </x:c>
      <x:c r="K36" s="20" t="str"/>
      <x:c r="L36" s="24" t="str"/>
      <x:c r="M36" s="20" t="str"/>
      <x:c r="N36" s="20" t="str"/>
      <x:c r="O36" s="20" t="str"/>
      <x:c r="P36" s="20" t="str">
        <x:v>Jerald</x:v>
      </x:c>
    </x:row>
    <x:row r="37">
      <x:c r="A37" s="20" t="str">
        <x:v>EDU-02</x:v>
      </x:c>
      <x:c r="B37" s="20" t="str">
        <x:v>Education</x:v>
      </x:c>
      <x:c r="C37" s="20" t="str">
        <x:v>Validation</x:v>
      </x:c>
      <x:c r="D37" s="20" t="str">
        <x:v>Medium</x:v>
      </x:c>
      <x:c r="E37" s="20" t="str">
        <x:v>Reject invalid education date range</x:v>
      </x:c>
      <x:c r="F37" s="20" t="str">
        <x:v>Education feature implemented</x:v>
      </x:c>
      <x:c r="G37" s="20" t="str">
        <x:v>Submit end date before start date where prohibited</x:v>
      </x:c>
      <x:c r="H37" s="20" t="str">
        <x:v>Validation error; invalid record not stored</x:v>
      </x:c>
      <x:c r="I37" s="20" t="str"/>
      <x:c r="J37" s="20" t="str">
        <x:v>Not Run</x:v>
      </x:c>
      <x:c r="K37" s="20" t="str"/>
      <x:c r="L37" s="24" t="str"/>
      <x:c r="M37" s="20" t="str"/>
      <x:c r="N37" s="20" t="str"/>
      <x:c r="O37" s="20" t="str"/>
      <x:c r="P37" s="20" t="str">
        <x:v>Jerald</x:v>
      </x:c>
    </x:row>
    <x:row r="38">
      <x:c r="A38" s="20" t="str">
        <x:v>EXP-01</x:v>
      </x:c>
      <x:c r="B38" s="20" t="str">
        <x:v>Experience</x:v>
      </x:c>
      <x:c r="C38" s="20" t="str">
        <x:v>API</x:v>
      </x:c>
      <x:c r="D38" s="20" t="str">
        <x:v>Medium</x:v>
      </x:c>
      <x:c r="E38" s="20" t="str">
        <x:v>Create valid experience record</x:v>
      </x:c>
      <x:c r="F38" s="20" t="str">
        <x:v>Experience feature implemented</x:v>
      </x:c>
      <x:c r="G38" s="20" t="str">
        <x:v>Submit valid experience data</x:v>
      </x:c>
      <x:c r="H38" s="20" t="str">
        <x:v>Stored for authenticated StudentProfile</x:v>
      </x:c>
      <x:c r="I38" s="20" t="str"/>
      <x:c r="J38" s="20" t="str">
        <x:v>Not Run</x:v>
      </x:c>
      <x:c r="K38" s="20" t="str"/>
      <x:c r="L38" s="24" t="str"/>
      <x:c r="M38" s="20" t="str"/>
      <x:c r="N38" s="20" t="str"/>
      <x:c r="O38" s="20" t="str"/>
      <x:c r="P38" s="20" t="str">
        <x:v>Jerald</x:v>
      </x:c>
    </x:row>
    <x:row r="39">
      <x:c r="A39" s="20" t="str">
        <x:v>EXP-02</x:v>
      </x:c>
      <x:c r="B39" s="20" t="str">
        <x:v>Experience</x:v>
      </x:c>
      <x:c r="C39" s="20" t="str">
        <x:v>Validation</x:v>
      </x:c>
      <x:c r="D39" s="20" t="str">
        <x:v>Medium</x:v>
      </x:c>
      <x:c r="E39" s="20" t="str">
        <x:v>Current experience date handling</x:v>
      </x:c>
      <x:c r="F39" s="20" t="str">
        <x:v>Experience feature implemented</x:v>
      </x:c>
      <x:c r="G39" s="20" t="str">
        <x:v>Submit is_current and end_date combination</x:v>
      </x:c>
      <x:c r="H39" s="20" t="str">
        <x:v>Consistent approved validation behaviour</x:v>
      </x:c>
      <x:c r="I39" s="20" t="str"/>
      <x:c r="J39" s="20" t="str">
        <x:v>Not Run</x:v>
      </x:c>
      <x:c r="K39" s="20" t="str"/>
      <x:c r="L39" s="24" t="str"/>
      <x:c r="M39" s="20" t="str"/>
      <x:c r="N39" s="20" t="str"/>
      <x:c r="O39" s="20" t="str"/>
      <x:c r="P39" s="20" t="str">
        <x:v>Jerald</x:v>
      </x:c>
    </x:row>
    <x:row r="40">
      <x:c r="A40" s="20" t="str">
        <x:v>PROJ-01</x:v>
      </x:c>
      <x:c r="B40" s="20" t="str">
        <x:v>Projects</x:v>
      </x:c>
      <x:c r="C40" s="20" t="str">
        <x:v>API</x:v>
      </x:c>
      <x:c r="D40" s="20" t="str">
        <x:v>Medium</x:v>
      </x:c>
      <x:c r="E40" s="20" t="str">
        <x:v>Create valid project record</x:v>
      </x:c>
      <x:c r="F40" s="20" t="str">
        <x:v>Project feature implemented</x:v>
      </x:c>
      <x:c r="G40" s="20" t="str">
        <x:v>Submit valid project data</x:v>
      </x:c>
      <x:c r="H40" s="20" t="str">
        <x:v>Stored for authenticated StudentProfile</x:v>
      </x:c>
      <x:c r="I40" s="20" t="str"/>
      <x:c r="J40" s="20" t="str">
        <x:v>Not Run</x:v>
      </x:c>
      <x:c r="K40" s="20" t="str"/>
      <x:c r="L40" s="24" t="str"/>
      <x:c r="M40" s="20" t="str"/>
      <x:c r="N40" s="20" t="str"/>
      <x:c r="O40" s="20" t="str"/>
      <x:c r="P40" s="20" t="str">
        <x:v>Jerald</x:v>
      </x:c>
    </x:row>
    <x:row r="41">
      <x:c r="A41" s="20" t="str">
        <x:v>PROJ-02</x:v>
      </x:c>
      <x:c r="B41" s="20" t="str">
        <x:v>Projects</x:v>
      </x:c>
      <x:c r="C41" s="20" t="str">
        <x:v>Validation</x:v>
      </x:c>
      <x:c r="D41" s="20" t="str">
        <x:v>Medium</x:v>
      </x:c>
      <x:c r="E41" s="20" t="str">
        <x:v>Reject invalid project URL</x:v>
      </x:c>
      <x:c r="F41" s="20" t="str">
        <x:v>URL validation implemented</x:v>
      </x:c>
      <x:c r="G41" s="20" t="str">
        <x:v>Submit malformed project_url</x:v>
      </x:c>
      <x:c r="H41" s="20" t="str">
        <x:v>400 Bad Request; invalid URL not persisted</x:v>
      </x:c>
      <x:c r="I41" s="20" t="str"/>
      <x:c r="J41" s="20" t="str">
        <x:v>Not Run</x:v>
      </x:c>
      <x:c r="K41" s="20" t="str"/>
      <x:c r="L41" s="24" t="str"/>
      <x:c r="M41" s="20" t="str"/>
      <x:c r="N41" s="20" t="str"/>
      <x:c r="O41" s="20" t="str"/>
      <x:c r="P41" s="20" t="str">
        <x:v>Jerald</x:v>
      </x:c>
    </x:row>
    <x:row r="42">
      <x:c r="A42" s="20" t="str">
        <x:v>GOAL-01</x:v>
      </x:c>
      <x:c r="B42" s="20" t="str">
        <x:v>Career Goals</x:v>
      </x:c>
      <x:c r="C42" s="20" t="str">
        <x:v>API</x:v>
      </x:c>
      <x:c r="D42" s="20" t="str">
        <x:v>Medium</x:v>
      </x:c>
      <x:c r="E42" s="20" t="str">
        <x:v>Create valid career goal</x:v>
      </x:c>
      <x:c r="F42" s="20" t="str">
        <x:v>CareerGoal feature implemented</x:v>
      </x:c>
      <x:c r="G42" s="20" t="str">
        <x:v>Submit target_role and optional description</x:v>
      </x:c>
      <x:c r="H42" s="20" t="str">
        <x:v>Stored for authenticated StudentProfile</x:v>
      </x:c>
      <x:c r="I42" s="20" t="str"/>
      <x:c r="J42" s="20" t="str">
        <x:v>Not Run</x:v>
      </x:c>
      <x:c r="K42" s="20" t="str"/>
      <x:c r="L42" s="24" t="str"/>
      <x:c r="M42" s="20" t="str"/>
      <x:c r="N42" s="20" t="str"/>
      <x:c r="O42" s="20" t="str"/>
      <x:c r="P42" s="20" t="str">
        <x:v>Jerald</x:v>
      </x:c>
    </x:row>
    <x:row r="43">
      <x:c r="A43" s="20" t="str">
        <x:v>PERS-01</x:v>
      </x:c>
      <x:c r="B43" s="20" t="str">
        <x:v>Personality</x:v>
      </x:c>
      <x:c r="C43" s="20" t="str">
        <x:v>API</x:v>
      </x:c>
      <x:c r="D43" s="20" t="str">
        <x:v>Low</x:v>
      </x:c>
      <x:c r="E43" s="20" t="str">
        <x:v>Store approved personality response</x:v>
      </x:c>
      <x:c r="F43" s="20" t="str">
        <x:v>Questionnaire and values defined</x:v>
      </x:c>
      <x:c r="G43" s="20" t="str">
        <x:v>Submit approved question_key and response_value</x:v>
      </x:c>
      <x:c r="H43" s="20" t="str">
        <x:v>Stored for authenticated StudentProfile</x:v>
      </x:c>
      <x:c r="I43" s="20" t="str"/>
      <x:c r="J43" s="20" t="str">
        <x:v>Not Run</x:v>
      </x:c>
      <x:c r="K43" s="20" t="str"/>
      <x:c r="L43" s="24" t="str"/>
      <x:c r="M43" s="20" t="str"/>
      <x:c r="N43" s="20" t="str"/>
      <x:c r="O43" s="20" t="str"/>
      <x:c r="P43" s="20" t="str">
        <x:v>Jerald</x:v>
      </x:c>
    </x:row>
    <x:row r="44">
      <x:c r="A44" s="20" t="str">
        <x:v>FE-AUTH-01</x:v>
      </x:c>
      <x:c r="B44" s="20" t="str">
        <x:v>Frontend Auth</x:v>
      </x:c>
      <x:c r="C44" s="20" t="str">
        <x:v>Integration</x:v>
      </x:c>
      <x:c r="D44" s="20" t="str">
        <x:v>Critical</x:v>
      </x:c>
      <x:c r="E44" s="20" t="str">
        <x:v>Frontend registration flow</x:v>
      </x:c>
      <x:c r="F44" s="20" t="str">
        <x:v>React registration and backend available</x:v>
      </x:c>
      <x:c r="G44" s="20" t="str">
        <x:v>Complete registration through UI</x:v>
      </x:c>
      <x:c r="H44" s="20" t="str">
        <x:v>Correct request; successful response handled</x:v>
      </x:c>
      <x:c r="I44" s="20" t="str"/>
      <x:c r="J44" s="20" t="str">
        <x:v>Not Run</x:v>
      </x:c>
      <x:c r="K44" s="20" t="str"/>
      <x:c r="L44" s="24" t="str"/>
      <x:c r="M44" s="20" t="str"/>
      <x:c r="N44" s="20" t="str"/>
      <x:c r="O44" s="20" t="str"/>
      <x:c r="P44" s="20" t="str">
        <x:v>Joyee</x:v>
      </x:c>
    </x:row>
    <x:row r="45">
      <x:c r="A45" s="20" t="str">
        <x:v>FE-AUTH-02</x:v>
      </x:c>
      <x:c r="B45" s="20" t="str">
        <x:v>Frontend Auth</x:v>
      </x:c>
      <x:c r="C45" s="20" t="str">
        <x:v>Integration</x:v>
      </x:c>
      <x:c r="D45" s="20" t="str">
        <x:v>Critical</x:v>
      </x:c>
      <x:c r="E45" s="20" t="str">
        <x:v>Frontend login flow</x:v>
      </x:c>
      <x:c r="F45" s="20" t="str">
        <x:v>React login and backend available</x:v>
      </x:c>
      <x:c r="G45" s="20" t="str">
        <x:v>Log in through UI</x:v>
      </x:c>
      <x:c r="H45" s="20" t="str">
        <x:v>Authenticated state established</x:v>
      </x:c>
      <x:c r="I45" s="20" t="str"/>
      <x:c r="J45" s="20" t="str">
        <x:v>Not Run</x:v>
      </x:c>
      <x:c r="K45" s="20" t="str"/>
      <x:c r="L45" s="24" t="str"/>
      <x:c r="M45" s="20" t="str"/>
      <x:c r="N45" s="20" t="str"/>
      <x:c r="O45" s="20" t="str"/>
      <x:c r="P45" s="20" t="str">
        <x:v>Joyee</x:v>
      </x:c>
    </x:row>
    <x:row r="46">
      <x:c r="A46" s="20" t="str">
        <x:v>FE-AUTH-03</x:v>
      </x:c>
      <x:c r="B46" s="20" t="str">
        <x:v>Frontend Auth</x:v>
      </x:c>
      <x:c r="C46" s="20" t="str">
        <x:v>Integration</x:v>
      </x:c>
      <x:c r="D46" s="20" t="str">
        <x:v>High</x:v>
      </x:c>
      <x:c r="E46" s="20" t="str">
        <x:v>Frontend invalid login error</x:v>
      </x:c>
      <x:c r="F46" s="20" t="str">
        <x:v>React login available</x:v>
      </x:c>
      <x:c r="G46" s="20" t="str">
        <x:v>Use invalid credentials</x:v>
      </x:c>
      <x:c r="H46" s="20" t="str">
        <x:v>Controlled error shown; no authenticated state</x:v>
      </x:c>
      <x:c r="I46" s="20" t="str"/>
      <x:c r="J46" s="20" t="str">
        <x:v>Not Run</x:v>
      </x:c>
      <x:c r="K46" s="20" t="str"/>
      <x:c r="L46" s="24" t="str"/>
      <x:c r="M46" s="20" t="str"/>
      <x:c r="N46" s="20" t="str"/>
      <x:c r="O46" s="20" t="str"/>
      <x:c r="P46" s="20" t="str">
        <x:v>Joyee</x:v>
      </x:c>
    </x:row>
    <x:row r="47">
      <x:c r="A47" s="20" t="str">
        <x:v>FE-AUTH-04</x:v>
      </x:c>
      <x:c r="B47" s="20" t="str">
        <x:v>Frontend Auth</x:v>
      </x:c>
      <x:c r="C47" s="20" t="str">
        <x:v>Integration</x:v>
      </x:c>
      <x:c r="D47" s="20" t="str">
        <x:v>High</x:v>
      </x:c>
      <x:c r="E47" s="20" t="str">
        <x:v>Frontend token refresh behaviour</x:v>
      </x:c>
      <x:c r="F47" s="20" t="str">
        <x:v>JWT frontend strategy implemented</x:v>
      </x:c>
      <x:c r="G47" s="20" t="str">
        <x:v>Trigger expired access token flow</x:v>
      </x:c>
      <x:c r="H47" s="20" t="str">
        <x:v>Approved refresh or unauthenticated behaviour</x:v>
      </x:c>
      <x:c r="I47" s="20" t="str"/>
      <x:c r="J47" s="20" t="str">
        <x:v>Not Run</x:v>
      </x:c>
      <x:c r="K47" s="20" t="str"/>
      <x:c r="L47" s="24" t="str"/>
      <x:c r="M47" s="20" t="str"/>
      <x:c r="N47" s="20" t="str"/>
      <x:c r="O47" s="20" t="str"/>
      <x:c r="P47" s="20" t="str">
        <x:v>Joyee</x:v>
      </x:c>
    </x:row>
    <x:row r="48">
      <x:c r="A48" s="20" t="str">
        <x:v>FE-AUTH-05</x:v>
      </x:c>
      <x:c r="B48" s="20" t="str">
        <x:v>Frontend Auth</x:v>
      </x:c>
      <x:c r="C48" s="20" t="str">
        <x:v>Integration</x:v>
      </x:c>
      <x:c r="D48" s="20" t="str">
        <x:v>High</x:v>
      </x:c>
      <x:c r="E48" s="20" t="str">
        <x:v>Frontend logout flow</x:v>
      </x:c>
      <x:c r="F48" s="20" t="str">
        <x:v>Authenticated frontend session</x:v>
      </x:c>
      <x:c r="G48" s="20" t="str">
        <x:v>Use logout action</x:v>
      </x:c>
      <x:c r="H48" s="20" t="str">
        <x:v>Auth state cleared; protected UI unavailable</x:v>
      </x:c>
      <x:c r="I48" s="20" t="str"/>
      <x:c r="J48" s="20" t="str">
        <x:v>Not Run</x:v>
      </x:c>
      <x:c r="K48" s="20" t="str"/>
      <x:c r="L48" s="24" t="str"/>
      <x:c r="M48" s="20" t="str"/>
      <x:c r="N48" s="20" t="str"/>
      <x:c r="O48" s="20" t="str"/>
      <x:c r="P48" s="20" t="str">
        <x:v>Joyee</x:v>
      </x:c>
    </x:row>
    <x:row r="49">
      <x:c r="A49" s="20" t="str">
        <x:v>FE-PROF-01</x:v>
      </x:c>
      <x:c r="B49" s="20" t="str">
        <x:v>Frontend Profile</x:v>
      </x:c>
      <x:c r="C49" s="20" t="str">
        <x:v>Integration</x:v>
      </x:c>
      <x:c r="D49" s="20" t="str">
        <x:v>Critical</x:v>
      </x:c>
      <x:c r="E49" s="20" t="str">
        <x:v>Load profile in UI</x:v>
      </x:c>
      <x:c r="F49" s="20" t="str">
        <x:v>Authenticated frontend and profile API</x:v>
      </x:c>
      <x:c r="G49" s="20" t="str">
        <x:v>Open Student Profile page</x:v>
      </x:c>
      <x:c r="H49" s="20" t="str">
        <x:v>Correct Student data displayed</x:v>
      </x:c>
      <x:c r="I49" s="20" t="str"/>
      <x:c r="J49" s="20" t="str">
        <x:v>Not Run</x:v>
      </x:c>
      <x:c r="K49" s="20" t="str"/>
      <x:c r="L49" s="24" t="str"/>
      <x:c r="M49" s="20" t="str"/>
      <x:c r="N49" s="20" t="str"/>
      <x:c r="O49" s="20" t="str"/>
      <x:c r="P49" s="20" t="str">
        <x:v>Joyee</x:v>
      </x:c>
    </x:row>
    <x:row r="50">
      <x:c r="A50" s="20" t="str">
        <x:v>FE-PROF-02</x:v>
      </x:c>
      <x:c r="B50" s="20" t="str">
        <x:v>Frontend Profile</x:v>
      </x:c>
      <x:c r="C50" s="20" t="str">
        <x:v>Integration</x:v>
      </x:c>
      <x:c r="D50" s="20" t="str">
        <x:v>Critical</x:v>
      </x:c>
      <x:c r="E50" s="20" t="str">
        <x:v>Update profile in UI</x:v>
      </x:c>
      <x:c r="F50" s="20" t="str">
        <x:v>Authenticated frontend and update API</x:v>
      </x:c>
      <x:c r="G50" s="20" t="str">
        <x:v>Edit valid profile data and save</x:v>
      </x:c>
      <x:c r="H50" s="20" t="str">
        <x:v>PATCH succeeds; UI shows persisted changes</x:v>
      </x:c>
      <x:c r="I50" s="20" t="str"/>
      <x:c r="J50" s="20" t="str">
        <x:v>Not Run</x:v>
      </x:c>
      <x:c r="K50" s="20" t="str"/>
      <x:c r="L50" s="24" t="str"/>
      <x:c r="M50" s="20" t="str"/>
      <x:c r="N50" s="20" t="str"/>
      <x:c r="O50" s="20" t="str"/>
      <x:c r="P50" s="20" t="str">
        <x:v>Joyee</x:v>
      </x:c>
    </x:row>
    <x:row r="51">
      <x:c r="A51" s="20" t="str">
        <x:v>FE-PROF-03</x:v>
      </x:c>
      <x:c r="B51" s="20" t="str">
        <x:v>Frontend Profile</x:v>
      </x:c>
      <x:c r="C51" s="20" t="str">
        <x:v>Integration</x:v>
      </x:c>
      <x:c r="D51" s="20" t="str">
        <x:v>High</x:v>
      </x:c>
      <x:c r="E51" s="20" t="str">
        <x:v>Display profile validation error</x:v>
      </x:c>
      <x:c r="F51" s="20" t="str">
        <x:v>Authenticated frontend</x:v>
      </x:c>
      <x:c r="G51" s="20" t="str">
        <x:v>Submit invalid profile data</x:v>
      </x:c>
      <x:c r="H51" s="20" t="str">
        <x:v>Useful validation feedback; no false success</x:v>
      </x:c>
      <x:c r="I51" s="20" t="str"/>
      <x:c r="J51" s="20" t="str">
        <x:v>Not Run</x:v>
      </x:c>
      <x:c r="K51" s="20" t="str"/>
      <x:c r="L51" s="24" t="str"/>
      <x:c r="M51" s="20" t="str"/>
      <x:c r="N51" s="20" t="str"/>
      <x:c r="O51" s="20" t="str"/>
      <x:c r="P51" s="20" t="str">
        <x:v>Joyee</x:v>
      </x:c>
    </x:row>
    <x:row r="52">
      <x:c r="A52" s="20" t="str">
        <x:v>FE-PROF-04</x:v>
      </x:c>
      <x:c r="B52" s="20" t="str">
        <x:v>Frontend Profile</x:v>
      </x:c>
      <x:c r="C52" s="20" t="str">
        <x:v>Integration</x:v>
      </x:c>
      <x:c r="D52" s="20" t="str">
        <x:v>High</x:v>
      </x:c>
      <x:c r="E52" s="20" t="str">
        <x:v>Profile remains after reload</x:v>
      </x:c>
      <x:c r="F52" s="20" t="str">
        <x:v>Successful profile update</x:v>
      </x:c>
      <x:c r="G52" s="20" t="str">
        <x:v>Reload or refetch profile</x:v>
      </x:c>
      <x:c r="H52" s="20" t="str">
        <x:v>Persisted data still shown</x:v>
      </x:c>
      <x:c r="I52" s="20" t="str"/>
      <x:c r="J52" s="20" t="str">
        <x:v>Not Run</x:v>
      </x:c>
      <x:c r="K52" s="20" t="str"/>
      <x:c r="L52" s="24" t="str"/>
      <x:c r="M52" s="20" t="str"/>
      <x:c r="N52" s="20" t="str"/>
      <x:c r="O52" s="20" t="str"/>
      <x:c r="P52" s="20" t="str">
        <x:v>Joyee</x:v>
      </x:c>
    </x:row>
    <x:row r="53">
      <x:c r="A53" s="20" t="str">
        <x:v>DB-01</x:v>
      </x:c>
      <x:c r="B53" s="20" t="str">
        <x:v>Database</x:v>
      </x:c>
      <x:c r="C53" s="20" t="str">
        <x:v>Database</x:v>
      </x:c>
      <x:c r="D53" s="20" t="str">
        <x:v>Critical</x:v>
      </x:c>
      <x:c r="E53" s="20" t="str">
        <x:v>Django connects to PostgreSQL</x:v>
      </x:c>
      <x:c r="F53" s="20" t="str">
        <x:v>Configured test environment</x:v>
      </x:c>
      <x:c r="G53" s="20" t="str">
        <x:v>Execute database-backed request/test</x:v>
      </x:c>
      <x:c r="H53" s="20" t="str">
        <x:v>Connection succeeds to intended PostgreSQL database</x:v>
      </x:c>
      <x:c r="I53" s="20" t="str"/>
      <x:c r="J53" s="20" t="str">
        <x:v>Not Run</x:v>
      </x:c>
      <x:c r="K53" s="20" t="str"/>
      <x:c r="L53" s="24" t="str"/>
      <x:c r="M53" s="20" t="str"/>
      <x:c r="N53" s="20" t="str"/>
      <x:c r="O53" s="20" t="str"/>
      <x:c r="P53" s="20" t="str">
        <x:v>Jerald</x:v>
      </x:c>
    </x:row>
    <x:row r="54">
      <x:c r="A54" s="20" t="str">
        <x:v>DB-02</x:v>
      </x:c>
      <x:c r="B54" s="20" t="str">
        <x:v>Database</x:v>
      </x:c>
      <x:c r="C54" s="20" t="str">
        <x:v>Database</x:v>
      </x:c>
      <x:c r="D54" s="20" t="str">
        <x:v>High</x:v>
      </x:c>
      <x:c r="E54" s="20" t="str">
        <x:v>Migrations apply successfully</x:v>
      </x:c>
      <x:c r="F54" s="20" t="str">
        <x:v>Migration files available</x:v>
      </x:c>
      <x:c r="G54" s="20" t="str">
        <x:v>Run Django migrations</x:v>
      </x:c>
      <x:c r="H54" s="20" t="str">
        <x:v>Complete without unexpected errors</x:v>
      </x:c>
      <x:c r="I54" s="20" t="str"/>
      <x:c r="J54" s="20" t="str">
        <x:v>Not Run</x:v>
      </x:c>
      <x:c r="K54" s="20" t="str"/>
      <x:c r="L54" s="24" t="str"/>
      <x:c r="M54" s="20" t="str"/>
      <x:c r="N54" s="20" t="str"/>
      <x:c r="O54" s="20" t="str"/>
      <x:c r="P54" s="20" t="str">
        <x:v>Jerald</x:v>
      </x:c>
    </x:row>
    <x:row r="55">
      <x:c r="A55" s="20" t="str">
        <x:v>DB-03</x:v>
      </x:c>
      <x:c r="B55" s="20" t="str">
        <x:v>Database</x:v>
      </x:c>
      <x:c r="C55" s="20" t="str">
        <x:v>Database</x:v>
      </x:c>
      <x:c r="D55" s="20" t="str">
        <x:v>High</x:v>
      </x:c>
      <x:c r="E55" s="20" t="str">
        <x:v>Profile relationships persist</x:v>
      </x:c>
      <x:c r="F55" s="20" t="str">
        <x:v>Profile models implemented</x:v>
      </x:c>
      <x:c r="G55" s="20" t="str">
        <x:v>Create profile with related records then retrieve</x:v>
      </x:c>
      <x:c r="H55" s="20" t="str">
        <x:v>Relationships remain correct</x:v>
      </x:c>
      <x:c r="I55" s="20" t="str"/>
      <x:c r="J55" s="20" t="str">
        <x:v>Not Run</x:v>
      </x:c>
      <x:c r="K55" s="20" t="str"/>
      <x:c r="L55" s="24" t="str"/>
      <x:c r="M55" s="20" t="str"/>
      <x:c r="N55" s="20" t="str"/>
      <x:c r="O55" s="20" t="str"/>
      <x:c r="P55" s="20" t="str">
        <x:v>Shared</x:v>
      </x:c>
    </x:row>
    <x:row r="56">
      <x:c r="A56" s="20" t="str">
        <x:v>SEC-01</x:v>
      </x:c>
      <x:c r="B56" s="20" t="str">
        <x:v>Security</x:v>
      </x:c>
      <x:c r="C56" s="20" t="str">
        <x:v>Security</x:v>
      </x:c>
      <x:c r="D56" s="20" t="str">
        <x:v>Critical</x:v>
      </x:c>
      <x:c r="E56" s="20" t="str">
        <x:v>Protected endpoint rejects missing JWT</x:v>
      </x:c>
      <x:c r="F56" s="20" t="str">
        <x:v>Protected endpoint available</x:v>
      </x:c>
      <x:c r="G56" s="20" t="str">
        <x:v>Call without Authorization header</x:v>
      </x:c>
      <x:c r="H56" s="20" t="str">
        <x:v>401 Unauthorized; no protected data</x:v>
      </x:c>
      <x:c r="I56" s="20" t="str"/>
      <x:c r="J56" s="20" t="str">
        <x:v>Not Run</x:v>
      </x:c>
      <x:c r="K56" s="20" t="str"/>
      <x:c r="L56" s="24" t="str"/>
      <x:c r="M56" s="20" t="str"/>
      <x:c r="N56" s="20" t="str"/>
      <x:c r="O56" s="20" t="str"/>
      <x:c r="P56" s="20" t="str">
        <x:v>Shared</x:v>
      </x:c>
    </x:row>
    <x:row r="57">
      <x:c r="A57" s="20" t="str">
        <x:v>SEC-02</x:v>
      </x:c>
      <x:c r="B57" s="20" t="str">
        <x:v>Security</x:v>
      </x:c>
      <x:c r="C57" s="20" t="str">
        <x:v>Security</x:v>
      </x:c>
      <x:c r="D57" s="20" t="str">
        <x:v>Critical</x:v>
      </x:c>
      <x:c r="E57" s="20" t="str">
        <x:v>API errors hide internal details</x:v>
      </x:c>
      <x:c r="F57" s="20" t="str">
        <x:v>Safe error trigger available</x:v>
      </x:c>
      <x:c r="G57" s="20" t="str">
        <x:v>Trigger representative invalid/failing requests</x:v>
      </x:c>
      <x:c r="H57" s="20" t="str">
        <x:v>No stack traces, DB credentials, secrets, or server paths</x:v>
      </x:c>
      <x:c r="I57" s="20" t="str"/>
      <x:c r="J57" s="20" t="str">
        <x:v>Not Run</x:v>
      </x:c>
      <x:c r="K57" s="20" t="str"/>
      <x:c r="L57" s="24" t="str"/>
      <x:c r="M57" s="20" t="str"/>
      <x:c r="N57" s="20" t="str"/>
      <x:c r="O57" s="20" t="str"/>
      <x:c r="P57" s="20" t="str">
        <x:v>Shared</x:v>
      </x:c>
    </x:row>
    <x:row r="58">
      <x:c r="A58" s="20" t="str">
        <x:v>SEC-03</x:v>
      </x:c>
      <x:c r="B58" s="20" t="str">
        <x:v>Security</x:v>
      </x:c>
      <x:c r="C58" s="20" t="str">
        <x:v>Security</x:v>
      </x:c>
      <x:c r="D58" s="20" t="str">
        <x:v>High</x:v>
      </x:c>
      <x:c r="E58" s="20" t="str">
        <x:v>Frontend contains no backend secrets</x:v>
      </x:c>
      <x:c r="F58" s="20" t="str">
        <x:v>React source/build available</x:v>
      </x:c>
      <x:c r="G58" s="20" t="str">
        <x:v>Inspect browser-visible configuration</x:v>
      </x:c>
      <x:c r="H58" s="20" t="str">
        <x:v>No DB password, signing secret, Django secret, or AI key</x:v>
      </x:c>
      <x:c r="I58" s="20" t="str"/>
      <x:c r="J58" s="20" t="str">
        <x:v>Not Run</x:v>
      </x:c>
      <x:c r="K58" s="20" t="str"/>
      <x:c r="L58" s="24" t="str"/>
      <x:c r="M58" s="20" t="str"/>
      <x:c r="N58" s="20" t="str"/>
      <x:c r="O58" s="20" t="str"/>
      <x:c r="P58" s="20" t="str">
        <x:v>Joyee</x:v>
      </x:c>
    </x:row>
    <x:row r="59">
      <x:c r="A59" s="20" t="str">
        <x:v>SEC-04</x:v>
      </x:c>
      <x:c r="B59" s="20" t="str">
        <x:v>Security</x:v>
      </x:c>
      <x:c r="C59" s="20" t="str">
        <x:v>Security</x:v>
      </x:c>
      <x:c r="D59" s="20" t="str">
        <x:v>High</x:v>
      </x:c>
      <x:c r="E59" s="20" t="str">
        <x:v>CORS limited to approved origin</x:v>
      </x:c>
      <x:c r="F59" s="20" t="str">
        <x:v>Frontend local origin confirmed</x:v>
      </x:c>
      <x:c r="G59" s="20" t="str">
        <x:v>Inspect/test CORS behaviour</x:v>
      </x:c>
      <x:c r="H59" s="20" t="str">
        <x:v>Only approved origins permitted</x:v>
      </x:c>
      <x:c r="I59" s="20" t="str"/>
      <x:c r="J59" s="20" t="str">
        <x:v>Not Run</x:v>
      </x:c>
      <x:c r="K59" s="20" t="str"/>
      <x:c r="L59" s="24" t="str"/>
      <x:c r="M59" s="20" t="str"/>
      <x:c r="N59" s="20" t="str"/>
      <x:c r="O59" s="20" t="str"/>
      <x:c r="P59" s="20" t="str">
        <x:v>Jerald</x:v>
      </x:c>
    </x:row>
    <x:row r="60">
      <x:c r="A60" s="20" t="str">
        <x:v>REG-01</x:v>
      </x:c>
      <x:c r="B60" s="20" t="str">
        <x:v>Regression</x:v>
      </x:c>
      <x:c r="C60" s="20" t="str">
        <x:v>Regression</x:v>
      </x:c>
      <x:c r="D60" s="20" t="str">
        <x:v>Critical</x:v>
      </x:c>
      <x:c r="E60" s="20" t="str">
        <x:v>Authentication regression pass</x:v>
      </x:c>
      <x:c r="F60" s="20" t="str">
        <x:v>Auth integrated with later changes</x:v>
      </x:c>
      <x:c r="G60" s="20" t="str">
        <x:v>Rerun completed auth automated/manual tests</x:v>
      </x:c>
      <x:c r="H60" s="20" t="str">
        <x:v>Previously passing auth behaviour still passes</x:v>
      </x:c>
      <x:c r="I60" s="20" t="str"/>
      <x:c r="J60" s="20" t="str">
        <x:v>Not Run</x:v>
      </x:c>
      <x:c r="K60" s="20" t="str"/>
      <x:c r="L60" s="24" t="str"/>
      <x:c r="M60" s="20" t="str"/>
      <x:c r="N60" s="20" t="str"/>
      <x:c r="O60" s="20" t="str"/>
      <x:c r="P60" s="20" t="str">
        <x:v>Shared</x:v>
      </x:c>
    </x:row>
    <x:row r="61">
      <x:c r="A61" s="20" t="str">
        <x:v>REG-02</x:v>
      </x:c>
      <x:c r="B61" s="20" t="str">
        <x:v>Regression</x:v>
      </x:c>
      <x:c r="C61" s="20" t="str">
        <x:v>Regression</x:v>
      </x:c>
      <x:c r="D61" s="20" t="str">
        <x:v>Critical</x:v>
      </x:c>
      <x:c r="E61" s="20" t="str">
        <x:v>Student Profile regression pass</x:v>
      </x:c>
      <x:c r="F61" s="20" t="str">
        <x:v>Profile implementation integrated</x:v>
      </x:c>
      <x:c r="G61" s="20" t="str">
        <x:v>Rerun profile API, ownership, validation tests</x:v>
      </x:c>
      <x:c r="H61" s="20" t="str">
        <x:v>Previously passing profile behaviour still passes</x:v>
      </x:c>
      <x:c r="I61" s="20" t="str"/>
      <x:c r="J61" s="20" t="str">
        <x:v>Not Run</x:v>
      </x:c>
      <x:c r="K61" s="20" t="str"/>
      <x:c r="L61" s="24" t="str"/>
      <x:c r="M61" s="20" t="str"/>
      <x:c r="N61" s="20" t="str"/>
      <x:c r="O61" s="20" t="str"/>
      <x:c r="P61" s="20" t="str">
        <x:v>Shared</x:v>
      </x:c>
    </x:row>
    <x:row r="62">
      <x:c r="A62" s="20" t="str">
        <x:v>REG-03</x:v>
      </x:c>
      <x:c r="B62" s="20" t="str">
        <x:v>Regression</x:v>
      </x:c>
      <x:c r="C62" s="20" t="str">
        <x:v>Regression</x:v>
      </x:c>
      <x:c r="D62" s="20" t="str">
        <x:v>High</x:v>
      </x:c>
      <x:c r="E62" s="20" t="str">
        <x:v>End-to-end Sprint 1 regression</x:v>
      </x:c>
      <x:c r="F62" s="20" t="str">
        <x:v>Sprint 1 integration complete</x:v>
      </x:c>
      <x:c r="G62" s="20" t="str">
        <x:v>Register/login/me/profile GET/profile PATCH/logout</x:v>
      </x:c>
      <x:c r="H62" s="20" t="str">
        <x:v>Complete flow succeeds with expected security/error behaviour</x:v>
      </x:c>
      <x:c r="I62" s="20" t="str"/>
      <x:c r="J62" s="20" t="str">
        <x:v>Not Run</x:v>
      </x:c>
      <x:c r="K62" s="20" t="str"/>
      <x:c r="L62" s="24" t="str"/>
      <x:c r="M62" s="20" t="str"/>
      <x:c r="N62" s="20" t="str"/>
      <x:c r="O62" s="20" t="str"/>
      <x:c r="P62" s="20" t="str">
        <x:v>Shared</x:v>
      </x:c>
    </x:row>
  </x:sheetData>
  <x:conditionalFormatting sqref="J2:J62">
    <x:cfRule type="expression" dxfId="0" priority="1">
      <x:formula>J2="Pass"</x:formula>
    </x:cfRule>
    <x:cfRule type="expression" dxfId="1" priority="2">
      <x:formula>J2="Fail"</x:formula>
    </x:cfRule>
    <x:cfRule type="expression" dxfId="2" priority="3">
      <x:formula>J2="Blocked"</x:formula>
    </x:cfRule>
    <x:cfRule type="expression" dxfId="3" priority="4">
      <x:formula>J2="Not Run"</x:formula>
    </x:cfRule>
  </x:conditionalFormatting>
  <x:conditionalFormatting sqref="D2:D62">
    <x:cfRule type="expression" dxfId="4" priority="5">
      <x:formula>D2="Critical"</x:formula>
    </x:cfRule>
    <x:cfRule type="expression" dxfId="5" priority="6">
      <x:formula>D2="High"</x:formula>
    </x:cfRule>
  </x:conditionalFormatting>
  <x:dataValidations count="5">
    <x:dataValidation type="list" sqref="B2:B62">
      <x:formula1>Reference!$D$2:$D$18</x:formula1>
    </x:dataValidation>
    <x:dataValidation type="list" sqref="C2:C62">
      <x:formula1>Reference!$B$2:$B$10</x:formula1>
    </x:dataValidation>
    <x:dataValidation type="list" sqref="D2:D62">
      <x:formula1>Reference!$C$2:$C$5</x:formula1>
    </x:dataValidation>
    <x:dataValidation type="list" sqref="J2:J62">
      <x:formula1>Reference!$A$2:$A$5</x:formula1>
    </x:dataValidation>
    <x:dataValidation type="list" sqref="P2:P62">
      <x:formula1>Reference!$I$2:$I$5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57419e309b484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18" hidden="0" customWidth="1"/>
    <x:col min="4" max="4" width="32" hidden="0" customWidth="1"/>
    <x:col min="5" max="5" width="40" hidden="0" customWidth="1"/>
    <x:col min="6" max="6" width="16" hidden="0" customWidth="1"/>
    <x:col min="7" max="7" width="13" hidden="0" customWidth="1"/>
    <x:col min="8" max="8" width="24" hidden="0" customWidth="1"/>
  </x:cols>
  <x:sheetData>
    <x:row r="1">
      <x:c r="A1" s="14" t="str">
        <x:v>Evidence ID</x:v>
      </x:c>
      <x:c r="B1" s="14" t="str">
        <x:v>Test ID</x:v>
      </x:c>
      <x:c r="C1" s="14" t="str">
        <x:v>Evidence Type</x:v>
      </x:c>
      <x:c r="D1" s="14" t="str">
        <x:v>Description</x:v>
      </x:c>
      <x:c r="E1" s="14" t="str">
        <x:v>Location / Link</x:v>
      </x:c>
      <x:c r="F1" s="14" t="str">
        <x:v>Captured By</x:v>
      </x:c>
      <x:c r="G1" s="14" t="str">
        <x:v>Date</x:v>
      </x:c>
      <x:c r="H1" s="14" t="str">
        <x:v>Notes</x:v>
      </x:c>
    </x:row>
    <x:row r="2">
      <x:c r="A2" s="20" t="str">
        <x:v>EV-001</x:v>
      </x:c>
      <x:c r="B2" s="20" t="str"/>
      <x:c r="C2" s="20" t="str">
        <x:v>Automated Test Output</x:v>
      </x:c>
      <x:c r="D2" s="20" t="str">
        <x:v>Backend automated test result</x:v>
      </x:c>
      <x:c r="E2" s="20" t="str"/>
      <x:c r="F2" s="20" t="str"/>
      <x:c r="G2" s="24" t="str"/>
      <x:c r="H2" s="20" t="str"/>
    </x:row>
    <x:row r="3">
      <x:c r="A3" s="20" t="str">
        <x:v>EV-002</x:v>
      </x:c>
      <x:c r="B3" s="20" t="str"/>
      <x:c r="C3" s="20" t="str">
        <x:v>Postman</x:v>
      </x:c>
      <x:c r="D3" s="20" t="str">
        <x:v>Authentication API manual test evidence</x:v>
      </x:c>
      <x:c r="E3" s="20" t="str"/>
      <x:c r="F3" s="20" t="str"/>
      <x:c r="G3" s="24" t="str"/>
      <x:c r="H3" s="20" t="str"/>
    </x:row>
    <x:row r="4">
      <x:c r="A4" s="20" t="str">
        <x:v>EV-003</x:v>
      </x:c>
      <x:c r="B4" s="20" t="str"/>
      <x:c r="C4" s="20" t="str">
        <x:v>Screenshot</x:v>
      </x:c>
      <x:c r="D4" s="20" t="str">
        <x:v>Frontend authentication flow evidence</x:v>
      </x:c>
      <x:c r="E4" s="20" t="str"/>
      <x:c r="F4" s="20" t="str"/>
      <x:c r="G4" s="24" t="str"/>
      <x:c r="H4" s="20" t="str"/>
    </x:row>
    <x:row r="5">
      <x:c r="A5" s="20" t="str">
        <x:v>EV-004</x:v>
      </x:c>
      <x:c r="B5" s="20" t="str"/>
      <x:c r="C5" s="20" t="str">
        <x:v>Screenshot</x:v>
      </x:c>
      <x:c r="D5" s="20" t="str">
        <x:v>Student Profile integration evidence</x:v>
      </x:c>
      <x:c r="E5" s="20" t="str"/>
      <x:c r="F5" s="20" t="str"/>
      <x:c r="G5" s="24" t="str"/>
      <x:c r="H5" s="20" t="str"/>
    </x:row>
    <x:row r="6">
      <x:c r="A6" s="20" t="str">
        <x:v>EV-005</x:v>
      </x:c>
      <x:c r="B6" s="20" t="str"/>
      <x:c r="C6" s="20" t="str">
        <x:v>PR / Review</x:v>
      </x:c>
      <x:c r="D6" s="20" t="str">
        <x:v>Relevant pull request or review evidence</x:v>
      </x:c>
      <x:c r="E6" s="20" t="str"/>
      <x:c r="F6" s="20" t="str"/>
      <x:c r="G6" s="24" t="str"/>
      <x:c r="H6" s="20" t="str"/>
    </x:row>
    <x:row r="7">
      <x:c r="A7" s="20"/>
      <x:c r="B7" s="20"/>
      <x:c r="C7" s="20"/>
      <x:c r="D7" s="20"/>
      <x:c r="E7" s="20"/>
      <x:c r="F7" s="20"/>
      <x:c r="G7" s="24"/>
      <x:c r="H7" s="20"/>
    </x:row>
    <x:row r="8">
      <x:c r="A8" s="20"/>
      <x:c r="B8" s="20"/>
      <x:c r="C8" s="20"/>
      <x:c r="D8" s="20"/>
      <x:c r="E8" s="20"/>
      <x:c r="F8" s="20"/>
      <x:c r="G8" s="24"/>
      <x:c r="H8" s="20"/>
    </x:row>
    <x:row r="9">
      <x:c r="A9" s="20"/>
      <x:c r="B9" s="20"/>
      <x:c r="C9" s="20"/>
      <x:c r="D9" s="20"/>
      <x:c r="E9" s="20"/>
      <x:c r="F9" s="20"/>
      <x:c r="G9" s="24"/>
      <x:c r="H9" s="20"/>
    </x:row>
    <x:row r="10">
      <x:c r="A10" s="20"/>
      <x:c r="B10" s="20"/>
      <x:c r="C10" s="20"/>
      <x:c r="D10" s="20"/>
      <x:c r="E10" s="20"/>
      <x:c r="F10" s="20"/>
      <x:c r="G10" s="24"/>
      <x:c r="H10" s="20"/>
    </x:row>
    <x:row r="11">
      <x:c r="A11" s="20"/>
      <x:c r="B11" s="20"/>
      <x:c r="C11" s="20"/>
      <x:c r="D11" s="20"/>
      <x:c r="E11" s="20"/>
      <x:c r="F11" s="20"/>
      <x:c r="G11" s="24"/>
      <x:c r="H11" s="20"/>
    </x:row>
    <x:row r="12">
      <x:c r="A12" s="20"/>
      <x:c r="B12" s="20"/>
      <x:c r="C12" s="20"/>
      <x:c r="D12" s="20"/>
      <x:c r="E12" s="20"/>
      <x:c r="F12" s="20"/>
      <x:c r="G12" s="24"/>
      <x:c r="H12" s="20"/>
    </x:row>
    <x:row r="13">
      <x:c r="A13" s="20"/>
      <x:c r="B13" s="20"/>
      <x:c r="C13" s="20"/>
      <x:c r="D13" s="20"/>
      <x:c r="E13" s="20"/>
      <x:c r="F13" s="20"/>
      <x:c r="G13" s="24"/>
      <x:c r="H13" s="20"/>
    </x:row>
    <x:row r="14">
      <x:c r="A14" s="20"/>
      <x:c r="B14" s="20"/>
      <x:c r="C14" s="20"/>
      <x:c r="D14" s="20"/>
      <x:c r="E14" s="20"/>
      <x:c r="F14" s="20"/>
      <x:c r="G14" s="24"/>
      <x:c r="H14" s="20"/>
    </x:row>
    <x:row r="15">
      <x:c r="A15" s="20"/>
      <x:c r="B15" s="20"/>
      <x:c r="C15" s="20"/>
      <x:c r="D15" s="20"/>
      <x:c r="E15" s="20"/>
      <x:c r="F15" s="20"/>
      <x:c r="G15" s="24"/>
      <x:c r="H15" s="20"/>
    </x:row>
    <x:row r="16">
      <x:c r="A16" s="20"/>
      <x:c r="B16" s="20"/>
      <x:c r="C16" s="20"/>
      <x:c r="D16" s="20"/>
      <x:c r="E16" s="20"/>
      <x:c r="F16" s="20"/>
      <x:c r="G16" s="24"/>
      <x:c r="H16" s="20"/>
    </x:row>
    <x:row r="17">
      <x:c r="A17" s="20"/>
      <x:c r="B17" s="20"/>
      <x:c r="C17" s="20"/>
      <x:c r="D17" s="20"/>
      <x:c r="E17" s="20"/>
      <x:c r="F17" s="20"/>
      <x:c r="G17" s="24"/>
      <x:c r="H17" s="20"/>
    </x:row>
    <x:row r="18">
      <x:c r="A18" s="20"/>
      <x:c r="B18" s="20"/>
      <x:c r="C18" s="20"/>
      <x:c r="D18" s="20"/>
      <x:c r="E18" s="20"/>
      <x:c r="F18" s="20"/>
      <x:c r="G18" s="24"/>
      <x:c r="H18" s="20"/>
    </x:row>
    <x:row r="19">
      <x:c r="A19" s="20"/>
      <x:c r="B19" s="20"/>
      <x:c r="C19" s="20"/>
      <x:c r="D19" s="20"/>
      <x:c r="E19" s="20"/>
      <x:c r="F19" s="20"/>
      <x:c r="G19" s="24"/>
      <x:c r="H19" s="20"/>
    </x:row>
    <x:row r="20">
      <x:c r="A20" s="20"/>
      <x:c r="B20" s="20"/>
      <x:c r="C20" s="20"/>
      <x:c r="D20" s="20"/>
      <x:c r="E20" s="20"/>
      <x:c r="F20" s="20"/>
      <x:c r="G20" s="24"/>
      <x:c r="H20" s="20"/>
    </x:row>
    <x:row r="21">
      <x:c r="A21" s="20"/>
      <x:c r="B21" s="20"/>
      <x:c r="C21" s="20"/>
      <x:c r="D21" s="20"/>
      <x:c r="E21" s="20"/>
      <x:c r="F21" s="20"/>
      <x:c r="G21" s="24"/>
      <x:c r="H21" s="20"/>
    </x:row>
    <x:row r="22">
      <x:c r="A22" s="20"/>
      <x:c r="B22" s="20"/>
      <x:c r="C22" s="20"/>
      <x:c r="D22" s="20"/>
      <x:c r="E22" s="20"/>
      <x:c r="F22" s="20"/>
      <x:c r="G22" s="24"/>
      <x:c r="H22" s="20"/>
    </x:row>
    <x:row r="23">
      <x:c r="A23" s="20"/>
      <x:c r="B23" s="20"/>
      <x:c r="C23" s="20"/>
      <x:c r="D23" s="20"/>
      <x:c r="E23" s="20"/>
      <x:c r="F23" s="20"/>
      <x:c r="G23" s="24"/>
      <x:c r="H23" s="20"/>
    </x:row>
    <x:row r="24">
      <x:c r="A24" s="20"/>
      <x:c r="B24" s="20"/>
      <x:c r="C24" s="20"/>
      <x:c r="D24" s="20"/>
      <x:c r="E24" s="20"/>
      <x:c r="F24" s="20"/>
      <x:c r="G24" s="24"/>
      <x:c r="H24" s="20"/>
    </x:row>
    <x:row r="25">
      <x:c r="A25" s="20"/>
      <x:c r="B25" s="20"/>
      <x:c r="C25" s="20"/>
      <x:c r="D25" s="20"/>
      <x:c r="E25" s="20"/>
      <x:c r="F25" s="20"/>
      <x:c r="G25" s="24"/>
      <x:c r="H25" s="20"/>
    </x:row>
    <x:row r="26">
      <x:c r="A26" s="20"/>
      <x:c r="B26" s="20"/>
      <x:c r="C26" s="20"/>
      <x:c r="D26" s="20"/>
      <x:c r="E26" s="20"/>
      <x:c r="F26" s="20"/>
      <x:c r="G26" s="24"/>
      <x:c r="H26" s="20"/>
    </x:row>
    <x:row r="27">
      <x:c r="A27" s="20"/>
      <x:c r="B27" s="20"/>
      <x:c r="C27" s="20"/>
      <x:c r="D27" s="20"/>
      <x:c r="E27" s="20"/>
      <x:c r="F27" s="20"/>
      <x:c r="G27" s="24"/>
      <x:c r="H27" s="20"/>
    </x:row>
    <x:row r="28">
      <x:c r="A28" s="20"/>
      <x:c r="B28" s="20"/>
      <x:c r="C28" s="20"/>
      <x:c r="D28" s="20"/>
      <x:c r="E28" s="20"/>
      <x:c r="F28" s="20"/>
      <x:c r="G28" s="24"/>
      <x:c r="H28" s="20"/>
    </x:row>
    <x:row r="29">
      <x:c r="A29" s="20"/>
      <x:c r="B29" s="20"/>
      <x:c r="C29" s="20"/>
      <x:c r="D29" s="20"/>
      <x:c r="E29" s="20"/>
      <x:c r="F29" s="20"/>
      <x:c r="G29" s="24"/>
      <x:c r="H29" s="20"/>
    </x:row>
    <x:row r="30">
      <x:c r="A30" s="20"/>
      <x:c r="B30" s="20"/>
      <x:c r="C30" s="20"/>
      <x:c r="D30" s="20"/>
      <x:c r="E30" s="20"/>
      <x:c r="F30" s="20"/>
      <x:c r="G30" s="24"/>
      <x:c r="H30" s="20"/>
    </x:row>
    <x:row r="31">
      <x:c r="A31" s="20"/>
      <x:c r="B31" s="20"/>
      <x:c r="C31" s="20"/>
      <x:c r="D31" s="20"/>
      <x:c r="E31" s="20"/>
      <x:c r="F31" s="20"/>
      <x:c r="G31" s="24"/>
      <x:c r="H31" s="20"/>
    </x:row>
    <x:row r="32">
      <x:c r="A32" s="20"/>
      <x:c r="B32" s="20"/>
      <x:c r="C32" s="20"/>
      <x:c r="D32" s="20"/>
      <x:c r="E32" s="20"/>
      <x:c r="F32" s="20"/>
      <x:c r="G32" s="24"/>
      <x:c r="H32" s="20"/>
    </x:row>
    <x:row r="33">
      <x:c r="A33" s="20"/>
      <x:c r="B33" s="20"/>
      <x:c r="C33" s="20"/>
      <x:c r="D33" s="20"/>
      <x:c r="E33" s="20"/>
      <x:c r="F33" s="20"/>
      <x:c r="G33" s="24"/>
      <x:c r="H33" s="20"/>
    </x:row>
    <x:row r="34">
      <x:c r="A34" s="20"/>
      <x:c r="B34" s="20"/>
      <x:c r="C34" s="20"/>
      <x:c r="D34" s="20"/>
      <x:c r="E34" s="20"/>
      <x:c r="F34" s="20"/>
      <x:c r="G34" s="24"/>
      <x:c r="H34" s="20"/>
    </x:row>
    <x:row r="35">
      <x:c r="A35" s="20"/>
      <x:c r="B35" s="20"/>
      <x:c r="C35" s="20"/>
      <x:c r="D35" s="20"/>
      <x:c r="E35" s="20"/>
      <x:c r="F35" s="20"/>
      <x:c r="G35" s="24"/>
      <x:c r="H35" s="20"/>
    </x:row>
    <x:row r="36">
      <x:c r="A36" s="20"/>
      <x:c r="B36" s="20"/>
      <x:c r="C36" s="20"/>
      <x:c r="D36" s="20"/>
      <x:c r="E36" s="20"/>
      <x:c r="F36" s="20"/>
      <x:c r="G36" s="24"/>
      <x:c r="H36" s="20"/>
    </x:row>
    <x:row r="37">
      <x:c r="A37" s="20"/>
      <x:c r="B37" s="20"/>
      <x:c r="C37" s="20"/>
      <x:c r="D37" s="20"/>
      <x:c r="E37" s="20"/>
      <x:c r="F37" s="20"/>
      <x:c r="G37" s="24"/>
      <x:c r="H37" s="20"/>
    </x:row>
    <x:row r="38">
      <x:c r="A38" s="20"/>
      <x:c r="B38" s="20"/>
      <x:c r="C38" s="20"/>
      <x:c r="D38" s="20"/>
      <x:c r="E38" s="20"/>
      <x:c r="F38" s="20"/>
      <x:c r="G38" s="24"/>
      <x:c r="H38" s="20"/>
    </x:row>
    <x:row r="39">
      <x:c r="A39" s="20"/>
      <x:c r="B39" s="20"/>
      <x:c r="C39" s="20"/>
      <x:c r="D39" s="20"/>
      <x:c r="E39" s="20"/>
      <x:c r="F39" s="20"/>
      <x:c r="G39" s="24"/>
      <x:c r="H39" s="20"/>
    </x:row>
    <x:row r="40">
      <x:c r="A40" s="20"/>
      <x:c r="B40" s="20"/>
      <x:c r="C40" s="20"/>
      <x:c r="D40" s="20"/>
      <x:c r="E40" s="20"/>
      <x:c r="F40" s="20"/>
      <x:c r="G40" s="24"/>
      <x:c r="H40" s="20"/>
    </x:row>
    <x:row r="41">
      <x:c r="A41" s="20"/>
      <x:c r="B41" s="20"/>
      <x:c r="C41" s="20"/>
      <x:c r="D41" s="20"/>
      <x:c r="E41" s="20"/>
      <x:c r="F41" s="20"/>
      <x:c r="G41" s="24"/>
      <x:c r="H41" s="20"/>
    </x:row>
    <x:row r="42">
      <x:c r="A42" s="20"/>
      <x:c r="B42" s="20"/>
      <x:c r="C42" s="20"/>
      <x:c r="D42" s="20"/>
      <x:c r="E42" s="20"/>
      <x:c r="F42" s="20"/>
      <x:c r="G42" s="24"/>
      <x:c r="H42" s="20"/>
    </x:row>
    <x:row r="43">
      <x:c r="A43" s="20"/>
      <x:c r="B43" s="20"/>
      <x:c r="C43" s="20"/>
      <x:c r="D43" s="20"/>
      <x:c r="E43" s="20"/>
      <x:c r="F43" s="20"/>
      <x:c r="G43" s="24"/>
      <x:c r="H43" s="20"/>
    </x:row>
    <x:row r="44">
      <x:c r="A44" s="20"/>
      <x:c r="B44" s="20"/>
      <x:c r="C44" s="20"/>
      <x:c r="D44" s="20"/>
      <x:c r="E44" s="20"/>
      <x:c r="F44" s="20"/>
      <x:c r="G44" s="24"/>
      <x:c r="H44" s="20"/>
    </x:row>
    <x:row r="45">
      <x:c r="A45" s="20"/>
      <x:c r="B45" s="20"/>
      <x:c r="C45" s="20"/>
      <x:c r="D45" s="20"/>
      <x:c r="E45" s="20"/>
      <x:c r="F45" s="20"/>
      <x:c r="G45" s="24"/>
      <x:c r="H45" s="20"/>
    </x:row>
    <x:row r="46">
      <x:c r="A46" s="20"/>
      <x:c r="B46" s="20"/>
      <x:c r="C46" s="20"/>
      <x:c r="D46" s="20"/>
      <x:c r="E46" s="20"/>
      <x:c r="F46" s="20"/>
      <x:c r="G46" s="24"/>
      <x:c r="H46" s="20"/>
    </x:row>
    <x:row r="47">
      <x:c r="A47" s="20"/>
      <x:c r="B47" s="20"/>
      <x:c r="C47" s="20"/>
      <x:c r="D47" s="20"/>
      <x:c r="E47" s="20"/>
      <x:c r="F47" s="20"/>
      <x:c r="G47" s="24"/>
      <x:c r="H47" s="20"/>
    </x:row>
    <x:row r="48">
      <x:c r="A48" s="20"/>
      <x:c r="B48" s="20"/>
      <x:c r="C48" s="20"/>
      <x:c r="D48" s="20"/>
      <x:c r="E48" s="20"/>
      <x:c r="F48" s="20"/>
      <x:c r="G48" s="24"/>
      <x:c r="H48" s="20"/>
    </x:row>
    <x:row r="49">
      <x:c r="A49" s="20"/>
      <x:c r="B49" s="20"/>
      <x:c r="C49" s="20"/>
      <x:c r="D49" s="20"/>
      <x:c r="E49" s="20"/>
      <x:c r="F49" s="20"/>
      <x:c r="G49" s="24"/>
      <x:c r="H49" s="20"/>
    </x:row>
    <x:row r="50">
      <x:c r="A50" s="20"/>
      <x:c r="B50" s="20"/>
      <x:c r="C50" s="20"/>
      <x:c r="D50" s="20"/>
      <x:c r="E50" s="20"/>
      <x:c r="F50" s="20"/>
      <x:c r="G50" s="24"/>
      <x:c r="H50" s="20"/>
    </x:row>
    <x:row r="51">
      <x:c r="A51" s="20"/>
      <x:c r="B51" s="20"/>
      <x:c r="C51" s="20"/>
      <x:c r="D51" s="20"/>
      <x:c r="E51" s="20"/>
      <x:c r="F51" s="20"/>
      <x:c r="G51" s="24"/>
      <x:c r="H51" s="20"/>
    </x:row>
    <x:row r="52">
      <x:c r="A52" s="20"/>
      <x:c r="B52" s="20"/>
      <x:c r="C52" s="20"/>
      <x:c r="D52" s="20"/>
      <x:c r="E52" s="20"/>
      <x:c r="F52" s="20"/>
      <x:c r="G52" s="24"/>
      <x:c r="H52" s="20"/>
    </x:row>
    <x:row r="53">
      <x:c r="A53" s="20"/>
      <x:c r="B53" s="20"/>
      <x:c r="C53" s="20"/>
      <x:c r="D53" s="20"/>
      <x:c r="E53" s="20"/>
      <x:c r="F53" s="20"/>
      <x:c r="G53" s="24"/>
      <x:c r="H53" s="20"/>
    </x:row>
    <x:row r="54">
      <x:c r="A54" s="20"/>
      <x:c r="B54" s="20"/>
      <x:c r="C54" s="20"/>
      <x:c r="D54" s="20"/>
      <x:c r="E54" s="20"/>
      <x:c r="F54" s="20"/>
      <x:c r="G54" s="24"/>
      <x:c r="H54" s="20"/>
    </x:row>
    <x:row r="55">
      <x:c r="A55" s="20"/>
      <x:c r="B55" s="20"/>
      <x:c r="C55" s="20"/>
      <x:c r="D55" s="20"/>
      <x:c r="E55" s="20"/>
      <x:c r="F55" s="20"/>
      <x:c r="G55" s="24"/>
      <x:c r="H55" s="20"/>
    </x:row>
    <x:row r="56">
      <x:c r="A56" s="20"/>
      <x:c r="B56" s="20"/>
      <x:c r="C56" s="20"/>
      <x:c r="D56" s="20"/>
      <x:c r="E56" s="20"/>
      <x:c r="F56" s="20"/>
      <x:c r="G56" s="24"/>
      <x:c r="H56" s="20"/>
    </x:row>
    <x:row r="57">
      <x:c r="A57" s="20"/>
      <x:c r="B57" s="20"/>
      <x:c r="C57" s="20"/>
      <x:c r="D57" s="20"/>
      <x:c r="E57" s="20"/>
      <x:c r="F57" s="20"/>
      <x:c r="G57" s="24"/>
      <x:c r="H57" s="20"/>
    </x:row>
    <x:row r="58">
      <x:c r="A58" s="20"/>
      <x:c r="B58" s="20"/>
      <x:c r="C58" s="20"/>
      <x:c r="D58" s="20"/>
      <x:c r="E58" s="20"/>
      <x:c r="F58" s="20"/>
      <x:c r="G58" s="24"/>
      <x:c r="H58" s="20"/>
    </x:row>
    <x:row r="59">
      <x:c r="A59" s="20"/>
      <x:c r="B59" s="20"/>
      <x:c r="C59" s="20"/>
      <x:c r="D59" s="20"/>
      <x:c r="E59" s="20"/>
      <x:c r="F59" s="20"/>
      <x:c r="G59" s="24"/>
      <x:c r="H59" s="20"/>
    </x:row>
    <x:row r="60">
      <x:c r="A60" s="20"/>
      <x:c r="B60" s="20"/>
      <x:c r="C60" s="20"/>
      <x:c r="D60" s="20"/>
      <x:c r="E60" s="20"/>
      <x:c r="F60" s="20"/>
      <x:c r="G60" s="24"/>
      <x:c r="H60" s="20"/>
    </x:row>
    <x:row r="61">
      <x:c r="A61" s="20"/>
      <x:c r="B61" s="20"/>
      <x:c r="C61" s="20"/>
      <x:c r="D61" s="20"/>
      <x:c r="E61" s="20"/>
      <x:c r="F61" s="20"/>
      <x:c r="G61" s="24"/>
      <x:c r="H61" s="20"/>
    </x:row>
    <x:row r="62">
      <x:c r="A62" s="20"/>
      <x:c r="B62" s="20"/>
      <x:c r="C62" s="20"/>
      <x:c r="D62" s="20"/>
      <x:c r="E62" s="20"/>
      <x:c r="F62" s="20"/>
      <x:c r="G62" s="24"/>
      <x:c r="H62" s="20"/>
    </x:row>
    <x:row r="63">
      <x:c r="A63" s="20"/>
      <x:c r="B63" s="20"/>
      <x:c r="C63" s="20"/>
      <x:c r="D63" s="20"/>
      <x:c r="E63" s="20"/>
      <x:c r="F63" s="20"/>
      <x:c r="G63" s="24"/>
      <x:c r="H63" s="20"/>
    </x:row>
    <x:row r="64">
      <x:c r="A64" s="20"/>
      <x:c r="B64" s="20"/>
      <x:c r="C64" s="20"/>
      <x:c r="D64" s="20"/>
      <x:c r="E64" s="20"/>
      <x:c r="F64" s="20"/>
      <x:c r="G64" s="24"/>
      <x:c r="H64" s="20"/>
    </x:row>
    <x:row r="65">
      <x:c r="A65" s="20"/>
      <x:c r="B65" s="20"/>
      <x:c r="C65" s="20"/>
      <x:c r="D65" s="20"/>
      <x:c r="E65" s="20"/>
      <x:c r="F65" s="20"/>
      <x:c r="G65" s="24"/>
      <x:c r="H65" s="20"/>
    </x:row>
    <x:row r="66">
      <x:c r="A66" s="20"/>
      <x:c r="B66" s="20"/>
      <x:c r="C66" s="20"/>
      <x:c r="D66" s="20"/>
      <x:c r="E66" s="20"/>
      <x:c r="F66" s="20"/>
      <x:c r="G66" s="24"/>
      <x:c r="H66" s="20"/>
    </x:row>
    <x:row r="67">
      <x:c r="A67" s="20"/>
      <x:c r="B67" s="20"/>
      <x:c r="C67" s="20"/>
      <x:c r="D67" s="20"/>
      <x:c r="E67" s="20"/>
      <x:c r="F67" s="20"/>
      <x:c r="G67" s="24"/>
      <x:c r="H67" s="20"/>
    </x:row>
    <x:row r="68">
      <x:c r="A68" s="20"/>
      <x:c r="B68" s="20"/>
      <x:c r="C68" s="20"/>
      <x:c r="D68" s="20"/>
      <x:c r="E68" s="20"/>
      <x:c r="F68" s="20"/>
      <x:c r="G68" s="24"/>
      <x:c r="H68" s="20"/>
    </x:row>
    <x:row r="69">
      <x:c r="A69" s="20"/>
      <x:c r="B69" s="20"/>
      <x:c r="C69" s="20"/>
      <x:c r="D69" s="20"/>
      <x:c r="E69" s="20"/>
      <x:c r="F69" s="20"/>
      <x:c r="G69" s="24"/>
      <x:c r="H69" s="20"/>
    </x:row>
    <x:row r="70">
      <x:c r="A70" s="20"/>
      <x:c r="B70" s="20"/>
      <x:c r="C70" s="20"/>
      <x:c r="D70" s="20"/>
      <x:c r="E70" s="20"/>
      <x:c r="F70" s="20"/>
      <x:c r="G70" s="24"/>
      <x:c r="H70" s="20"/>
    </x:row>
    <x:row r="71">
      <x:c r="A71" s="20"/>
      <x:c r="B71" s="20"/>
      <x:c r="C71" s="20"/>
      <x:c r="D71" s="20"/>
      <x:c r="E71" s="20"/>
      <x:c r="F71" s="20"/>
      <x:c r="G71" s="24"/>
      <x:c r="H71" s="20"/>
    </x:row>
    <x:row r="72">
      <x:c r="A72" s="20"/>
      <x:c r="B72" s="20"/>
      <x:c r="C72" s="20"/>
      <x:c r="D72" s="20"/>
      <x:c r="E72" s="20"/>
      <x:c r="F72" s="20"/>
      <x:c r="G72" s="24"/>
      <x:c r="H72" s="20"/>
    </x:row>
    <x:row r="73">
      <x:c r="A73" s="20"/>
      <x:c r="B73" s="20"/>
      <x:c r="C73" s="20"/>
      <x:c r="D73" s="20"/>
      <x:c r="E73" s="20"/>
      <x:c r="F73" s="20"/>
      <x:c r="G73" s="24"/>
      <x:c r="H73" s="20"/>
    </x:row>
    <x:row r="74">
      <x:c r="A74" s="20"/>
      <x:c r="B74" s="20"/>
      <x:c r="C74" s="20"/>
      <x:c r="D74" s="20"/>
      <x:c r="E74" s="20"/>
      <x:c r="F74" s="20"/>
      <x:c r="G74" s="24"/>
      <x:c r="H74" s="20"/>
    </x:row>
    <x:row r="75">
      <x:c r="A75" s="20"/>
      <x:c r="B75" s="20"/>
      <x:c r="C75" s="20"/>
      <x:c r="D75" s="20"/>
      <x:c r="E75" s="20"/>
      <x:c r="F75" s="20"/>
      <x:c r="G75" s="24"/>
      <x:c r="H75" s="20"/>
    </x:row>
    <x:row r="76">
      <x:c r="A76" s="20"/>
      <x:c r="B76" s="20"/>
      <x:c r="C76" s="20"/>
      <x:c r="D76" s="20"/>
      <x:c r="E76" s="20"/>
      <x:c r="F76" s="20"/>
      <x:c r="G76" s="24"/>
      <x:c r="H76" s="20"/>
    </x:row>
    <x:row r="77">
      <x:c r="A77" s="20"/>
      <x:c r="B77" s="20"/>
      <x:c r="C77" s="20"/>
      <x:c r="D77" s="20"/>
      <x:c r="E77" s="20"/>
      <x:c r="F77" s="20"/>
      <x:c r="G77" s="24"/>
      <x:c r="H77" s="20"/>
    </x:row>
    <x:row r="78">
      <x:c r="A78" s="20"/>
      <x:c r="B78" s="20"/>
      <x:c r="C78" s="20"/>
      <x:c r="D78" s="20"/>
      <x:c r="E78" s="20"/>
      <x:c r="F78" s="20"/>
      <x:c r="G78" s="24"/>
      <x:c r="H78" s="20"/>
    </x:row>
    <x:row r="79">
      <x:c r="A79" s="20"/>
      <x:c r="B79" s="20"/>
      <x:c r="C79" s="20"/>
      <x:c r="D79" s="20"/>
      <x:c r="E79" s="20"/>
      <x:c r="F79" s="20"/>
      <x:c r="G79" s="24"/>
      <x:c r="H79" s="20"/>
    </x:row>
    <x:row r="80">
      <x:c r="A80" s="20"/>
      <x:c r="B80" s="20"/>
      <x:c r="C80" s="20"/>
      <x:c r="D80" s="20"/>
      <x:c r="E80" s="20"/>
      <x:c r="F80" s="20"/>
      <x:c r="G80" s="24"/>
      <x:c r="H80" s="20"/>
    </x:row>
    <x:row r="81">
      <x:c r="A81" s="20"/>
      <x:c r="B81" s="20"/>
      <x:c r="C81" s="20"/>
      <x:c r="D81" s="20"/>
      <x:c r="E81" s="20"/>
      <x:c r="F81" s="20"/>
      <x:c r="G81" s="24"/>
      <x:c r="H81" s="20"/>
    </x:row>
    <x:row r="82">
      <x:c r="A82" s="20"/>
      <x:c r="B82" s="20"/>
      <x:c r="C82" s="20"/>
      <x:c r="D82" s="20"/>
      <x:c r="E82" s="20"/>
      <x:c r="F82" s="20"/>
      <x:c r="G82" s="24"/>
      <x:c r="H82" s="20"/>
    </x:row>
    <x:row r="83">
      <x:c r="A83" s="20"/>
      <x:c r="B83" s="20"/>
      <x:c r="C83" s="20"/>
      <x:c r="D83" s="20"/>
      <x:c r="E83" s="20"/>
      <x:c r="F83" s="20"/>
      <x:c r="G83" s="24"/>
      <x:c r="H83" s="20"/>
    </x:row>
    <x:row r="84">
      <x:c r="A84" s="20"/>
      <x:c r="B84" s="20"/>
      <x:c r="C84" s="20"/>
      <x:c r="D84" s="20"/>
      <x:c r="E84" s="20"/>
      <x:c r="F84" s="20"/>
      <x:c r="G84" s="24"/>
      <x:c r="H84" s="20"/>
    </x:row>
    <x:row r="85">
      <x:c r="A85" s="20"/>
      <x:c r="B85" s="20"/>
      <x:c r="C85" s="20"/>
      <x:c r="D85" s="20"/>
      <x:c r="E85" s="20"/>
      <x:c r="F85" s="20"/>
      <x:c r="G85" s="24"/>
      <x:c r="H85" s="20"/>
    </x:row>
    <x:row r="86">
      <x:c r="A86" s="20"/>
      <x:c r="B86" s="20"/>
      <x:c r="C86" s="20"/>
      <x:c r="D86" s="20"/>
      <x:c r="E86" s="20"/>
      <x:c r="F86" s="20"/>
      <x:c r="G86" s="24"/>
      <x:c r="H86" s="20"/>
    </x:row>
    <x:row r="87">
      <x:c r="A87" s="20"/>
      <x:c r="B87" s="20"/>
      <x:c r="C87" s="20"/>
      <x:c r="D87" s="20"/>
      <x:c r="E87" s="20"/>
      <x:c r="F87" s="20"/>
      <x:c r="G87" s="24"/>
      <x:c r="H87" s="20"/>
    </x:row>
    <x:row r="88">
      <x:c r="A88" s="20"/>
      <x:c r="B88" s="20"/>
      <x:c r="C88" s="20"/>
      <x:c r="D88" s="20"/>
      <x:c r="E88" s="20"/>
      <x:c r="F88" s="20"/>
      <x:c r="G88" s="24"/>
      <x:c r="H88" s="20"/>
    </x:row>
    <x:row r="89">
      <x:c r="A89" s="20"/>
      <x:c r="B89" s="20"/>
      <x:c r="C89" s="20"/>
      <x:c r="D89" s="20"/>
      <x:c r="E89" s="20"/>
      <x:c r="F89" s="20"/>
      <x:c r="G89" s="24"/>
      <x:c r="H89" s="20"/>
    </x:row>
    <x:row r="90">
      <x:c r="A90" s="20"/>
      <x:c r="B90" s="20"/>
      <x:c r="C90" s="20"/>
      <x:c r="D90" s="20"/>
      <x:c r="E90" s="20"/>
      <x:c r="F90" s="20"/>
      <x:c r="G90" s="24"/>
      <x:c r="H90" s="20"/>
    </x:row>
    <x:row r="91">
      <x:c r="A91" s="20"/>
      <x:c r="B91" s="20"/>
      <x:c r="C91" s="20"/>
      <x:c r="D91" s="20"/>
      <x:c r="E91" s="20"/>
      <x:c r="F91" s="20"/>
      <x:c r="G91" s="24"/>
      <x:c r="H91" s="20"/>
    </x:row>
    <x:row r="92">
      <x:c r="A92" s="20"/>
      <x:c r="B92" s="20"/>
      <x:c r="C92" s="20"/>
      <x:c r="D92" s="20"/>
      <x:c r="E92" s="20"/>
      <x:c r="F92" s="20"/>
      <x:c r="G92" s="24"/>
      <x:c r="H92" s="20"/>
    </x:row>
    <x:row r="93">
      <x:c r="A93" s="20"/>
      <x:c r="B93" s="20"/>
      <x:c r="C93" s="20"/>
      <x:c r="D93" s="20"/>
      <x:c r="E93" s="20"/>
      <x:c r="F93" s="20"/>
      <x:c r="G93" s="24"/>
      <x:c r="H93" s="20"/>
    </x:row>
    <x:row r="94">
      <x:c r="A94" s="20"/>
      <x:c r="B94" s="20"/>
      <x:c r="C94" s="20"/>
      <x:c r="D94" s="20"/>
      <x:c r="E94" s="20"/>
      <x:c r="F94" s="20"/>
      <x:c r="G94" s="24"/>
      <x:c r="H94" s="20"/>
    </x:row>
    <x:row r="95">
      <x:c r="A95" s="20"/>
      <x:c r="B95" s="20"/>
      <x:c r="C95" s="20"/>
      <x:c r="D95" s="20"/>
      <x:c r="E95" s="20"/>
      <x:c r="F95" s="20"/>
      <x:c r="G95" s="24"/>
      <x:c r="H95" s="20"/>
    </x:row>
    <x:row r="96">
      <x:c r="A96" s="20"/>
      <x:c r="B96" s="20"/>
      <x:c r="C96" s="20"/>
      <x:c r="D96" s="20"/>
      <x:c r="E96" s="20"/>
      <x:c r="F96" s="20"/>
      <x:c r="G96" s="24"/>
      <x:c r="H96" s="20"/>
    </x:row>
    <x:row r="97">
      <x:c r="A97" s="20"/>
      <x:c r="B97" s="20"/>
      <x:c r="C97" s="20"/>
      <x:c r="D97" s="20"/>
      <x:c r="E97" s="20"/>
      <x:c r="F97" s="20"/>
      <x:c r="G97" s="24"/>
      <x:c r="H97" s="20"/>
    </x:row>
    <x:row r="98">
      <x:c r="A98" s="20"/>
      <x:c r="B98" s="20"/>
      <x:c r="C98" s="20"/>
      <x:c r="D98" s="20"/>
      <x:c r="E98" s="20"/>
      <x:c r="F98" s="20"/>
      <x:c r="G98" s="24"/>
      <x:c r="H98" s="20"/>
    </x:row>
    <x:row r="99">
      <x:c r="A99" s="20"/>
      <x:c r="B99" s="20"/>
      <x:c r="C99" s="20"/>
      <x:c r="D99" s="20"/>
      <x:c r="E99" s="20"/>
      <x:c r="F99" s="20"/>
      <x:c r="G99" s="24"/>
      <x:c r="H99" s="20"/>
    </x:row>
    <x:row r="100">
      <x:c r="A100" s="20"/>
      <x:c r="B100" s="20"/>
      <x:c r="C100" s="20"/>
      <x:c r="D100" s="20"/>
      <x:c r="E100" s="20"/>
      <x:c r="F100" s="20"/>
      <x:c r="G100" s="24"/>
      <x:c r="H100" s="20"/>
    </x:row>
    <x:row r="101">
      <x:c r="A101" s="20"/>
      <x:c r="B101" s="20"/>
      <x:c r="C101" s="20"/>
      <x:c r="D101" s="20"/>
      <x:c r="E101" s="20"/>
      <x:c r="F101" s="20"/>
      <x:c r="G101" s="24"/>
      <x:c r="H101" s="20"/>
    </x:row>
    <x:row r="102">
      <x:c r="A102" s="20"/>
      <x:c r="B102" s="20"/>
      <x:c r="C102" s="20"/>
      <x:c r="D102" s="20"/>
      <x:c r="E102" s="20"/>
      <x:c r="F102" s="20"/>
      <x:c r="G102" s="24"/>
      <x:c r="H102" s="20"/>
    </x:row>
    <x:row r="103">
      <x:c r="A103" s="20"/>
      <x:c r="B103" s="20"/>
      <x:c r="C103" s="20"/>
      <x:c r="D103" s="20"/>
      <x:c r="E103" s="20"/>
      <x:c r="F103" s="20"/>
      <x:c r="G103" s="24"/>
      <x:c r="H103" s="20"/>
    </x:row>
    <x:row r="104">
      <x:c r="A104" s="20"/>
      <x:c r="B104" s="20"/>
      <x:c r="C104" s="20"/>
      <x:c r="D104" s="20"/>
      <x:c r="E104" s="20"/>
      <x:c r="F104" s="20"/>
      <x:c r="G104" s="24"/>
      <x:c r="H104" s="20"/>
    </x:row>
    <x:row r="105">
      <x:c r="A105" s="20"/>
      <x:c r="B105" s="20"/>
      <x:c r="C105" s="20"/>
      <x:c r="D105" s="20"/>
      <x:c r="E105" s="20"/>
      <x:c r="F105" s="20"/>
      <x:c r="G105" s="24"/>
      <x:c r="H105" s="20"/>
    </x:row>
    <x:row r="106">
      <x:c r="A106" s="20"/>
      <x:c r="B106" s="20"/>
      <x:c r="C106" s="20"/>
      <x:c r="D106" s="20"/>
      <x:c r="E106" s="20"/>
      <x:c r="F106" s="20"/>
      <x:c r="G106" s="24"/>
      <x:c r="H106" s="20"/>
    </x:row>
    <x:row r="107">
      <x:c r="A107" s="20"/>
      <x:c r="B107" s="20"/>
      <x:c r="C107" s="20"/>
      <x:c r="D107" s="20"/>
      <x:c r="E107" s="20"/>
      <x:c r="F107" s="20"/>
      <x:c r="G107" s="24"/>
      <x:c r="H107" s="20"/>
    </x:row>
    <x:row r="108">
      <x:c r="A108" s="20"/>
      <x:c r="B108" s="20"/>
      <x:c r="C108" s="20"/>
      <x:c r="D108" s="20"/>
      <x:c r="E108" s="20"/>
      <x:c r="F108" s="20"/>
      <x:c r="G108" s="24"/>
      <x:c r="H108" s="20"/>
    </x:row>
    <x:row r="109">
      <x:c r="A109" s="20"/>
      <x:c r="B109" s="20"/>
      <x:c r="C109" s="20"/>
      <x:c r="D109" s="20"/>
      <x:c r="E109" s="20"/>
      <x:c r="F109" s="20"/>
      <x:c r="G109" s="24"/>
      <x:c r="H109" s="20"/>
    </x:row>
    <x:row r="110">
      <x:c r="A110" s="20"/>
      <x:c r="B110" s="20"/>
      <x:c r="C110" s="20"/>
      <x:c r="D110" s="20"/>
      <x:c r="E110" s="20"/>
      <x:c r="F110" s="20"/>
      <x:c r="G110" s="24"/>
      <x:c r="H110" s="20"/>
    </x:row>
    <x:row r="111">
      <x:c r="A111" s="20"/>
      <x:c r="B111" s="20"/>
      <x:c r="C111" s="20"/>
      <x:c r="D111" s="20"/>
      <x:c r="E111" s="20"/>
      <x:c r="F111" s="20"/>
      <x:c r="G111" s="24"/>
      <x:c r="H111" s="20"/>
    </x:row>
    <x:row r="112">
      <x:c r="A112" s="20"/>
      <x:c r="B112" s="20"/>
      <x:c r="C112" s="20"/>
      <x:c r="D112" s="20"/>
      <x:c r="E112" s="20"/>
      <x:c r="F112" s="20"/>
      <x:c r="G112" s="24"/>
      <x:c r="H112" s="20"/>
    </x:row>
    <x:row r="113">
      <x:c r="A113" s="20"/>
      <x:c r="B113" s="20"/>
      <x:c r="C113" s="20"/>
      <x:c r="D113" s="20"/>
      <x:c r="E113" s="20"/>
      <x:c r="F113" s="20"/>
      <x:c r="G113" s="24"/>
      <x:c r="H113" s="20"/>
    </x:row>
    <x:row r="114">
      <x:c r="A114" s="20"/>
      <x:c r="B114" s="20"/>
      <x:c r="C114" s="20"/>
      <x:c r="D114" s="20"/>
      <x:c r="E114" s="20"/>
      <x:c r="F114" s="20"/>
      <x:c r="G114" s="24"/>
      <x:c r="H114" s="20"/>
    </x:row>
    <x:row r="115">
      <x:c r="A115" s="20"/>
      <x:c r="B115" s="20"/>
      <x:c r="C115" s="20"/>
      <x:c r="D115" s="20"/>
      <x:c r="E115" s="20"/>
      <x:c r="F115" s="20"/>
      <x:c r="G115" s="24"/>
      <x:c r="H115" s="20"/>
    </x:row>
    <x:row r="116">
      <x:c r="A116" s="20"/>
      <x:c r="B116" s="20"/>
      <x:c r="C116" s="20"/>
      <x:c r="D116" s="20"/>
      <x:c r="E116" s="20"/>
      <x:c r="F116" s="20"/>
      <x:c r="G116" s="24"/>
      <x:c r="H116" s="20"/>
    </x:row>
    <x:row r="117">
      <x:c r="A117" s="20"/>
      <x:c r="B117" s="20"/>
      <x:c r="C117" s="20"/>
      <x:c r="D117" s="20"/>
      <x:c r="E117" s="20"/>
      <x:c r="F117" s="20"/>
      <x:c r="G117" s="24"/>
      <x:c r="H117" s="20"/>
    </x:row>
    <x:row r="118">
      <x:c r="A118" s="20"/>
      <x:c r="B118" s="20"/>
      <x:c r="C118" s="20"/>
      <x:c r="D118" s="20"/>
      <x:c r="E118" s="20"/>
      <x:c r="F118" s="20"/>
      <x:c r="G118" s="24"/>
      <x:c r="H118" s="20"/>
    </x:row>
    <x:row r="119">
      <x:c r="A119" s="20"/>
      <x:c r="B119" s="20"/>
      <x:c r="C119" s="20"/>
      <x:c r="D119" s="20"/>
      <x:c r="E119" s="20"/>
      <x:c r="F119" s="20"/>
      <x:c r="G119" s="24"/>
      <x:c r="H119" s="20"/>
    </x:row>
    <x:row r="120">
      <x:c r="A120" s="20"/>
      <x:c r="B120" s="20"/>
      <x:c r="C120" s="20"/>
      <x:c r="D120" s="20"/>
      <x:c r="E120" s="20"/>
      <x:c r="F120" s="20"/>
      <x:c r="G120" s="24"/>
      <x:c r="H120" s="20"/>
    </x:row>
    <x:row r="121">
      <x:c r="A121" s="20"/>
      <x:c r="B121" s="20"/>
      <x:c r="C121" s="20"/>
      <x:c r="D121" s="20"/>
      <x:c r="E121" s="20"/>
      <x:c r="F121" s="20"/>
      <x:c r="G121" s="24"/>
      <x:c r="H121" s="20"/>
    </x:row>
    <x:row r="122">
      <x:c r="A122" s="20"/>
      <x:c r="B122" s="20"/>
      <x:c r="C122" s="20"/>
      <x:c r="D122" s="20"/>
      <x:c r="E122" s="20"/>
      <x:c r="F122" s="20"/>
      <x:c r="G122" s="24"/>
      <x:c r="H122" s="20"/>
    </x:row>
    <x:row r="123">
      <x:c r="A123" s="20"/>
      <x:c r="B123" s="20"/>
      <x:c r="C123" s="20"/>
      <x:c r="D123" s="20"/>
      <x:c r="E123" s="20"/>
      <x:c r="F123" s="20"/>
      <x:c r="G123" s="24"/>
      <x:c r="H123" s="20"/>
    </x:row>
    <x:row r="124">
      <x:c r="A124" s="20"/>
      <x:c r="B124" s="20"/>
      <x:c r="C124" s="20"/>
      <x:c r="D124" s="20"/>
      <x:c r="E124" s="20"/>
      <x:c r="F124" s="20"/>
      <x:c r="G124" s="24"/>
      <x:c r="H124" s="20"/>
    </x:row>
    <x:row r="125">
      <x:c r="A125" s="20"/>
      <x:c r="B125" s="20"/>
      <x:c r="C125" s="20"/>
      <x:c r="D125" s="20"/>
      <x:c r="E125" s="20"/>
      <x:c r="F125" s="20"/>
      <x:c r="G125" s="24"/>
      <x:c r="H125" s="20"/>
    </x:row>
    <x:row r="126">
      <x:c r="A126" s="20"/>
      <x:c r="B126" s="20"/>
      <x:c r="C126" s="20"/>
      <x:c r="D126" s="20"/>
      <x:c r="E126" s="20"/>
      <x:c r="F126" s="20"/>
      <x:c r="G126" s="24"/>
      <x:c r="H126" s="20"/>
    </x:row>
    <x:row r="127">
      <x:c r="A127" s="20"/>
      <x:c r="B127" s="20"/>
      <x:c r="C127" s="20"/>
      <x:c r="D127" s="20"/>
      <x:c r="E127" s="20"/>
      <x:c r="F127" s="20"/>
      <x:c r="G127" s="24"/>
      <x:c r="H127" s="20"/>
    </x:row>
    <x:row r="128">
      <x:c r="A128" s="20"/>
      <x:c r="B128" s="20"/>
      <x:c r="C128" s="20"/>
      <x:c r="D128" s="20"/>
      <x:c r="E128" s="20"/>
      <x:c r="F128" s="20"/>
      <x:c r="G128" s="24"/>
      <x:c r="H128" s="20"/>
    </x:row>
    <x:row r="129">
      <x:c r="A129" s="20"/>
      <x:c r="B129" s="20"/>
      <x:c r="C129" s="20"/>
      <x:c r="D129" s="20"/>
      <x:c r="E129" s="20"/>
      <x:c r="F129" s="20"/>
      <x:c r="G129" s="24"/>
      <x:c r="H129" s="20"/>
    </x:row>
    <x:row r="130">
      <x:c r="A130" s="20"/>
      <x:c r="B130" s="20"/>
      <x:c r="C130" s="20"/>
      <x:c r="D130" s="20"/>
      <x:c r="E130" s="20"/>
      <x:c r="F130" s="20"/>
      <x:c r="G130" s="24"/>
      <x:c r="H130" s="20"/>
    </x:row>
    <x:row r="131">
      <x:c r="A131" s="20"/>
      <x:c r="B131" s="20"/>
      <x:c r="C131" s="20"/>
      <x:c r="D131" s="20"/>
      <x:c r="E131" s="20"/>
      <x:c r="F131" s="20"/>
      <x:c r="G131" s="24"/>
      <x:c r="H131" s="20"/>
    </x:row>
    <x:row r="132">
      <x:c r="A132" s="20"/>
      <x:c r="B132" s="20"/>
      <x:c r="C132" s="20"/>
      <x:c r="D132" s="20"/>
      <x:c r="E132" s="20"/>
      <x:c r="F132" s="20"/>
      <x:c r="G132" s="24"/>
      <x:c r="H132" s="20"/>
    </x:row>
    <x:row r="133">
      <x:c r="A133" s="20"/>
      <x:c r="B133" s="20"/>
      <x:c r="C133" s="20"/>
      <x:c r="D133" s="20"/>
      <x:c r="E133" s="20"/>
      <x:c r="F133" s="20"/>
      <x:c r="G133" s="24"/>
      <x:c r="H133" s="20"/>
    </x:row>
    <x:row r="134">
      <x:c r="A134" s="20"/>
      <x:c r="B134" s="20"/>
      <x:c r="C134" s="20"/>
      <x:c r="D134" s="20"/>
      <x:c r="E134" s="20"/>
      <x:c r="F134" s="20"/>
      <x:c r="G134" s="24"/>
      <x:c r="H134" s="20"/>
    </x:row>
    <x:row r="135">
      <x:c r="A135" s="20"/>
      <x:c r="B135" s="20"/>
      <x:c r="C135" s="20"/>
      <x:c r="D135" s="20"/>
      <x:c r="E135" s="20"/>
      <x:c r="F135" s="20"/>
      <x:c r="G135" s="24"/>
      <x:c r="H135" s="20"/>
    </x:row>
    <x:row r="136">
      <x:c r="A136" s="20"/>
      <x:c r="B136" s="20"/>
      <x:c r="C136" s="20"/>
      <x:c r="D136" s="20"/>
      <x:c r="E136" s="20"/>
      <x:c r="F136" s="20"/>
      <x:c r="G136" s="24"/>
      <x:c r="H136" s="20"/>
    </x:row>
    <x:row r="137">
      <x:c r="A137" s="20"/>
      <x:c r="B137" s="20"/>
      <x:c r="C137" s="20"/>
      <x:c r="D137" s="20"/>
      <x:c r="E137" s="20"/>
      <x:c r="F137" s="20"/>
      <x:c r="G137" s="24"/>
      <x:c r="H137" s="20"/>
    </x:row>
    <x:row r="138">
      <x:c r="A138" s="20"/>
      <x:c r="B138" s="20"/>
      <x:c r="C138" s="20"/>
      <x:c r="D138" s="20"/>
      <x:c r="E138" s="20"/>
      <x:c r="F138" s="20"/>
      <x:c r="G138" s="24"/>
      <x:c r="H138" s="20"/>
    </x:row>
    <x:row r="139">
      <x:c r="A139" s="20"/>
      <x:c r="B139" s="20"/>
      <x:c r="C139" s="20"/>
      <x:c r="D139" s="20"/>
      <x:c r="E139" s="20"/>
      <x:c r="F139" s="20"/>
      <x:c r="G139" s="24"/>
      <x:c r="H139" s="20"/>
    </x:row>
    <x:row r="140">
      <x:c r="A140" s="20"/>
      <x:c r="B140" s="20"/>
      <x:c r="C140" s="20"/>
      <x:c r="D140" s="20"/>
      <x:c r="E140" s="20"/>
      <x:c r="F140" s="20"/>
      <x:c r="G140" s="24"/>
      <x:c r="H140" s="20"/>
    </x:row>
    <x:row r="141">
      <x:c r="A141" s="20"/>
      <x:c r="B141" s="20"/>
      <x:c r="C141" s="20"/>
      <x:c r="D141" s="20"/>
      <x:c r="E141" s="20"/>
      <x:c r="F141" s="20"/>
      <x:c r="G141" s="24"/>
      <x:c r="H141" s="20"/>
    </x:row>
    <x:row r="142">
      <x:c r="A142" s="20"/>
      <x:c r="B142" s="20"/>
      <x:c r="C142" s="20"/>
      <x:c r="D142" s="20"/>
      <x:c r="E142" s="20"/>
      <x:c r="F142" s="20"/>
      <x:c r="G142" s="24"/>
      <x:c r="H142" s="20"/>
    </x:row>
    <x:row r="143">
      <x:c r="A143" s="20"/>
      <x:c r="B143" s="20"/>
      <x:c r="C143" s="20"/>
      <x:c r="D143" s="20"/>
      <x:c r="E143" s="20"/>
      <x:c r="F143" s="20"/>
      <x:c r="G143" s="24"/>
      <x:c r="H143" s="20"/>
    </x:row>
    <x:row r="144">
      <x:c r="A144" s="20"/>
      <x:c r="B144" s="20"/>
      <x:c r="C144" s="20"/>
      <x:c r="D144" s="20"/>
      <x:c r="E144" s="20"/>
      <x:c r="F144" s="20"/>
      <x:c r="G144" s="24"/>
      <x:c r="H144" s="20"/>
    </x:row>
    <x:row r="145">
      <x:c r="A145" s="20"/>
      <x:c r="B145" s="20"/>
      <x:c r="C145" s="20"/>
      <x:c r="D145" s="20"/>
      <x:c r="E145" s="20"/>
      <x:c r="F145" s="20"/>
      <x:c r="G145" s="24"/>
      <x:c r="H145" s="20"/>
    </x:row>
    <x:row r="146">
      <x:c r="A146" s="20"/>
      <x:c r="B146" s="20"/>
      <x:c r="C146" s="20"/>
      <x:c r="D146" s="20"/>
      <x:c r="E146" s="20"/>
      <x:c r="F146" s="20"/>
      <x:c r="G146" s="24"/>
      <x:c r="H146" s="20"/>
    </x:row>
    <x:row r="147">
      <x:c r="A147" s="20"/>
      <x:c r="B147" s="20"/>
      <x:c r="C147" s="20"/>
      <x:c r="D147" s="20"/>
      <x:c r="E147" s="20"/>
      <x:c r="F147" s="20"/>
      <x:c r="G147" s="24"/>
      <x:c r="H147" s="20"/>
    </x:row>
    <x:row r="148">
      <x:c r="A148" s="20"/>
      <x:c r="B148" s="20"/>
      <x:c r="C148" s="20"/>
      <x:c r="D148" s="20"/>
      <x:c r="E148" s="20"/>
      <x:c r="F148" s="20"/>
      <x:c r="G148" s="24"/>
      <x:c r="H148" s="20"/>
    </x:row>
    <x:row r="149">
      <x:c r="A149" s="20"/>
      <x:c r="B149" s="20"/>
      <x:c r="C149" s="20"/>
      <x:c r="D149" s="20"/>
      <x:c r="E149" s="20"/>
      <x:c r="F149" s="20"/>
      <x:c r="G149" s="24"/>
      <x:c r="H149" s="20"/>
    </x:row>
    <x:row r="150">
      <x:c r="A150" s="20"/>
      <x:c r="B150" s="20"/>
      <x:c r="C150" s="20"/>
      <x:c r="D150" s="20"/>
      <x:c r="E150" s="20"/>
      <x:c r="F150" s="20"/>
      <x:c r="G150" s="24"/>
      <x:c r="H150" s="20"/>
    </x:row>
    <x:row r="151">
      <x:c r="A151" s="20"/>
      <x:c r="B151" s="20"/>
      <x:c r="C151" s="20"/>
      <x:c r="D151" s="20"/>
      <x:c r="E151" s="20"/>
      <x:c r="F151" s="20"/>
      <x:c r="G151" s="24"/>
      <x:c r="H151" s="20"/>
    </x:row>
    <x:row r="152">
      <x:c r="A152" s="20"/>
      <x:c r="B152" s="20"/>
      <x:c r="C152" s="20"/>
      <x:c r="D152" s="20"/>
      <x:c r="E152" s="20"/>
      <x:c r="F152" s="20"/>
      <x:c r="G152" s="24"/>
      <x:c r="H152" s="20"/>
    </x:row>
    <x:row r="153">
      <x:c r="A153" s="20"/>
      <x:c r="B153" s="20"/>
      <x:c r="C153" s="20"/>
      <x:c r="D153" s="20"/>
      <x:c r="E153" s="20"/>
      <x:c r="F153" s="20"/>
      <x:c r="G153" s="24"/>
      <x:c r="H153" s="20"/>
    </x:row>
    <x:row r="154">
      <x:c r="A154" s="20"/>
      <x:c r="B154" s="20"/>
      <x:c r="C154" s="20"/>
      <x:c r="D154" s="20"/>
      <x:c r="E154" s="20"/>
      <x:c r="F154" s="20"/>
      <x:c r="G154" s="24"/>
      <x:c r="H154" s="20"/>
    </x:row>
    <x:row r="155">
      <x:c r="A155" s="20"/>
      <x:c r="B155" s="20"/>
      <x:c r="C155" s="20"/>
      <x:c r="D155" s="20"/>
      <x:c r="E155" s="20"/>
      <x:c r="F155" s="20"/>
      <x:c r="G155" s="24"/>
      <x:c r="H155" s="20"/>
    </x:row>
    <x:row r="156">
      <x:c r="A156" s="20"/>
      <x:c r="B156" s="20"/>
      <x:c r="C156" s="20"/>
      <x:c r="D156" s="20"/>
      <x:c r="E156" s="20"/>
      <x:c r="F156" s="20"/>
      <x:c r="G156" s="24"/>
      <x:c r="H156" s="20"/>
    </x:row>
    <x:row r="157">
      <x:c r="A157" s="20"/>
      <x:c r="B157" s="20"/>
      <x:c r="C157" s="20"/>
      <x:c r="D157" s="20"/>
      <x:c r="E157" s="20"/>
      <x:c r="F157" s="20"/>
      <x:c r="G157" s="24"/>
      <x:c r="H157" s="20"/>
    </x:row>
    <x:row r="158">
      <x:c r="A158" s="20"/>
      <x:c r="B158" s="20"/>
      <x:c r="C158" s="20"/>
      <x:c r="D158" s="20"/>
      <x:c r="E158" s="20"/>
      <x:c r="F158" s="20"/>
      <x:c r="G158" s="24"/>
      <x:c r="H158" s="20"/>
    </x:row>
    <x:row r="159">
      <x:c r="A159" s="20"/>
      <x:c r="B159" s="20"/>
      <x:c r="C159" s="20"/>
      <x:c r="D159" s="20"/>
      <x:c r="E159" s="20"/>
      <x:c r="F159" s="20"/>
      <x:c r="G159" s="24"/>
      <x:c r="H159" s="20"/>
    </x:row>
    <x:row r="160">
      <x:c r="A160" s="20"/>
      <x:c r="B160" s="20"/>
      <x:c r="C160" s="20"/>
      <x:c r="D160" s="20"/>
      <x:c r="E160" s="20"/>
      <x:c r="F160" s="20"/>
      <x:c r="G160" s="24"/>
      <x:c r="H160" s="20"/>
    </x:row>
    <x:row r="161">
      <x:c r="A161" s="20"/>
      <x:c r="B161" s="20"/>
      <x:c r="C161" s="20"/>
      <x:c r="D161" s="20"/>
      <x:c r="E161" s="20"/>
      <x:c r="F161" s="20"/>
      <x:c r="G161" s="24"/>
      <x:c r="H161" s="20"/>
    </x:row>
    <x:row r="162">
      <x:c r="A162" s="20"/>
      <x:c r="B162" s="20"/>
      <x:c r="C162" s="20"/>
      <x:c r="D162" s="20"/>
      <x:c r="E162" s="20"/>
      <x:c r="F162" s="20"/>
      <x:c r="G162" s="24"/>
      <x:c r="H162" s="20"/>
    </x:row>
    <x:row r="163">
      <x:c r="A163" s="20"/>
      <x:c r="B163" s="20"/>
      <x:c r="C163" s="20"/>
      <x:c r="D163" s="20"/>
      <x:c r="E163" s="20"/>
      <x:c r="F163" s="20"/>
      <x:c r="G163" s="24"/>
      <x:c r="H163" s="20"/>
    </x:row>
    <x:row r="164">
      <x:c r="A164" s="20"/>
      <x:c r="B164" s="20"/>
      <x:c r="C164" s="20"/>
      <x:c r="D164" s="20"/>
      <x:c r="E164" s="20"/>
      <x:c r="F164" s="20"/>
      <x:c r="G164" s="24"/>
      <x:c r="H164" s="20"/>
    </x:row>
    <x:row r="165">
      <x:c r="A165" s="20"/>
      <x:c r="B165" s="20"/>
      <x:c r="C165" s="20"/>
      <x:c r="D165" s="20"/>
      <x:c r="E165" s="20"/>
      <x:c r="F165" s="20"/>
      <x:c r="G165" s="24"/>
      <x:c r="H165" s="20"/>
    </x:row>
    <x:row r="166">
      <x:c r="A166" s="20"/>
      <x:c r="B166" s="20"/>
      <x:c r="C166" s="20"/>
      <x:c r="D166" s="20"/>
      <x:c r="E166" s="20"/>
      <x:c r="F166" s="20"/>
      <x:c r="G166" s="24"/>
      <x:c r="H166" s="20"/>
    </x:row>
    <x:row r="167">
      <x:c r="A167" s="20"/>
      <x:c r="B167" s="20"/>
      <x:c r="C167" s="20"/>
      <x:c r="D167" s="20"/>
      <x:c r="E167" s="20"/>
      <x:c r="F167" s="20"/>
      <x:c r="G167" s="24"/>
      <x:c r="H167" s="20"/>
    </x:row>
    <x:row r="168">
      <x:c r="A168" s="20"/>
      <x:c r="B168" s="20"/>
      <x:c r="C168" s="20"/>
      <x:c r="D168" s="20"/>
      <x:c r="E168" s="20"/>
      <x:c r="F168" s="20"/>
      <x:c r="G168" s="24"/>
      <x:c r="H168" s="20"/>
    </x:row>
    <x:row r="169">
      <x:c r="A169" s="20"/>
      <x:c r="B169" s="20"/>
      <x:c r="C169" s="20"/>
      <x:c r="D169" s="20"/>
      <x:c r="E169" s="20"/>
      <x:c r="F169" s="20"/>
      <x:c r="G169" s="24"/>
      <x:c r="H169" s="20"/>
    </x:row>
    <x:row r="170">
      <x:c r="A170" s="20"/>
      <x:c r="B170" s="20"/>
      <x:c r="C170" s="20"/>
      <x:c r="D170" s="20"/>
      <x:c r="E170" s="20"/>
      <x:c r="F170" s="20"/>
      <x:c r="G170" s="24"/>
      <x:c r="H170" s="20"/>
    </x:row>
    <x:row r="171">
      <x:c r="A171" s="20"/>
      <x:c r="B171" s="20"/>
      <x:c r="C171" s="20"/>
      <x:c r="D171" s="20"/>
      <x:c r="E171" s="20"/>
      <x:c r="F171" s="20"/>
      <x:c r="G171" s="24"/>
      <x:c r="H171" s="20"/>
    </x:row>
    <x:row r="172">
      <x:c r="A172" s="20"/>
      <x:c r="B172" s="20"/>
      <x:c r="C172" s="20"/>
      <x:c r="D172" s="20"/>
      <x:c r="E172" s="20"/>
      <x:c r="F172" s="20"/>
      <x:c r="G172" s="24"/>
      <x:c r="H172" s="20"/>
    </x:row>
    <x:row r="173">
      <x:c r="A173" s="20"/>
      <x:c r="B173" s="20"/>
      <x:c r="C173" s="20"/>
      <x:c r="D173" s="20"/>
      <x:c r="E173" s="20"/>
      <x:c r="F173" s="20"/>
      <x:c r="G173" s="24"/>
      <x:c r="H173" s="20"/>
    </x:row>
    <x:row r="174">
      <x:c r="A174" s="20"/>
      <x:c r="B174" s="20"/>
      <x:c r="C174" s="20"/>
      <x:c r="D174" s="20"/>
      <x:c r="E174" s="20"/>
      <x:c r="F174" s="20"/>
      <x:c r="G174" s="24"/>
      <x:c r="H174" s="20"/>
    </x:row>
    <x:row r="175">
      <x:c r="A175" s="20"/>
      <x:c r="B175" s="20"/>
      <x:c r="C175" s="20"/>
      <x:c r="D175" s="20"/>
      <x:c r="E175" s="20"/>
      <x:c r="F175" s="20"/>
      <x:c r="G175" s="24"/>
      <x:c r="H175" s="20"/>
    </x:row>
    <x:row r="176">
      <x:c r="A176" s="20"/>
      <x:c r="B176" s="20"/>
      <x:c r="C176" s="20"/>
      <x:c r="D176" s="20"/>
      <x:c r="E176" s="20"/>
      <x:c r="F176" s="20"/>
      <x:c r="G176" s="24"/>
      <x:c r="H176" s="20"/>
    </x:row>
    <x:row r="177">
      <x:c r="A177" s="20"/>
      <x:c r="B177" s="20"/>
      <x:c r="C177" s="20"/>
      <x:c r="D177" s="20"/>
      <x:c r="E177" s="20"/>
      <x:c r="F177" s="20"/>
      <x:c r="G177" s="24"/>
      <x:c r="H177" s="20"/>
    </x:row>
    <x:row r="178">
      <x:c r="A178" s="20"/>
      <x:c r="B178" s="20"/>
      <x:c r="C178" s="20"/>
      <x:c r="D178" s="20"/>
      <x:c r="E178" s="20"/>
      <x:c r="F178" s="20"/>
      <x:c r="G178" s="24"/>
      <x:c r="H178" s="20"/>
    </x:row>
    <x:row r="179">
      <x:c r="A179" s="20"/>
      <x:c r="B179" s="20"/>
      <x:c r="C179" s="20"/>
      <x:c r="D179" s="20"/>
      <x:c r="E179" s="20"/>
      <x:c r="F179" s="20"/>
      <x:c r="G179" s="24"/>
      <x:c r="H179" s="20"/>
    </x:row>
    <x:row r="180">
      <x:c r="A180" s="20"/>
      <x:c r="B180" s="20"/>
      <x:c r="C180" s="20"/>
      <x:c r="D180" s="20"/>
      <x:c r="E180" s="20"/>
      <x:c r="F180" s="20"/>
      <x:c r="G180" s="24"/>
      <x:c r="H180" s="20"/>
    </x:row>
    <x:row r="181">
      <x:c r="A181" s="20"/>
      <x:c r="B181" s="20"/>
      <x:c r="C181" s="20"/>
      <x:c r="D181" s="20"/>
      <x:c r="E181" s="20"/>
      <x:c r="F181" s="20"/>
      <x:c r="G181" s="24"/>
      <x:c r="H181" s="20"/>
    </x:row>
    <x:row r="182">
      <x:c r="A182" s="20"/>
      <x:c r="B182" s="20"/>
      <x:c r="C182" s="20"/>
      <x:c r="D182" s="20"/>
      <x:c r="E182" s="20"/>
      <x:c r="F182" s="20"/>
      <x:c r="G182" s="24"/>
      <x:c r="H182" s="20"/>
    </x:row>
    <x:row r="183">
      <x:c r="A183" s="20"/>
      <x:c r="B183" s="20"/>
      <x:c r="C183" s="20"/>
      <x:c r="D183" s="20"/>
      <x:c r="E183" s="20"/>
      <x:c r="F183" s="20"/>
      <x:c r="G183" s="24"/>
      <x:c r="H183" s="20"/>
    </x:row>
    <x:row r="184">
      <x:c r="A184" s="20"/>
      <x:c r="B184" s="20"/>
      <x:c r="C184" s="20"/>
      <x:c r="D184" s="20"/>
      <x:c r="E184" s="20"/>
      <x:c r="F184" s="20"/>
      <x:c r="G184" s="24"/>
      <x:c r="H184" s="20"/>
    </x:row>
    <x:row r="185">
      <x:c r="A185" s="20"/>
      <x:c r="B185" s="20"/>
      <x:c r="C185" s="20"/>
      <x:c r="D185" s="20"/>
      <x:c r="E185" s="20"/>
      <x:c r="F185" s="20"/>
      <x:c r="G185" s="24"/>
      <x:c r="H185" s="20"/>
    </x:row>
    <x:row r="186">
      <x:c r="A186" s="20"/>
      <x:c r="B186" s="20"/>
      <x:c r="C186" s="20"/>
      <x:c r="D186" s="20"/>
      <x:c r="E186" s="20"/>
      <x:c r="F186" s="20"/>
      <x:c r="G186" s="24"/>
      <x:c r="H186" s="20"/>
    </x:row>
    <x:row r="187">
      <x:c r="A187" s="20"/>
      <x:c r="B187" s="20"/>
      <x:c r="C187" s="20"/>
      <x:c r="D187" s="20"/>
      <x:c r="E187" s="20"/>
      <x:c r="F187" s="20"/>
      <x:c r="G187" s="24"/>
      <x:c r="H187" s="20"/>
    </x:row>
    <x:row r="188">
      <x:c r="A188" s="20"/>
      <x:c r="B188" s="20"/>
      <x:c r="C188" s="20"/>
      <x:c r="D188" s="20"/>
      <x:c r="E188" s="20"/>
      <x:c r="F188" s="20"/>
      <x:c r="G188" s="24"/>
      <x:c r="H188" s="20"/>
    </x:row>
    <x:row r="189">
      <x:c r="A189" s="20"/>
      <x:c r="B189" s="20"/>
      <x:c r="C189" s="20"/>
      <x:c r="D189" s="20"/>
      <x:c r="E189" s="20"/>
      <x:c r="F189" s="20"/>
      <x:c r="G189" s="24"/>
      <x:c r="H189" s="20"/>
    </x:row>
    <x:row r="190">
      <x:c r="A190" s="20"/>
      <x:c r="B190" s="20"/>
      <x:c r="C190" s="20"/>
      <x:c r="D190" s="20"/>
      <x:c r="E190" s="20"/>
      <x:c r="F190" s="20"/>
      <x:c r="G190" s="24"/>
      <x:c r="H190" s="20"/>
    </x:row>
    <x:row r="191">
      <x:c r="A191" s="20"/>
      <x:c r="B191" s="20"/>
      <x:c r="C191" s="20"/>
      <x:c r="D191" s="20"/>
      <x:c r="E191" s="20"/>
      <x:c r="F191" s="20"/>
      <x:c r="G191" s="24"/>
      <x:c r="H191" s="20"/>
    </x:row>
    <x:row r="192">
      <x:c r="A192" s="20"/>
      <x:c r="B192" s="20"/>
      <x:c r="C192" s="20"/>
      <x:c r="D192" s="20"/>
      <x:c r="E192" s="20"/>
      <x:c r="F192" s="20"/>
      <x:c r="G192" s="24"/>
      <x:c r="H192" s="20"/>
    </x:row>
    <x:row r="193">
      <x:c r="A193" s="20"/>
      <x:c r="B193" s="20"/>
      <x:c r="C193" s="20"/>
      <x:c r="D193" s="20"/>
      <x:c r="E193" s="20"/>
      <x:c r="F193" s="20"/>
      <x:c r="G193" s="24"/>
      <x:c r="H193" s="20"/>
    </x:row>
    <x:row r="194">
      <x:c r="A194" s="20"/>
      <x:c r="B194" s="20"/>
      <x:c r="C194" s="20"/>
      <x:c r="D194" s="20"/>
      <x:c r="E194" s="20"/>
      <x:c r="F194" s="20"/>
      <x:c r="G194" s="24"/>
      <x:c r="H194" s="20"/>
    </x:row>
    <x:row r="195">
      <x:c r="A195" s="20"/>
      <x:c r="B195" s="20"/>
      <x:c r="C195" s="20"/>
      <x:c r="D195" s="20"/>
      <x:c r="E195" s="20"/>
      <x:c r="F195" s="20"/>
      <x:c r="G195" s="24"/>
      <x:c r="H195" s="20"/>
    </x:row>
    <x:row r="196">
      <x:c r="A196" s="20"/>
      <x:c r="B196" s="20"/>
      <x:c r="C196" s="20"/>
      <x:c r="D196" s="20"/>
      <x:c r="E196" s="20"/>
      <x:c r="F196" s="20"/>
      <x:c r="G196" s="24"/>
      <x:c r="H196" s="20"/>
    </x:row>
    <x:row r="197">
      <x:c r="A197" s="20"/>
      <x:c r="B197" s="20"/>
      <x:c r="C197" s="20"/>
      <x:c r="D197" s="20"/>
      <x:c r="E197" s="20"/>
      <x:c r="F197" s="20"/>
      <x:c r="G197" s="24"/>
      <x:c r="H197" s="20"/>
    </x:row>
    <x:row r="198">
      <x:c r="A198" s="20"/>
      <x:c r="B198" s="20"/>
      <x:c r="C198" s="20"/>
      <x:c r="D198" s="20"/>
      <x:c r="E198" s="20"/>
      <x:c r="F198" s="20"/>
      <x:c r="G198" s="24"/>
      <x:c r="H198" s="20"/>
    </x:row>
    <x:row r="199">
      <x:c r="A199" s="20"/>
      <x:c r="B199" s="20"/>
      <x:c r="C199" s="20"/>
      <x:c r="D199" s="20"/>
      <x:c r="E199" s="20"/>
      <x:c r="F199" s="20"/>
      <x:c r="G199" s="24"/>
      <x:c r="H199" s="20"/>
    </x:row>
    <x:row r="200">
      <x:c r="A200" s="20"/>
      <x:c r="B200" s="20"/>
      <x:c r="C200" s="20"/>
      <x:c r="D200" s="20"/>
      <x:c r="E200" s="20"/>
      <x:c r="F200" s="20"/>
      <x:c r="G200" s="24"/>
      <x:c r="H200" s="20"/>
    </x:row>
  </x:sheetData>
  <x:pageMargins left="0.7" right="0.7" top="0.75" bottom="0.75" header="0.3" footer="0.3"/>
  <x:tableParts count="1">
    <x:tablePart xmlns:r="http://schemas.openxmlformats.org/officeDocument/2006/relationships" r:id="Rc4961033c7cf49a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6" max="6" width="26" hidden="0" customWidth="1"/>
    <x:col min="7" max="7" width="48" hidden="0" customWidth="1"/>
    <x:col min="9" max="9" width="14" hidden="0" customWidth="1"/>
    <x:col min="10" max="10" width="52" hidden="0" customWidth="1"/>
  </x:cols>
  <x:sheetData>
    <x:row r="1">
      <x:c r="A1" s="14" t="str">
        <x:v>Status</x:v>
      </x:c>
      <x:c r="B1" s="14" t="str">
        <x:v>Test Type</x:v>
      </x:c>
      <x:c r="C1" s="14" t="str">
        <x:v>Priority</x:v>
      </x:c>
      <x:c r="D1" s="14" t="str">
        <x:v>Area</x:v>
      </x:c>
      <x:c r="E1" s="20"/>
      <x:c r="F1" s="14" t="str">
        <x:v>Reference</x:v>
      </x:c>
      <x:c r="G1" s="14" t="str">
        <x:v>Location</x:v>
      </x:c>
      <x:c r="I1" s="31" t="str">
        <x:v>Test Owner</x:v>
      </x:c>
      <x:c r="J1" s="31" t="str">
        <x:v>Responsibility</x:v>
      </x:c>
    </x:row>
    <x:row r="2">
      <x:c r="A2" s="20" t="str">
        <x:v>Not Run</x:v>
      </x:c>
      <x:c r="B2" s="20" t="str">
        <x:v>Unit</x:v>
      </x:c>
      <x:c r="C2" s="20" t="str">
        <x:v>Critical</x:v>
      </x:c>
      <x:c r="D2" s="20" t="str">
        <x:v>Authentication</x:v>
      </x:c>
      <x:c r="E2" s="20"/>
      <x:c r="F2" s="20" t="str">
        <x:v>Sprint 1 Test Plan</x:v>
      </x:c>
      <x:c r="G2" s="20" t="str">
        <x:v>docs/testing/sprint-1-test-plan.md</x:v>
      </x:c>
      <x:c r="I2" s="20" t="str">
        <x:v>MD</x:v>
      </x:c>
      <x:c r="J2" s="20" t="str">
        <x:v>Authentication implementation tests plus core Student Profile API behaviour</x:v>
      </x:c>
    </x:row>
    <x:row r="3">
      <x:c r="A3" s="20" t="str">
        <x:v>Pass</x:v>
      </x:c>
      <x:c r="B3" s="20" t="str">
        <x:v>API</x:v>
      </x:c>
      <x:c r="C3" s="20" t="str">
        <x:v>High</x:v>
      </x:c>
      <x:c r="D3" s="20" t="str">
        <x:v>JWT</x:v>
      </x:c>
      <x:c r="E3" s="20"/>
      <x:c r="F3" s="20" t="str">
        <x:v>Sprint 1 Integration Plan</x:v>
      </x:c>
      <x:c r="G3" s="20" t="str">
        <x:v>docs/system-design/sprint-1-integration-plan.md</x:v>
      </x:c>
      <x:c r="I3" s="20" t="str">
        <x:v>Joyee</x:v>
      </x:c>
      <x:c r="J3" s="20" t="str">
        <x:v>Frontend authentication/Profile tests and frontend secret exposure check</x:v>
      </x:c>
    </x:row>
    <x:row r="4">
      <x:c r="A4" s="20" t="str">
        <x:v>Fail</x:v>
      </x:c>
      <x:c r="B4" s="20" t="str">
        <x:v>Permission</x:v>
      </x:c>
      <x:c r="C4" s="20" t="str">
        <x:v>Medium</x:v>
      </x:c>
      <x:c r="D4" s="20" t="str">
        <x:v>Current User</x:v>
      </x:c>
      <x:c r="E4" s="20"/>
      <x:c r="F4" s="20" t="str">
        <x:v>REST API Design</x:v>
      </x:c>
      <x:c r="G4" s="20" t="str">
        <x:v>docs/system-design/rest-api-design.md</x:v>
      </x:c>
      <x:c r="I4" s="20" t="str">
        <x:v>Jerald</x:v>
      </x:c>
      <x:c r="J4" s="20" t="str">
        <x:v>Backend Profile verification, ownership, related profile data, database, CORS, and integration support</x:v>
      </x:c>
    </x:row>
    <x:row r="5">
      <x:c r="A5" s="20" t="str">
        <x:v>Blocked</x:v>
      </x:c>
      <x:c r="B5" s="20" t="str">
        <x:v>Integration</x:v>
      </x:c>
      <x:c r="C5" s="20" t="str">
        <x:v>Low</x:v>
      </x:c>
      <x:c r="D5" s="20" t="str">
        <x:v>Student Profile</x:v>
      </x:c>
      <x:c r="E5" s="20"/>
      <x:c r="F5" s="20" t="str">
        <x:v>Security Architecture</x:v>
      </x:c>
      <x:c r="G5" s="20" t="str">
        <x:v>docs/system-design/security-architecture.md</x:v>
      </x:c>
      <x:c r="I5" s="20" t="str">
        <x:v>Shared</x:v>
      </x:c>
      <x:c r="J5" s="20" t="str">
        <x:v>Cross-team security, persistence, and regression checks</x:v>
      </x:c>
    </x:row>
    <x:row r="6">
      <x:c r="A6" s="20"/>
      <x:c r="B6" s="20" t="str">
        <x:v>Manual</x:v>
      </x:c>
      <x:c r="C6" s="20"/>
      <x:c r="D6" s="20" t="str">
        <x:v>Ownership</x:v>
      </x:c>
      <x:c r="E6" s="20"/>
      <x:c r="F6" s="20" t="str">
        <x:v>Student Profile Data Design</x:v>
      </x:c>
      <x:c r="G6" s="20" t="str">
        <x:v>docs/system-design/student-profile-data-design.md</x:v>
      </x:c>
    </x:row>
    <x:row r="7">
      <x:c r="A7" s="20"/>
      <x:c r="B7" s="20" t="str">
        <x:v>Regression</x:v>
      </x:c>
      <x:c r="C7" s="20"/>
      <x:c r="D7" s="20" t="str">
        <x:v>Skills</x:v>
      </x:c>
      <x:c r="E7" s="20"/>
      <x:c r="F7" s="20" t="str">
        <x:v>Auth API Testing</x:v>
      </x:c>
      <x:c r="G7" s="20" t="str">
        <x:v>backend/docs/AUTH_API_TESTING.md</x:v>
      </x:c>
    </x:row>
    <x:row r="8">
      <x:c r="A8" s="20"/>
      <x:c r="B8" s="20" t="str">
        <x:v>Security</x:v>
      </x:c>
      <x:c r="C8" s="20"/>
      <x:c r="D8" s="20" t="str">
        <x:v>Interests</x:v>
      </x:c>
      <x:c r="E8" s="20"/>
      <x:c r="F8" s="20"/>
      <x:c r="G8" s="20"/>
    </x:row>
    <x:row r="9">
      <x:c r="A9" s="20"/>
      <x:c r="B9" s="20" t="str">
        <x:v>Database</x:v>
      </x:c>
      <x:c r="C9" s="20"/>
      <x:c r="D9" s="20" t="str">
        <x:v>Education</x:v>
      </x:c>
      <x:c r="E9" s="20"/>
      <x:c r="F9" s="37" t="str">
        <x:v>Field Guidance</x:v>
      </x:c>
      <x:c r="G9" s="37" t="str">
        <x:v>Meaning</x:v>
      </x:c>
    </x:row>
    <x:row r="10">
      <x:c r="A10" s="20"/>
      <x:c r="B10" s="20" t="str">
        <x:v>Validation</x:v>
      </x:c>
      <x:c r="C10" s="20"/>
      <x:c r="D10" s="20" t="str">
        <x:v>Experience</x:v>
      </x:c>
      <x:c r="E10" s="20"/>
      <x:c r="F10" s="20" t="str">
        <x:v>Test Owner</x:v>
      </x:c>
      <x:c r="G10" s="20" t="str">
        <x:v>Person responsible for ensuring the test is completed</x:v>
      </x:c>
    </x:row>
    <x:row r="11">
      <x:c r="A11" s="20"/>
      <x:c r="B11" s="20"/>
      <x:c r="C11" s="20"/>
      <x:c r="D11" s="20" t="str">
        <x:v>Projects</x:v>
      </x:c>
      <x:c r="E11" s="20"/>
      <x:c r="F11" s="20" t="str">
        <x:v>Tester</x:v>
      </x:c>
      <x:c r="G11" s="20" t="str">
        <x:v>Person who actually executes the test and records the result</x:v>
      </x:c>
    </x:row>
    <x:row r="12">
      <x:c r="A12" s="20"/>
      <x:c r="B12" s="20"/>
      <x:c r="C12" s="20"/>
      <x:c r="D12" s="20" t="str">
        <x:v>Career Goals</x:v>
      </x:c>
      <x:c r="E12" s="20"/>
      <x:c r="F12" s="20"/>
      <x:c r="G12" s="20"/>
    </x:row>
    <x:row r="13">
      <x:c r="A13" s="20"/>
      <x:c r="B13" s="20"/>
      <x:c r="C13" s="20"/>
      <x:c r="D13" s="20" t="str">
        <x:v>Personality</x:v>
      </x:c>
      <x:c r="E13" s="20"/>
      <x:c r="F13" s="20"/>
      <x:c r="G13" s="20"/>
    </x:row>
    <x:row r="14">
      <x:c r="A14" s="20"/>
      <x:c r="B14" s="20"/>
      <x:c r="C14" s="20"/>
      <x:c r="D14" s="20" t="str">
        <x:v>Frontend Auth</x:v>
      </x:c>
      <x:c r="E14" s="20"/>
      <x:c r="F14" s="20"/>
      <x:c r="G14" s="20"/>
    </x:row>
    <x:row r="15">
      <x:c r="A15" s="20"/>
      <x:c r="B15" s="20"/>
      <x:c r="C15" s="20"/>
      <x:c r="D15" s="20" t="str">
        <x:v>Frontend Profile</x:v>
      </x:c>
      <x:c r="E15" s="20"/>
      <x:c r="F15" s="20"/>
      <x:c r="G15" s="20"/>
    </x:row>
    <x:row r="16">
      <x:c r="A16" s="20"/>
      <x:c r="B16" s="20"/>
      <x:c r="C16" s="20"/>
      <x:c r="D16" s="20" t="str">
        <x:v>Database</x:v>
      </x:c>
      <x:c r="E16" s="20"/>
      <x:c r="F16" s="20"/>
      <x:c r="G16" s="20"/>
    </x:row>
    <x:row r="17">
      <x:c r="A17" s="20"/>
      <x:c r="B17" s="20"/>
      <x:c r="C17" s="20"/>
      <x:c r="D17" s="20" t="str">
        <x:v>Security</x:v>
      </x:c>
      <x:c r="E17" s="20"/>
      <x:c r="F17" s="20"/>
      <x:c r="G17" s="20"/>
    </x:row>
    <x:row r="18">
      <x:c r="A18" s="20"/>
      <x:c r="B18" s="20"/>
      <x:c r="C18" s="20"/>
      <x:c r="D18" s="20" t="str">
        <x:v>Regression</x:v>
      </x:c>
      <x:c r="E18" s="20"/>
      <x:c r="F18" s="20"/>
      <x:c r="G18" s="20"/>
    </x:row>
    <x:row r="19">
      <x:c r="A19" s="20"/>
      <x:c r="B19" s="20"/>
      <x:c r="C19" s="20"/>
      <x:c r="D19" s="20"/>
      <x:c r="E19" s="20"/>
      <x:c r="F19" s="20"/>
      <x:c r="G19" s="20"/>
    </x:row>
    <x:row r="20">
      <x:c r="A20" s="20"/>
      <x:c r="B20" s="20"/>
      <x:c r="C20" s="20"/>
      <x:c r="D20" s="20"/>
      <x:c r="E20" s="20"/>
      <x:c r="F20" s="20"/>
      <x:c r="G20" s="20"/>
    </x:row>
    <x:row r="21">
      <x:c r="A21" s="20"/>
      <x:c r="B21" s="20"/>
      <x:c r="C21" s="20"/>
      <x:c r="D21" s="20"/>
      <x:c r="E21" s="20"/>
      <x:c r="F21" s="20"/>
      <x:c r="G21" s="20"/>
    </x:row>
    <x:row r="22">
      <x:c r="A22" s="20"/>
      <x:c r="B22" s="20"/>
      <x:c r="C22" s="20"/>
      <x:c r="D22" s="20"/>
      <x:c r="E22" s="20"/>
      <x:c r="F22" s="20"/>
      <x:c r="G22" s="20"/>
    </x:row>
    <x:row r="23">
      <x:c r="A23" s="20"/>
      <x:c r="B23" s="20"/>
      <x:c r="C23" s="20"/>
      <x:c r="D23" s="20"/>
      <x:c r="E23" s="20"/>
      <x:c r="F23" s="20"/>
      <x:c r="G23" s="20"/>
    </x:row>
    <x:row r="24">
      <x:c r="A24" s="20"/>
      <x:c r="B24" s="20"/>
      <x:c r="C24" s="20"/>
      <x:c r="D24" s="20"/>
      <x:c r="E24" s="20"/>
      <x:c r="F24" s="20"/>
      <x:c r="G24" s="20"/>
    </x:row>
    <x:row r="25">
      <x:c r="A25" s="20"/>
      <x:c r="B25" s="20"/>
      <x:c r="C25" s="20"/>
      <x:c r="D25" s="20"/>
      <x:c r="E25" s="20"/>
      <x:c r="F25" s="20"/>
      <x:c r="G25" s="20"/>
    </x:row>
  </x:sheetData>
  <x:pageMargins left="0.7" right="0.7" top="0.75" bottom="0.75" header="0.3" footer="0.3"/>
  <x:tableParts count="1">
    <x:tablePart xmlns:r="http://schemas.openxmlformats.org/officeDocument/2006/relationships" r:id="R31d4a3399f8f4ce4"/>
  </x:tableParts>
</x:worksheet>
</file>