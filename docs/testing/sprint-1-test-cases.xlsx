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mmary" sheetId="1" state="visible" r:id="rId1"/>
    <sheet name="Test Cases" sheetId="2" state="visible" r:id="rId2"/>
    <sheet name="Evidence Index" sheetId="3" state="visible" r:id="rId3"/>
    <sheet name="Reference" sheetId="4" state="visible" r:id="rId4"/>
  </sheets>
  <definedNames/>
  <calcPr calcId="191029" fullCalcOnLoad="1"/>
</workbook>
</file>

<file path=xl/styles.xml><?xml version="1.0" encoding="utf-8"?>
<styleSheet xmlns="http://schemas.openxmlformats.org/spreadsheetml/2006/main">
  <numFmts count="1">
    <numFmt numFmtId="164" formatCode="yyyy\-mm\-dd"/>
  </numFmts>
  <fonts count="11">
    <font>
      <name val="Carlito"/>
      <sz val="11"/>
    </font>
    <font>
      <name val="Carlito"/>
      <b val="1"/>
      <color rgb="FFFFFFFF"/>
      <sz val="16"/>
    </font>
    <font>
      <name val="Carlito"/>
      <b val="1"/>
      <color rgb="FF17365D"/>
      <sz val="11"/>
    </font>
    <font>
      <name val="Carlito"/>
      <sz val="11"/>
    </font>
    <font>
      <name val="Carlito"/>
      <b val="1"/>
      <color rgb="FF1F2937"/>
      <sz val="11"/>
    </font>
    <font>
      <name val="Aptos"/>
      <color rgb="FF1F2937"/>
      <sz val="10"/>
    </font>
    <font>
      <name val="Aptos"/>
      <b val="1"/>
      <color rgb="FFFFFFFF"/>
      <sz val="10"/>
    </font>
    <font>
      <name val="Aptos"/>
      <b val="1"/>
      <color rgb="FF17365D"/>
      <sz val="10"/>
    </font>
    <font>
      <name val="Aptos"/>
      <sz val="11"/>
    </font>
    <font>
      <name val="Aptos"/>
      <sz val="10"/>
    </font>
    <font>
      <name val="Carlito"/>
      <sz val="8"/>
    </font>
  </fonts>
  <fills count="9">
    <fill>
      <patternFill/>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4CCCC"/>
      </patternFill>
    </fill>
    <fill>
      <patternFill patternType="solid">
        <fgColor rgb="FFFFF2CC"/>
      </patternFill>
    </fill>
    <fill>
      <patternFill patternType="solid">
        <fgColor rgb="FFE7E6E6"/>
      </patternFill>
    </fill>
    <fill>
      <patternFill patternType="solid">
        <fgColor rgb="FFFFFFFF"/>
      </patternFill>
    </fill>
  </fills>
  <borders count="4">
    <border>
      <left/>
      <right/>
      <top/>
      <bottom/>
      <diagonal/>
    </border>
    <border>
      <left/>
      <right/>
      <top/>
      <bottom/>
      <diagonal/>
    </border>
    <border>
      <left/>
      <right/>
      <top/>
      <bottom style="thin">
        <color rgb="FFB7C9D6"/>
      </bottom>
      <diagonal/>
    </border>
    <border>
      <left/>
      <right/>
      <top/>
      <bottom style="thin">
        <color rgb="FF5B9BD5"/>
      </bottom>
      <diagonal/>
    </border>
  </borders>
  <cellStyleXfs count="7">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32">
    <xf numFmtId="0" fontId="0" fillId="0" borderId="0" pivotButton="0" quotePrefix="0" xfId="0"/>
    <xf numFmtId="0" fontId="0" fillId="0" borderId="0" applyAlignment="1" pivotButton="0" quotePrefix="0" xfId="0">
      <alignment wrapText="1"/>
    </xf>
    <xf numFmtId="164" fontId="0" fillId="0" borderId="0" applyAlignment="1" pivotButton="0" quotePrefix="0" xfId="0">
      <alignment wrapText="1"/>
    </xf>
    <xf numFmtId="0" fontId="2" fillId="3" borderId="2" applyAlignment="1" pivotButton="0" quotePrefix="0" xfId="0">
      <alignment horizontal="center" vertical="center" wrapText="1"/>
    </xf>
    <xf numFmtId="0" fontId="4" fillId="0" borderId="0" applyAlignment="1" pivotButton="0" quotePrefix="0" xfId="0">
      <alignment wrapText="1"/>
    </xf>
    <xf numFmtId="0" fontId="0" fillId="0" borderId="0" applyAlignment="1" pivotButton="0" quotePrefix="0" xfId="0">
      <alignment horizontal="center" wrapText="1"/>
    </xf>
    <xf numFmtId="0" fontId="4" fillId="4" borderId="0" applyAlignment="1" pivotButton="0" quotePrefix="0" xfId="0">
      <alignment wrapText="1"/>
    </xf>
    <xf numFmtId="0" fontId="0" fillId="4" borderId="0" applyAlignment="1" pivotButton="0" quotePrefix="0" xfId="0">
      <alignment horizontal="center" wrapText="1"/>
    </xf>
    <xf numFmtId="0" fontId="4" fillId="5" borderId="0" applyAlignment="1" pivotButton="0" quotePrefix="0" xfId="0">
      <alignment wrapText="1"/>
    </xf>
    <xf numFmtId="0" fontId="0" fillId="5" borderId="0" applyAlignment="1" pivotButton="0" quotePrefix="0" xfId="0">
      <alignment horizontal="center" wrapText="1"/>
    </xf>
    <xf numFmtId="0" fontId="4" fillId="6" borderId="0" applyAlignment="1" pivotButton="0" quotePrefix="0" xfId="0">
      <alignment wrapText="1"/>
    </xf>
    <xf numFmtId="0" fontId="0" fillId="6" borderId="0" applyAlignment="1" pivotButton="0" quotePrefix="0" xfId="0">
      <alignment horizontal="center" wrapText="1"/>
    </xf>
    <xf numFmtId="0" fontId="4" fillId="7" borderId="0" applyAlignment="1" pivotButton="0" quotePrefix="0" xfId="0">
      <alignment wrapText="1"/>
    </xf>
    <xf numFmtId="0" fontId="0" fillId="7" borderId="0" applyAlignment="1" pivotButton="0" quotePrefix="0" xfId="0">
      <alignment horizontal="center" wrapText="1"/>
    </xf>
    <xf numFmtId="0" fontId="5" fillId="0" borderId="0" applyAlignment="1" pivotButton="0" quotePrefix="0" xfId="0">
      <alignment vertical="top" wrapText="1"/>
    </xf>
    <xf numFmtId="0" fontId="6" fillId="2" borderId="3" applyAlignment="1" pivotButton="0" quotePrefix="0" xfId="0">
      <alignment horizontal="center" vertical="center" wrapText="1"/>
    </xf>
    <xf numFmtId="0" fontId="5" fillId="8" borderId="0" applyAlignment="1" pivotButton="0" quotePrefix="0" xfId="0">
      <alignment vertical="top" wrapText="1"/>
    </xf>
    <xf numFmtId="0" fontId="5" fillId="8" borderId="0" applyAlignment="1" pivotButton="0" quotePrefix="0" xfId="0">
      <alignment horizontal="center" vertical="top" wrapText="1"/>
    </xf>
    <xf numFmtId="0" fontId="6" fillId="2" borderId="0" applyAlignment="1" pivotButton="0" quotePrefix="0" xfId="0">
      <alignment horizontal="center" vertical="center" wrapText="1"/>
    </xf>
    <xf numFmtId="0" fontId="5" fillId="8" borderId="0" applyAlignment="1" pivotButton="0" quotePrefix="0" xfId="0">
      <alignment horizontal="left" vertical="top" wrapText="1"/>
    </xf>
    <xf numFmtId="164" fontId="5" fillId="8" borderId="0" applyAlignment="1" pivotButton="0" quotePrefix="0" xfId="0">
      <alignment horizontal="center" vertical="top" wrapText="1"/>
    </xf>
    <xf numFmtId="0" fontId="7" fillId="8" borderId="0" applyAlignment="1" pivotButton="0" quotePrefix="0" xfId="0">
      <alignment horizontal="center" vertical="top" wrapText="1"/>
    </xf>
    <xf numFmtId="0" fontId="1" fillId="2" borderId="0" applyAlignment="1" pivotButton="0" quotePrefix="0" xfId="0">
      <alignment horizontal="center" vertical="center" wrapText="1"/>
    </xf>
    <xf numFmtId="14" fontId="5" fillId="8" borderId="0" applyAlignment="1" pivotButton="0" quotePrefix="0" xfId="0">
      <alignment horizontal="center" vertical="top" wrapText="1"/>
    </xf>
    <xf numFmtId="0" fontId="9" fillId="0" borderId="0" pivotButton="0" quotePrefix="0" xfId="0"/>
    <xf numFmtId="0" fontId="9" fillId="0" borderId="0" applyAlignment="1" pivotButton="0" quotePrefix="0" xfId="0">
      <alignment horizontal="left" vertical="center"/>
    </xf>
    <xf numFmtId="0" fontId="8" fillId="0" borderId="0" applyAlignment="1" pivotButton="0" quotePrefix="0" xfId="0">
      <alignment horizontal="left" vertical="center"/>
    </xf>
    <xf numFmtId="0" fontId="1" fillId="2" borderId="1" applyAlignment="1" pivotButton="0" quotePrefix="0" xfId="0">
      <alignment horizontal="center" vertical="center" wrapText="1"/>
    </xf>
    <xf numFmtId="0" fontId="5" fillId="8" borderId="1" applyAlignment="1" pivotButton="0" quotePrefix="0" xfId="0">
      <alignment horizontal="left" vertical="top" wrapText="1"/>
    </xf>
    <xf numFmtId="0" fontId="5" fillId="8" borderId="1" applyAlignment="1" pivotButton="0" quotePrefix="0" xfId="0">
      <alignment vertical="top" wrapText="1"/>
    </xf>
    <xf numFmtId="0" fontId="5" fillId="8" borderId="1" applyAlignment="1" pivotButton="0" quotePrefix="0" xfId="0">
      <alignment horizontal="center" vertical="top" wrapText="1"/>
    </xf>
    <xf numFmtId="164" fontId="5" fillId="8" borderId="1" applyAlignment="1" pivotButton="0" quotePrefix="0" xfId="0">
      <alignment horizontal="center" vertical="top" wrapText="1"/>
    </xf>
  </cellXfs>
  <cellStyles count="7">
    <cellStyle name="Normal" xfId="0" builtinId="0"/>
    <cellStyle name="Normal 2" xfId="1"/>
    <cellStyle name="Normal 3" xfId="2"/>
    <cellStyle name="Normal 4" xfId="3"/>
    <cellStyle name="Normal 5" xfId="4"/>
    <cellStyle name="Normal 6" xfId="5"/>
    <cellStyle name="Normal 7" xfId="6"/>
  </cellStyles>
  <dxfs count="37">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ont>
        <name val="Aptos"/>
        <strike val="0"/>
        <outline val="0"/>
        <shadow val="0"/>
        <vertAlign val="baseline"/>
      </font>
    </dxf>
    <dxf>
      <fill>
        <patternFill patternType="solid">
          <bgColor rgb="FFF3F8FC"/>
        </patternFill>
      </fill>
    </dxf>
    <dxf>
      <fill>
        <patternFill patternType="solid">
          <bgColor rgb="FFF3F8FC"/>
        </patternFill>
      </fill>
    </dxf>
    <dxf>
      <fill>
        <patternFill patternType="solid">
          <bgColor rgb="FFF3F8FC"/>
        </patternFill>
      </fill>
    </dxf>
    <dxf>
      <fill>
        <patternFill patternType="solid">
          <bgColor rgb="FFF3F8FC"/>
        </patternFill>
      </fill>
    </dxf>
    <dxf>
      <fill>
        <patternFill patternType="solid">
          <bgColor rgb="FFF3F8FC"/>
        </patternFill>
      </fill>
    </dxf>
    <dxf>
      <fill>
        <patternFill patternType="solid">
          <bgColor rgb="FFF3F8FC"/>
        </patternFill>
      </fill>
    </dxf>
    <dxf>
      <font>
        <color rgb="FF666666"/>
      </font>
      <fill>
        <patternFill patternType="solid">
          <bgColor rgb="FFE7E6E6"/>
        </patternFill>
      </fill>
    </dxf>
    <dxf>
      <font>
        <b val="1"/>
        <color rgb="FF8A5A00"/>
      </font>
      <fill>
        <patternFill patternType="solid">
          <bgColor rgb="FFFFF2CC"/>
        </patternFill>
      </fill>
    </dxf>
    <dxf>
      <font>
        <b val="1"/>
        <color rgb="FFA61B1B"/>
      </font>
      <fill>
        <patternFill patternType="solid">
          <bgColor rgb="FFF4CCCC"/>
        </patternFill>
      </fill>
    </dxf>
    <dxf>
      <font>
        <b val="1"/>
        <color rgb="FF2E7D32"/>
      </font>
      <fill>
        <patternFill patternType="solid">
          <bgColor rgb="FFE2F0D9"/>
        </patternFill>
      </fill>
    </dxf>
    <dxf>
      <fill>
        <patternFill patternType="solid">
          <bgColor rgb="FFD9EAD3"/>
        </patternFill>
      </fill>
    </dxf>
    <dxf>
      <fill>
        <patternFill patternType="solid">
          <bgColor rgb="FFFFF2CC"/>
        </patternFill>
      </fill>
    </dxf>
    <dxf>
      <font>
        <b val="1"/>
        <color rgb="FF8A5A00"/>
      </font>
      <fill>
        <patternFill patternType="solid">
          <bgColor rgb="FFFCE5CD"/>
        </patternFill>
      </fill>
    </dxf>
    <dxf>
      <font>
        <b val="1"/>
        <color rgb="FFA61B1B"/>
      </font>
      <fill>
        <patternFill patternType="solid">
          <bgColor rgb="FFF4CCCC"/>
        </patternFill>
      </fill>
    </dxf>
    <dxf>
      <font>
        <color rgb="FF8A5A00"/>
      </font>
      <fill>
        <patternFill patternType="solid">
          <bgColor rgb="FFFFF2CC"/>
        </patternFill>
      </fill>
    </dxf>
    <dxf>
      <font>
        <b val="1"/>
        <color rgb="FF2E7D32"/>
      </font>
      <fill>
        <patternFill patternType="solid">
          <bgColor rgb="FFE2F0D9"/>
        </patternFill>
      </fill>
    </dxf>
    <dxf>
      <font>
        <color rgb="FF8A5A00"/>
      </font>
      <fill>
        <patternFill patternType="solid">
          <bgColor rgb="FFFFF2CC"/>
        </patternFill>
      </fill>
    </dxf>
    <dxf>
      <font>
        <b val="1"/>
        <color rgb="FF2E7D32"/>
      </font>
      <fill>
        <patternFill patternType="solid">
          <bgColor rgb="FFE2F0D9"/>
        </patternFill>
      </fill>
    </dxf>
    <dxf>
      <font>
        <b val="1"/>
        <color rgb="FFA61B1B"/>
      </font>
      <fill>
        <patternFill patternType="solid">
          <bgColor rgb="FFF4CCCC"/>
        </patternFill>
      </fill>
    </dxf>
    <dxf>
      <font>
        <b val="1"/>
        <color rgb="FF8A5A00"/>
      </font>
      <fill>
        <patternFill patternType="solid">
          <bgColor rgb="FFFFF2CC"/>
        </patternFill>
      </fill>
    </dxf>
    <dxf>
      <font>
        <b val="1"/>
        <color rgb="FF2E7D32"/>
      </font>
      <fill>
        <patternFill patternType="solid">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lstStyle/>
          <a:p>
            <a:r>
              <a:rPr lang="en-US"/>
              <a:t>Sprint 1 Test Status</a:t>
            </a:r>
          </a:p>
        </rich>
      </tx>
      <overlay val="1"/>
    </title>
    <plotArea>
      <layout/>
      <barChart>
        <barDir val="col"/>
        <grouping val="clustered"/>
        <varyColors val="0"/>
        <ser>
          <idx val="0"/>
          <order val="0"/>
          <tx>
            <v>Series 1</v>
          </tx>
          <spPr>
            <a:ln>
              <a:prstDash val="solid"/>
            </a:ln>
          </spPr>
          <invertIfNegative val="1"/>
          <cat>
            <strRef>
              <f>Summary!$A$4:$A$8</f>
              <strCache>
                <ptCount val="5"/>
                <pt idx="0">
                  <v>Total Test Cases</v>
                </pt>
                <pt idx="1">
                  <v>Pass</v>
                </pt>
                <pt idx="2">
                  <v>Fail</v>
                </pt>
                <pt idx="3">
                  <v>Blocked</v>
                </pt>
                <pt idx="4">
                  <v>Not Run</v>
                </pt>
              </strCache>
            </strRef>
          </cat>
          <val>
            <numRef>
              <f>Summary!$B$4:$B$8</f>
              <numCache>
                <formatCode>General</formatCode>
                <ptCount val="5"/>
                <pt idx="0">
                  <v>61</v>
                </pt>
                <pt idx="1">
                  <v>61</v>
                </pt>
                <pt idx="2">
                  <v>0</v>
                </pt>
                <pt idx="3">
                  <v>0</v>
                </pt>
                <pt idx="4">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2</row>
      <rowOff>0</rowOff>
    </from>
    <to>
      <col>14</col>
      <colOff>0</colOff>
      <row>17</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Sprint1TestCases" displayName="Sprint1TestCases" ref="A1:O62" headerRowCount="1" totalsRowShown="0" dataDxfId="0">
  <tableColumns count="15">
    <tableColumn id="1" name="Test ID" dataDxfId="15"/>
    <tableColumn id="2" name="Area" dataDxfId="14"/>
    <tableColumn id="3" name="Test Type" dataDxfId="13"/>
    <tableColumn id="4" name="Priority" dataDxfId="12"/>
    <tableColumn id="5" name="Scenario" dataDxfId="11"/>
    <tableColumn id="6" name="Preconditions" dataDxfId="10"/>
    <tableColumn id="7" name="Test Steps" dataDxfId="9"/>
    <tableColumn id="8" name="Expected Result" dataDxfId="8"/>
    <tableColumn id="9" name="Actual Result" dataDxfId="7"/>
    <tableColumn id="10" name="Status" dataDxfId="6"/>
    <tableColumn id="11" name="Tester" dataDxfId="5"/>
    <tableColumn id="12" name="Test Date" dataDxfId="4"/>
    <tableColumn id="13" name="Evidence ID" dataDxfId="3"/>
    <tableColumn id="14" name="Defect Reference" dataDxfId="2"/>
    <tableColumn id="15" name="Notes" dataDxfId="1"/>
  </tableColumns>
  <tableStyleInfo name="TableStyleMedium2" showFirstColumn="0" showLastColumn="0" showRowStripes="1" showColumnStripes="0"/>
</table>
</file>

<file path=xl/tables/table2.xml><?xml version="1.0" encoding="utf-8"?>
<table xmlns="http://schemas.openxmlformats.org/spreadsheetml/2006/main" id="2" name="Sprint1Evidence" displayName="Sprint1Evidence" ref="A1:H200" headerRowCount="1" totalsRowShown="0">
  <tableColumns count="8">
    <tableColumn id="1" name="Evidence ID"/>
    <tableColumn id="2" name="Test ID"/>
    <tableColumn id="3" name="Evidence Type"/>
    <tableColumn id="4" name="Description"/>
    <tableColumn id="5" name="Location / Link"/>
    <tableColumn id="6" name="Captured By"/>
    <tableColumn id="7" name="Date"/>
    <tableColumn id="8" name="Notes"/>
  </tableColumns>
  <tableStyleInfo name="TableStyleMedium2" showFirstColumn="0" showLastColumn="0" showRowStripes="1" showColumnStripes="0"/>
</table>
</file>

<file path=xl/tables/table3.xml><?xml version="1.0" encoding="utf-8"?>
<table xmlns="http://schemas.openxmlformats.org/spreadsheetml/2006/main" id="3" name="Sprint1ReferenceValues" displayName="Sprint1ReferenceValues" ref="A1:D18" headerRowCount="1" totalsRowShown="0">
  <tableColumns count="4">
    <tableColumn id="1" name="Status"/>
    <tableColumn id="2" name="Test Type"/>
    <tableColumn id="3" name="Priority"/>
    <tableColumn id="4" name="Are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N25"/>
  <sheetViews>
    <sheetView workbookViewId="0">
      <selection activeCell="A1" sqref="A1:J1"/>
    </sheetView>
  </sheetViews>
  <sheetFormatPr baseColWidth="8" defaultRowHeight="14.25"/>
  <cols>
    <col width="24" customWidth="1" min="1" max="1"/>
    <col width="18" customWidth="1" min="2" max="2"/>
    <col width="3" customWidth="1" min="3" max="3"/>
    <col width="22" customWidth="1" min="4" max="4"/>
    <col width="11" customWidth="1" min="5" max="6"/>
    <col width="5" customWidth="1" min="7" max="7"/>
    <col width="18" customWidth="1" min="8" max="8"/>
    <col width="12" customWidth="1" min="9" max="10"/>
  </cols>
  <sheetData>
    <row r="1" ht="30" customHeight="1">
      <c r="A1" s="27" t="inlineStr">
        <is>
          <t>GradNavi Sprint 1 Test Dashboard</t>
        </is>
      </c>
      <c r="K1" s="1" t="n"/>
      <c r="L1" s="1" t="n"/>
      <c r="M1" s="1" t="n"/>
      <c r="N1" s="1" t="n"/>
    </row>
    <row r="2">
      <c r="A2" s="1" t="n"/>
      <c r="B2" s="1" t="n"/>
      <c r="C2" s="1" t="n"/>
      <c r="D2" s="1" t="n"/>
      <c r="E2" s="1" t="n"/>
      <c r="F2" s="1" t="n"/>
      <c r="G2" s="1" t="n"/>
      <c r="H2" s="1" t="n"/>
      <c r="I2" s="1" t="n"/>
      <c r="J2" s="1" t="n"/>
      <c r="K2" s="1" t="n"/>
      <c r="L2" s="1" t="n"/>
      <c r="M2" s="1" t="n"/>
      <c r="N2" s="1" t="n"/>
    </row>
    <row r="3" ht="15" customHeight="1">
      <c r="A3" s="3" t="inlineStr">
        <is>
          <t>Metric</t>
        </is>
      </c>
      <c r="B3" s="3" t="inlineStr">
        <is>
          <t>Value</t>
        </is>
      </c>
      <c r="C3" s="1" t="n"/>
      <c r="D3" s="3" t="inlineStr">
        <is>
          <t>Area</t>
        </is>
      </c>
      <c r="E3" s="3" t="inlineStr">
        <is>
          <t>Total</t>
        </is>
      </c>
      <c r="F3" s="3" t="inlineStr">
        <is>
          <t>Passed</t>
        </is>
      </c>
      <c r="G3" s="1" t="n"/>
      <c r="H3" s="1" t="n"/>
      <c r="I3" s="1" t="n"/>
      <c r="J3" s="1" t="n"/>
      <c r="K3" s="1" t="n"/>
      <c r="L3" s="1" t="n"/>
      <c r="M3" s="1" t="n"/>
      <c r="N3" s="1" t="n"/>
    </row>
    <row r="4" ht="15" customHeight="1">
      <c r="A4" s="4" t="inlineStr">
        <is>
          <t>Total Test Cases</t>
        </is>
      </c>
      <c r="B4" s="5">
        <f>COUNTA('Test Cases'!A2:A62)</f>
        <v/>
      </c>
      <c r="C4" s="1" t="n"/>
      <c r="D4" s="1" t="inlineStr">
        <is>
          <t>Authentication</t>
        </is>
      </c>
      <c r="E4" s="5">
        <f>COUNTIF('Test Cases'!B$2:B$62,D4)</f>
        <v/>
      </c>
      <c r="F4" s="5">
        <f>COUNTIFS('Test Cases'!B$2:B$62,D4,'Test Cases'!J$2:J$62,"Pass")</f>
        <v/>
      </c>
      <c r="G4" s="1" t="n"/>
      <c r="H4" s="1" t="n"/>
      <c r="I4" s="1" t="n"/>
      <c r="J4" s="1" t="n"/>
      <c r="K4" s="1" t="n"/>
      <c r="L4" s="1" t="n"/>
      <c r="M4" s="1" t="n"/>
      <c r="N4" s="1" t="n"/>
    </row>
    <row r="5" ht="15" customHeight="1">
      <c r="A5" s="6" t="inlineStr">
        <is>
          <t>Pass</t>
        </is>
      </c>
      <c r="B5" s="7">
        <f>COUNTIF('Test Cases'!J2:J62,"Pass")</f>
        <v/>
      </c>
      <c r="C5" s="1" t="n"/>
      <c r="D5" s="1" t="inlineStr">
        <is>
          <t>JWT</t>
        </is>
      </c>
      <c r="E5" s="5">
        <f>COUNTIF('Test Cases'!B$2:B$62,D5)</f>
        <v/>
      </c>
      <c r="F5" s="5">
        <f>COUNTIFS('Test Cases'!B$2:B$62,D5,'Test Cases'!J$2:J$62,"Pass")</f>
        <v/>
      </c>
      <c r="G5" s="1" t="n"/>
      <c r="H5" s="1" t="n"/>
      <c r="I5" s="1" t="n"/>
      <c r="J5" s="1" t="n"/>
      <c r="K5" s="1" t="n"/>
      <c r="L5" s="1" t="n"/>
      <c r="M5" s="1" t="n"/>
      <c r="N5" s="1" t="n"/>
    </row>
    <row r="6" ht="15" customHeight="1">
      <c r="A6" s="8" t="inlineStr">
        <is>
          <t>Fail</t>
        </is>
      </c>
      <c r="B6" s="9">
        <f>COUNTIF('Test Cases'!J2:J62,"Fail")</f>
        <v/>
      </c>
      <c r="C6" s="1" t="n"/>
      <c r="D6" s="1" t="inlineStr">
        <is>
          <t>Current User</t>
        </is>
      </c>
      <c r="E6" s="5">
        <f>COUNTIF('Test Cases'!B$2:B$62,D6)</f>
        <v/>
      </c>
      <c r="F6" s="5">
        <f>COUNTIFS('Test Cases'!B$2:B$62,D6,'Test Cases'!J$2:J$62,"Pass")</f>
        <v/>
      </c>
      <c r="G6" s="1" t="n"/>
      <c r="H6" s="1" t="n"/>
      <c r="I6" s="1" t="n"/>
      <c r="J6" s="1" t="n"/>
      <c r="K6" s="1" t="n"/>
      <c r="L6" s="1" t="n"/>
      <c r="M6" s="1" t="n"/>
      <c r="N6" s="1" t="n"/>
    </row>
    <row r="7" ht="15" customHeight="1">
      <c r="A7" s="10" t="inlineStr">
        <is>
          <t>Blocked</t>
        </is>
      </c>
      <c r="B7" s="11">
        <f>COUNTIF('Test Cases'!J2:J62,"Blocked")</f>
        <v/>
      </c>
      <c r="C7" s="1" t="n"/>
      <c r="D7" s="1" t="inlineStr">
        <is>
          <t>Student Profile</t>
        </is>
      </c>
      <c r="E7" s="5">
        <f>COUNTIF('Test Cases'!B$2:B$62,D7)</f>
        <v/>
      </c>
      <c r="F7" s="5">
        <f>COUNTIFS('Test Cases'!B$2:B$62,D7,'Test Cases'!J$2:J$62,"Pass")</f>
        <v/>
      </c>
      <c r="G7" s="1" t="n"/>
      <c r="H7" s="1" t="n"/>
      <c r="I7" s="1" t="n"/>
      <c r="J7" s="1" t="n"/>
      <c r="K7" s="1" t="n"/>
      <c r="L7" s="1" t="n"/>
      <c r="M7" s="1" t="n"/>
      <c r="N7" s="1" t="n"/>
    </row>
    <row r="8" ht="15" customHeight="1">
      <c r="A8" s="12" t="inlineStr">
        <is>
          <t>Not Run</t>
        </is>
      </c>
      <c r="B8" s="13">
        <f>COUNTIF('Test Cases'!J2:J62,"Not Run")</f>
        <v/>
      </c>
      <c r="C8" s="1" t="n"/>
      <c r="D8" s="1" t="inlineStr">
        <is>
          <t>Ownership</t>
        </is>
      </c>
      <c r="E8" s="5">
        <f>COUNTIF('Test Cases'!B$2:B$62,D8)</f>
        <v/>
      </c>
      <c r="F8" s="5">
        <f>COUNTIFS('Test Cases'!B$2:B$62,D8,'Test Cases'!J$2:J$62,"Pass")</f>
        <v/>
      </c>
      <c r="G8" s="1" t="n"/>
      <c r="H8" s="1" t="n"/>
      <c r="I8" s="1" t="n"/>
      <c r="J8" s="1" t="n"/>
      <c r="K8" s="1" t="n"/>
      <c r="L8" s="1" t="n"/>
      <c r="M8" s="1" t="n"/>
      <c r="N8" s="1" t="n"/>
    </row>
    <row r="9" ht="15" customHeight="1">
      <c r="A9" s="1" t="n"/>
      <c r="B9" s="1" t="n"/>
      <c r="C9" s="1" t="n"/>
      <c r="D9" s="1" t="inlineStr">
        <is>
          <t>Skills</t>
        </is>
      </c>
      <c r="E9" s="5">
        <f>COUNTIF('Test Cases'!B$2:B$62,D9)</f>
        <v/>
      </c>
      <c r="F9" s="5">
        <f>COUNTIFS('Test Cases'!B$2:B$62,D9,'Test Cases'!J$2:J$62,"Pass")</f>
        <v/>
      </c>
      <c r="G9" s="1" t="n"/>
      <c r="H9" s="1" t="n"/>
      <c r="I9" s="1" t="n"/>
      <c r="J9" s="1" t="n"/>
      <c r="K9" s="1" t="n"/>
      <c r="L9" s="1" t="n"/>
      <c r="M9" s="1" t="n"/>
      <c r="N9" s="1" t="n"/>
    </row>
    <row r="10" ht="15" customHeight="1">
      <c r="A10" s="1" t="n"/>
      <c r="B10" s="1" t="n"/>
      <c r="C10" s="1" t="n"/>
      <c r="D10" s="1" t="inlineStr">
        <is>
          <t>Interests</t>
        </is>
      </c>
      <c r="E10" s="5">
        <f>COUNTIF('Test Cases'!B$2:B$62,D10)</f>
        <v/>
      </c>
      <c r="F10" s="5">
        <f>COUNTIFS('Test Cases'!B$2:B$62,D10,'Test Cases'!J$2:J$62,"Pass")</f>
        <v/>
      </c>
      <c r="G10" s="1" t="n"/>
      <c r="H10" s="1" t="n"/>
      <c r="I10" s="1" t="n"/>
      <c r="J10" s="1" t="n"/>
      <c r="K10" s="1" t="n"/>
      <c r="L10" s="1" t="n"/>
      <c r="M10" s="1" t="n"/>
      <c r="N10" s="1" t="n"/>
    </row>
    <row r="11" ht="15" customHeight="1">
      <c r="A11" s="3" t="inlineStr">
        <is>
          <t>Sprint 1 Exit Checks</t>
        </is>
      </c>
      <c r="B11" s="3" t="inlineStr">
        <is>
          <t>Status</t>
        </is>
      </c>
      <c r="C11" s="1" t="n"/>
      <c r="D11" s="1" t="inlineStr">
        <is>
          <t>Education</t>
        </is>
      </c>
      <c r="E11" s="5">
        <f>COUNTIF('Test Cases'!B$2:B$62,D11)</f>
        <v/>
      </c>
      <c r="F11" s="5">
        <f>COUNTIFS('Test Cases'!B$2:B$62,D11,'Test Cases'!J$2:J$62,"Pass")</f>
        <v/>
      </c>
      <c r="G11" s="1" t="n"/>
      <c r="H11" s="1" t="n"/>
      <c r="I11" s="1" t="n"/>
      <c r="J11" s="1" t="n"/>
      <c r="K11" s="1" t="n"/>
      <c r="L11" s="1" t="n"/>
      <c r="M11" s="1" t="n"/>
      <c r="N11" s="1" t="n"/>
    </row>
    <row r="12" ht="15" customHeight="1">
      <c r="A12" s="1" t="inlineStr">
        <is>
          <t>Critical tests</t>
        </is>
      </c>
      <c r="B12" s="1">
        <f>IF(COUNTIFS('Test Cases'!D2:D62,"Critical",'Test Cases'!J2:J62,"Fail")+COUNTIFS('Test Cases'!D2:D62,"Critical",'Test Cases'!J2:J62,"Blocked")&gt;0,"NOT READY",IF(COUNTIFS('Test Cases'!D2:D62,"Critical",'Test Cases'!J2:J62,"Not Run")&gt;0,"PENDING","READY"))</f>
        <v/>
      </c>
      <c r="C12" s="1" t="n"/>
      <c r="D12" s="1" t="inlineStr">
        <is>
          <t>Experience</t>
        </is>
      </c>
      <c r="E12" s="5">
        <f>COUNTIF('Test Cases'!B$2:B$62,D12)</f>
        <v/>
      </c>
      <c r="F12" s="5">
        <f>COUNTIFS('Test Cases'!B$2:B$62,D12,'Test Cases'!J$2:J$62,"Pass")</f>
        <v/>
      </c>
      <c r="G12" s="1" t="n"/>
      <c r="H12" s="1" t="n"/>
      <c r="I12" s="1" t="n"/>
      <c r="J12" s="1" t="n"/>
      <c r="K12" s="1" t="n"/>
      <c r="L12" s="1" t="n"/>
      <c r="M12" s="1" t="n"/>
      <c r="N12" s="1" t="n"/>
    </row>
    <row r="13" ht="15" customHeight="1">
      <c r="A13" s="1" t="inlineStr">
        <is>
          <t>Integration tests</t>
        </is>
      </c>
      <c r="B13" s="1">
        <f>IF(COUNTIFS('Test Cases'!C2:C62,"Integration",'Test Cases'!J2:J62,"Fail")+COUNTIFS('Test Cases'!C2:C62,"Integration",'Test Cases'!J2:J62,"Blocked")&gt;0,"NOT READY",IF(COUNTIFS('Test Cases'!C2:C62,"Integration",'Test Cases'!J2:J62,"Not Run")&gt;0,"PENDING","READY"))</f>
        <v/>
      </c>
      <c r="C13" s="1" t="n"/>
      <c r="D13" s="1" t="inlineStr">
        <is>
          <t>Projects</t>
        </is>
      </c>
      <c r="E13" s="5">
        <f>COUNTIF('Test Cases'!B$2:B$62,D13)</f>
        <v/>
      </c>
      <c r="F13" s="5">
        <f>COUNTIFS('Test Cases'!B$2:B$62,D13,'Test Cases'!J$2:J$62,"Pass")</f>
        <v/>
      </c>
      <c r="G13" s="1" t="n"/>
      <c r="H13" s="1" t="n"/>
      <c r="I13" s="1" t="n"/>
      <c r="J13" s="1" t="n"/>
      <c r="K13" s="1" t="n"/>
      <c r="L13" s="1" t="n"/>
      <c r="M13" s="1" t="n"/>
      <c r="N13" s="1" t="n"/>
    </row>
    <row r="14" ht="15" customHeight="1">
      <c r="A14" s="1" t="n"/>
      <c r="B14" s="1" t="n"/>
      <c r="C14" s="1" t="n"/>
      <c r="D14" s="1" t="inlineStr">
        <is>
          <t>Career Goals</t>
        </is>
      </c>
      <c r="E14" s="5">
        <f>COUNTIF('Test Cases'!B$2:B$62,D14)</f>
        <v/>
      </c>
      <c r="F14" s="5">
        <f>COUNTIFS('Test Cases'!B$2:B$62,D14,'Test Cases'!J$2:J$62,"Pass")</f>
        <v/>
      </c>
      <c r="G14" s="1" t="n"/>
      <c r="H14" s="1" t="n"/>
      <c r="I14" s="1" t="n"/>
      <c r="J14" s="1" t="n"/>
      <c r="K14" s="1" t="n"/>
      <c r="L14" s="1" t="n"/>
      <c r="M14" s="1" t="n"/>
      <c r="N14" s="1" t="n"/>
    </row>
    <row r="15" ht="15" customHeight="1">
      <c r="A15" s="1" t="n"/>
      <c r="B15" s="1" t="n"/>
      <c r="C15" s="1" t="n"/>
      <c r="D15" s="1" t="inlineStr">
        <is>
          <t>Personality</t>
        </is>
      </c>
      <c r="E15" s="5">
        <f>COUNTIF('Test Cases'!B$2:B$62,D15)</f>
        <v/>
      </c>
      <c r="F15" s="5">
        <f>COUNTIFS('Test Cases'!B$2:B$62,D15,'Test Cases'!J$2:J$62,"Pass")</f>
        <v/>
      </c>
      <c r="G15" s="1" t="n"/>
      <c r="H15" s="1" t="n"/>
      <c r="I15" s="1" t="n"/>
      <c r="J15" s="1" t="n"/>
      <c r="K15" s="1" t="n"/>
      <c r="L15" s="1" t="n"/>
      <c r="M15" s="1" t="n"/>
      <c r="N15" s="1" t="n"/>
    </row>
    <row r="16" ht="15" customHeight="1">
      <c r="A16" s="1" t="n"/>
      <c r="B16" s="1" t="n"/>
      <c r="C16" s="1" t="n"/>
      <c r="D16" s="1" t="inlineStr">
        <is>
          <t>Frontend Auth</t>
        </is>
      </c>
      <c r="E16" s="5">
        <f>COUNTIF('Test Cases'!B$2:B$62,D16)</f>
        <v/>
      </c>
      <c r="F16" s="5">
        <f>COUNTIFS('Test Cases'!B$2:B$62,D16,'Test Cases'!J$2:J$62,"Pass")</f>
        <v/>
      </c>
      <c r="G16" s="1" t="n"/>
      <c r="H16" s="1" t="n"/>
      <c r="I16" s="1" t="n"/>
      <c r="J16" s="1" t="n"/>
      <c r="K16" s="1" t="n"/>
      <c r="L16" s="1" t="n"/>
      <c r="M16" s="1" t="n"/>
      <c r="N16" s="1" t="n"/>
    </row>
    <row r="17" ht="15" customHeight="1">
      <c r="A17" s="1" t="n"/>
      <c r="B17" s="1" t="n"/>
      <c r="C17" s="1" t="n"/>
      <c r="D17" s="1" t="inlineStr">
        <is>
          <t>Frontend Profile</t>
        </is>
      </c>
      <c r="E17" s="5">
        <f>COUNTIF('Test Cases'!B$2:B$62,D17)</f>
        <v/>
      </c>
      <c r="F17" s="5">
        <f>COUNTIFS('Test Cases'!B$2:B$62,D17,'Test Cases'!J$2:J$62,"Pass")</f>
        <v/>
      </c>
      <c r="G17" s="1" t="n"/>
      <c r="H17" s="1" t="n"/>
      <c r="I17" s="1" t="n"/>
      <c r="J17" s="1" t="n"/>
      <c r="K17" s="1" t="n"/>
      <c r="L17" s="1" t="n"/>
      <c r="M17" s="1" t="n"/>
      <c r="N17" s="1" t="n"/>
    </row>
    <row r="18" ht="15" customHeight="1">
      <c r="A18" s="1" t="n"/>
      <c r="B18" s="1" t="n"/>
      <c r="C18" s="1" t="n"/>
      <c r="D18" s="1" t="inlineStr">
        <is>
          <t>Database</t>
        </is>
      </c>
      <c r="E18" s="5">
        <f>COUNTIF('Test Cases'!B$2:B$62,D18)</f>
        <v/>
      </c>
      <c r="F18" s="5">
        <f>COUNTIFS('Test Cases'!B$2:B$62,D18,'Test Cases'!J$2:J$62,"Pass")</f>
        <v/>
      </c>
      <c r="G18" s="1" t="n"/>
      <c r="H18" s="1" t="n"/>
      <c r="I18" s="1" t="n"/>
      <c r="J18" s="1" t="n"/>
      <c r="K18" s="1" t="n"/>
      <c r="L18" s="1" t="n"/>
      <c r="M18" s="1" t="n"/>
      <c r="N18" s="1" t="n"/>
    </row>
    <row r="19" ht="15" customHeight="1">
      <c r="A19" s="1" t="n"/>
      <c r="B19" s="1" t="n"/>
      <c r="C19" s="1" t="n"/>
      <c r="D19" s="1" t="inlineStr">
        <is>
          <t>Security</t>
        </is>
      </c>
      <c r="E19" s="5">
        <f>COUNTIF('Test Cases'!B$2:B$62,D19)</f>
        <v/>
      </c>
      <c r="F19" s="5">
        <f>COUNTIFS('Test Cases'!B$2:B$62,D19,'Test Cases'!J$2:J$62,"Pass")</f>
        <v/>
      </c>
      <c r="G19" s="1" t="n"/>
      <c r="H19" s="3" t="inlineStr">
        <is>
          <t>Test Owner</t>
        </is>
      </c>
      <c r="I19" s="3" t="inlineStr">
        <is>
          <t>Assigned</t>
        </is>
      </c>
      <c r="J19" s="3" t="inlineStr">
        <is>
          <t>Passed</t>
        </is>
      </c>
      <c r="K19" s="1" t="n"/>
      <c r="L19" s="1" t="n"/>
      <c r="M19" s="1" t="n"/>
      <c r="N19" s="1" t="n"/>
    </row>
    <row r="20" ht="15" customHeight="1">
      <c r="A20" s="1" t="n"/>
      <c r="B20" s="1" t="n"/>
      <c r="C20" s="1" t="n"/>
      <c r="D20" s="1" t="inlineStr">
        <is>
          <t>Regression</t>
        </is>
      </c>
      <c r="E20" s="5">
        <f>COUNTIF('Test Cases'!B$2:B$62,D20)</f>
        <v/>
      </c>
      <c r="F20" s="5">
        <f>COUNTIFS('Test Cases'!B$2:B$62,D20,'Test Cases'!J$2:J$62,"Pass")</f>
        <v/>
      </c>
      <c r="G20" s="1" t="n"/>
      <c r="H20" s="1" t="inlineStr">
        <is>
          <t>MD</t>
        </is>
      </c>
      <c r="I20" s="5">
        <f>COUNTIF('Test Cases'!P$2:P$62,H20)</f>
        <v/>
      </c>
      <c r="J20" s="5">
        <f>COUNTIFS('Test Cases'!P$2:P$62,H20,'Test Cases'!J$2:J$62,"Pass")</f>
        <v/>
      </c>
      <c r="K20" s="1" t="n"/>
      <c r="L20" s="1" t="n"/>
      <c r="M20" s="1" t="n"/>
      <c r="N20" s="1" t="n"/>
    </row>
    <row r="21" ht="15" customHeight="1">
      <c r="A21" s="1" t="n"/>
      <c r="B21" s="1" t="n"/>
      <c r="C21" s="1" t="n"/>
      <c r="D21" s="1" t="n"/>
      <c r="E21" s="1" t="n"/>
      <c r="F21" s="1" t="n"/>
      <c r="G21" s="1" t="n"/>
      <c r="H21" s="1" t="inlineStr">
        <is>
          <t>Joyee</t>
        </is>
      </c>
      <c r="I21" s="5">
        <f>COUNTIF('Test Cases'!P$2:P$62,H21)</f>
        <v/>
      </c>
      <c r="J21" s="5">
        <f>COUNTIFS('Test Cases'!P$2:P$62,H21,'Test Cases'!J$2:J$62,"Pass")</f>
        <v/>
      </c>
      <c r="K21" s="1" t="n"/>
      <c r="L21" s="1" t="n"/>
      <c r="M21" s="1" t="n"/>
      <c r="N21" s="1" t="n"/>
    </row>
    <row r="22" ht="15" customHeight="1">
      <c r="A22" s="1" t="n"/>
      <c r="B22" s="1" t="n"/>
      <c r="C22" s="1" t="n"/>
      <c r="D22" s="1" t="n"/>
      <c r="E22" s="1" t="n"/>
      <c r="F22" s="1" t="n"/>
      <c r="G22" s="1" t="n"/>
      <c r="H22" s="1" t="inlineStr">
        <is>
          <t>Jerald</t>
        </is>
      </c>
      <c r="I22" s="5">
        <f>COUNTIF('Test Cases'!P$2:P$62,H22)</f>
        <v/>
      </c>
      <c r="J22" s="5">
        <f>COUNTIFS('Test Cases'!P$2:P$62,H22,'Test Cases'!J$2:J$62,"Pass")</f>
        <v/>
      </c>
      <c r="K22" s="1" t="n"/>
      <c r="L22" s="1" t="n"/>
      <c r="M22" s="1" t="n"/>
      <c r="N22" s="1" t="n"/>
    </row>
    <row r="23" ht="15" customHeight="1">
      <c r="A23" s="1" t="n"/>
      <c r="B23" s="1" t="n"/>
      <c r="C23" s="1" t="n"/>
      <c r="D23" s="1" t="n"/>
      <c r="E23" s="1" t="n"/>
      <c r="F23" s="1" t="n"/>
      <c r="G23" s="1" t="n"/>
      <c r="H23" s="1" t="inlineStr">
        <is>
          <t>Shared</t>
        </is>
      </c>
      <c r="I23" s="5">
        <f>COUNTIF('Test Cases'!P$2:P$62,H23)</f>
        <v/>
      </c>
      <c r="J23" s="5">
        <f>COUNTIFS('Test Cases'!P$2:P$62,H23,'Test Cases'!J$2:J$62,"Pass")</f>
        <v/>
      </c>
      <c r="K23" s="1" t="n"/>
      <c r="L23" s="1" t="n"/>
      <c r="M23" s="1" t="n"/>
      <c r="N23" s="1" t="n"/>
    </row>
    <row r="24">
      <c r="A24" s="1" t="n"/>
      <c r="B24" s="1" t="n"/>
      <c r="C24" s="1" t="n"/>
      <c r="D24" s="1" t="n"/>
      <c r="E24" s="1" t="n"/>
      <c r="F24" s="1" t="n"/>
      <c r="G24" s="1" t="n"/>
      <c r="H24" s="1" t="n"/>
      <c r="I24" s="1" t="n"/>
      <c r="J24" s="1" t="n"/>
      <c r="K24" s="1" t="n"/>
      <c r="L24" s="1" t="n"/>
      <c r="M24" s="1" t="n"/>
      <c r="N24" s="1" t="n"/>
    </row>
    <row r="25">
      <c r="A25" s="1" t="n"/>
      <c r="B25" s="1" t="n"/>
      <c r="C25" s="1" t="n"/>
      <c r="D25" s="1" t="n"/>
      <c r="E25" s="1" t="n"/>
      <c r="F25" s="1" t="n"/>
      <c r="G25" s="1" t="n"/>
      <c r="H25" s="1" t="n"/>
      <c r="I25" s="1" t="n"/>
      <c r="J25" s="1" t="n"/>
      <c r="K25" s="1" t="n"/>
      <c r="L25" s="1" t="n"/>
      <c r="M25" s="1" t="n"/>
      <c r="N25" s="1" t="n"/>
    </row>
  </sheetData>
  <mergeCells count="1">
    <mergeCell ref="A1:J1"/>
  </mergeCells>
  <conditionalFormatting sqref="B12:B13">
    <cfRule type="expression" priority="1" dxfId="25">
      <formula>B12="READY"</formula>
    </cfRule>
    <cfRule type="expression" priority="2" dxfId="23">
      <formula>B12="PENDING"</formula>
    </cfRule>
    <cfRule type="expression" priority="3" dxfId="24">
      <formula>B12="NOT READY"</formula>
    </cfRule>
  </conditionalFormatting>
  <conditionalFormatting sqref="F4:F20">
    <cfRule type="expression" priority="4" dxfId="25">
      <formula>F4=E4</formula>
    </cfRule>
    <cfRule type="expression" priority="5" dxfId="30">
      <formula>F4&lt;E4</formula>
    </cfRule>
  </conditionalFormatting>
  <conditionalFormatting sqref="J20:J23">
    <cfRule type="expression" priority="6" dxfId="25">
      <formula>J20=I20</formula>
    </cfRule>
    <cfRule type="expression" priority="7" dxfId="30">
      <formula>J20&lt;I20</formula>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62"/>
  <sheetViews>
    <sheetView tabSelected="1" topLeftCell="H4" workbookViewId="0">
      <selection activeCell="O23" sqref="O23"/>
    </sheetView>
  </sheetViews>
  <sheetFormatPr baseColWidth="8" defaultRowHeight="14.25"/>
  <cols>
    <col width="16" customWidth="1" min="1" max="1"/>
    <col width="17" customWidth="1" min="2" max="2"/>
    <col width="14" customWidth="1" min="3" max="3"/>
    <col width="11" customWidth="1" min="4" max="4"/>
    <col width="29" customWidth="1" min="5" max="5"/>
    <col width="27" customWidth="1" min="6" max="6"/>
    <col width="33" customWidth="1" min="7" max="7"/>
    <col width="40" customWidth="1" min="8" max="8"/>
    <col width="48" customWidth="1" min="9" max="9"/>
    <col width="12" customWidth="1" min="10" max="11"/>
    <col width="13" customWidth="1" min="12" max="12"/>
    <col width="22" customWidth="1" style="1" min="13" max="13"/>
    <col width="16" customWidth="1" min="14" max="14"/>
    <col width="38" customWidth="1" min="15" max="15"/>
    <col width="12" customWidth="1" min="16" max="16"/>
  </cols>
  <sheetData>
    <row r="1" ht="14.25" customHeight="1">
      <c r="A1" s="15" t="inlineStr">
        <is>
          <t>Test ID</t>
        </is>
      </c>
      <c r="B1" s="15" t="inlineStr">
        <is>
          <t>Area</t>
        </is>
      </c>
      <c r="C1" s="15" t="inlineStr">
        <is>
          <t>Test Type</t>
        </is>
      </c>
      <c r="D1" s="15" t="inlineStr">
        <is>
          <t>Priority</t>
        </is>
      </c>
      <c r="E1" s="15" t="inlineStr">
        <is>
          <t>Scenario</t>
        </is>
      </c>
      <c r="F1" s="15" t="inlineStr">
        <is>
          <t>Preconditions</t>
        </is>
      </c>
      <c r="G1" s="15" t="inlineStr">
        <is>
          <t>Test Steps</t>
        </is>
      </c>
      <c r="H1" s="15" t="inlineStr">
        <is>
          <t>Expected Result</t>
        </is>
      </c>
      <c r="I1" s="15" t="inlineStr">
        <is>
          <t>Actual Result</t>
        </is>
      </c>
      <c r="J1" s="15" t="inlineStr">
        <is>
          <t>Status</t>
        </is>
      </c>
      <c r="K1" s="15" t="inlineStr">
        <is>
          <t>Tester</t>
        </is>
      </c>
      <c r="L1" s="15" t="inlineStr">
        <is>
          <t>Test Date</t>
        </is>
      </c>
      <c r="M1" s="15" t="inlineStr">
        <is>
          <t>Evidence ID</t>
        </is>
      </c>
      <c r="N1" s="15" t="inlineStr">
        <is>
          <t>Defect Reference</t>
        </is>
      </c>
      <c r="O1" s="15" t="inlineStr">
        <is>
          <t>Notes</t>
        </is>
      </c>
      <c r="P1" s="15" t="inlineStr">
        <is>
          <t>Test Owner</t>
        </is>
      </c>
    </row>
    <row r="2" ht="24" customHeight="1">
      <c r="A2" s="16" t="inlineStr">
        <is>
          <t>AUTH-REG-01</t>
        </is>
      </c>
      <c r="B2" s="16" t="inlineStr">
        <is>
          <t>Authentication</t>
        </is>
      </c>
      <c r="C2" s="16" t="inlineStr">
        <is>
          <t>API</t>
        </is>
      </c>
      <c r="D2" s="17" t="inlineStr">
        <is>
          <t>Critical</t>
        </is>
      </c>
      <c r="E2" s="16" t="inlineStr">
        <is>
          <t>Valid student registration</t>
        </is>
      </c>
      <c r="F2" s="16" t="inlineStr">
        <is>
          <t>Unique test email</t>
        </is>
      </c>
      <c r="G2" s="16" t="inlineStr">
        <is>
          <t>POST valid payload to /api/v1/auth/register/</t>
        </is>
      </c>
      <c r="H2" s="16" t="inlineStr">
        <is>
          <t>201 Created; Student account and StudentProfile created; response excludes password fields.</t>
        </is>
      </c>
      <c r="I2" s="25" t="inlineStr">
        <is>
          <t>201 Created; student account created successfully. Response returned id, email, first_name, last_name, and role, with no password fields exposed.</t>
        </is>
      </c>
      <c r="J2" s="17" t="inlineStr">
        <is>
          <t>Pass</t>
        </is>
      </c>
      <c r="K2" s="17" t="inlineStr">
        <is>
          <t>MD</t>
        </is>
      </c>
      <c r="L2" s="23" t="n">
        <v>46282</v>
      </c>
      <c r="M2" s="17" t="inlineStr">
        <is>
          <t>EV-048</t>
        </is>
      </c>
      <c r="N2" s="16" t="n"/>
      <c r="O2" s="25" t="inlineStr">
        <is>
          <t>Valid student registration verified via Postman on feature/sprint-3.</t>
        </is>
      </c>
      <c r="P2" s="17" t="inlineStr">
        <is>
          <t>MD</t>
        </is>
      </c>
    </row>
    <row r="3" ht="24" customHeight="1">
      <c r="A3" s="16" t="inlineStr">
        <is>
          <t>AUTH-REG-02</t>
        </is>
      </c>
      <c r="B3" s="16" t="inlineStr">
        <is>
          <t>Authentication</t>
        </is>
      </c>
      <c r="C3" s="16" t="inlineStr">
        <is>
          <t>API</t>
        </is>
      </c>
      <c r="D3" s="17" t="inlineStr">
        <is>
          <t>High</t>
        </is>
      </c>
      <c r="E3" s="16" t="inlineStr">
        <is>
          <t>Missing required registration field</t>
        </is>
      </c>
      <c r="F3" s="16" t="inlineStr">
        <is>
          <t>Registration endpoint available</t>
        </is>
      </c>
      <c r="G3" s="16" t="inlineStr">
        <is>
          <t>POST payload missing one required field</t>
        </is>
      </c>
      <c r="H3" s="16" t="inlineStr">
        <is>
          <t>400 Bad Request; required-field validation returned; account not created.</t>
        </is>
      </c>
      <c r="I3" s="25" t="inlineStr">
        <is>
          <t>400 Bad Request returned. Required-field validation correctly identified the missing last_name field and rejected the registration request.</t>
        </is>
      </c>
      <c r="J3" s="17" t="inlineStr">
        <is>
          <t>Pass</t>
        </is>
      </c>
      <c r="K3" s="17" t="inlineStr">
        <is>
          <t>MD</t>
        </is>
      </c>
      <c r="L3" s="23" t="n">
        <v>46282</v>
      </c>
      <c r="M3" s="17" t="inlineStr">
        <is>
          <t>EV-049</t>
        </is>
      </c>
      <c r="N3" s="16" t="n"/>
      <c r="O3" s="25" t="inlineStr">
        <is>
          <t>Missing required registration field validation verified via Postman on feature/sprint-3.</t>
        </is>
      </c>
      <c r="P3" s="17" t="inlineStr">
        <is>
          <t>MD</t>
        </is>
      </c>
    </row>
    <row r="4" ht="14.25" customHeight="1">
      <c r="A4" s="16" t="inlineStr">
        <is>
          <t>AUTH-REG-03</t>
        </is>
      </c>
      <c r="B4" s="16" t="inlineStr">
        <is>
          <t>Authentication</t>
        </is>
      </c>
      <c r="C4" s="16" t="inlineStr">
        <is>
          <t>API</t>
        </is>
      </c>
      <c r="D4" s="17" t="inlineStr">
        <is>
          <t>High</t>
        </is>
      </c>
      <c r="E4" s="16" t="inlineStr">
        <is>
          <t>Duplicate email registration</t>
        </is>
      </c>
      <c r="F4" s="16" t="inlineStr">
        <is>
          <t>Existing account uses test email</t>
        </is>
      </c>
      <c r="G4" s="16" t="inlineStr">
        <is>
          <t>POST registration with existing email</t>
        </is>
      </c>
      <c r="H4" s="16" t="inlineStr">
        <is>
          <t>409 Conflict; duplicate account not created.</t>
        </is>
      </c>
      <c r="I4" s="24" t="inlineStr">
        <is>
          <t>409 Conflict returned. Registration using an existing email was rejected with "A user with this email already exists." Duplicate account was not created.</t>
        </is>
      </c>
      <c r="J4" s="17" t="inlineStr">
        <is>
          <t>Pass</t>
        </is>
      </c>
      <c r="K4" s="17" t="inlineStr">
        <is>
          <t>MD</t>
        </is>
      </c>
      <c r="L4" s="23" t="n">
        <v>46283</v>
      </c>
      <c r="M4" s="17" t="inlineStr">
        <is>
          <t>EV-050</t>
        </is>
      </c>
      <c r="N4" s="16" t="n"/>
      <c r="O4" s="24" t="inlineStr">
        <is>
          <t>Duplicate email registration validation verified via Postman on feature/sprint-3.</t>
        </is>
      </c>
      <c r="P4" s="17" t="inlineStr">
        <is>
          <t>MD</t>
        </is>
      </c>
    </row>
    <row r="5" ht="24" customHeight="1">
      <c r="A5" s="16" t="inlineStr">
        <is>
          <t>AUTH-REG-04</t>
        </is>
      </c>
      <c r="B5" s="16" t="inlineStr">
        <is>
          <t>Authentication</t>
        </is>
      </c>
      <c r="C5" s="16" t="inlineStr">
        <is>
          <t>Security</t>
        </is>
      </c>
      <c r="D5" s="17" t="inlineStr">
        <is>
          <t>Critical</t>
        </is>
      </c>
      <c r="E5" s="16" t="inlineStr">
        <is>
          <t>Registration response protects password</t>
        </is>
      </c>
      <c r="F5" s="16" t="inlineStr">
        <is>
          <t>Registration endpoint available</t>
        </is>
      </c>
      <c r="G5" s="16" t="inlineStr">
        <is>
          <t>Register account and inspect response</t>
        </is>
      </c>
      <c r="H5" s="16" t="inlineStr">
        <is>
          <t>201 Created response excludes password, password_confirm, hashes, reset credentials, and secrets.</t>
        </is>
      </c>
      <c r="I5" s="25" t="inlineStr">
        <is>
          <t>201 Created; registration response returned only id, email, first_name, last_name, and role. Password, password_confirm, hashes, reset credentials, tokens, and other secrets were not exposed.</t>
        </is>
      </c>
      <c r="J5" s="17" t="inlineStr">
        <is>
          <t>Pass</t>
        </is>
      </c>
      <c r="K5" s="17" t="inlineStr">
        <is>
          <t>MD</t>
        </is>
      </c>
      <c r="L5" s="23" t="n">
        <v>46283</v>
      </c>
      <c r="M5" s="17" t="inlineStr">
        <is>
          <t>EV-051</t>
        </is>
      </c>
      <c r="N5" s="16" t="n"/>
      <c r="O5" s="25" t="inlineStr">
        <is>
          <t>Registration response security verified via Postman on feature/sprint-3; sensitive authentication fields were not returned.</t>
        </is>
      </c>
      <c r="P5" s="17" t="inlineStr">
        <is>
          <t>MD</t>
        </is>
      </c>
    </row>
    <row r="6" ht="24" customHeight="1">
      <c r="A6" s="16" t="inlineStr">
        <is>
          <t>AUTH-LOGIN-01</t>
        </is>
      </c>
      <c r="B6" s="16" t="inlineStr">
        <is>
          <t>Authentication</t>
        </is>
      </c>
      <c r="C6" s="16" t="inlineStr">
        <is>
          <t>API</t>
        </is>
      </c>
      <c r="D6" s="17" t="inlineStr">
        <is>
          <t>Critical</t>
        </is>
      </c>
      <c r="E6" s="16" t="inlineStr">
        <is>
          <t>Valid login</t>
        </is>
      </c>
      <c r="F6" s="16" t="inlineStr">
        <is>
          <t>Active Student account exists</t>
        </is>
      </c>
      <c r="G6" s="16" t="inlineStr">
        <is>
          <t>POST valid credentials to /api/v1/auth/login/</t>
        </is>
      </c>
      <c r="H6" s="16" t="inlineStr">
        <is>
          <t>200 OK; access token, refresh token, and authenticated user summary returned.</t>
        </is>
      </c>
      <c r="I6" s="24" t="inlineStr">
        <is>
          <t>200 OK; valid credentials returned access token, refresh token, and authenticated user summary containing id, email, first_name, last_name, and role.</t>
        </is>
      </c>
      <c r="J6" s="17" t="inlineStr">
        <is>
          <t>Pass</t>
        </is>
      </c>
      <c r="K6" s="17" t="inlineStr">
        <is>
          <t>MD</t>
        </is>
      </c>
      <c r="L6" s="23" t="n">
        <v>46283</v>
      </c>
      <c r="M6" s="17" t="inlineStr">
        <is>
          <t>EV-052</t>
        </is>
      </c>
      <c r="N6" s="16" t="n"/>
      <c r="O6" s="24" t="inlineStr">
        <is>
          <t>Valid student login verified via Postman on feature/sprint-3.</t>
        </is>
      </c>
      <c r="P6" s="17" t="inlineStr">
        <is>
          <t>MD</t>
        </is>
      </c>
    </row>
    <row r="7" ht="24" customHeight="1">
      <c r="A7" s="16" t="inlineStr">
        <is>
          <t>AUTH-LOGIN-02</t>
        </is>
      </c>
      <c r="B7" s="16" t="inlineStr">
        <is>
          <t>Authentication</t>
        </is>
      </c>
      <c r="C7" s="16" t="inlineStr">
        <is>
          <t>API</t>
        </is>
      </c>
      <c r="D7" s="17" t="inlineStr">
        <is>
          <t>Critical</t>
        </is>
      </c>
      <c r="E7" s="16" t="inlineStr">
        <is>
          <t>Invalid password</t>
        </is>
      </c>
      <c r="F7" s="16" t="inlineStr">
        <is>
          <t>Active Student account exists</t>
        </is>
      </c>
      <c r="G7" s="16" t="inlineStr">
        <is>
          <t>POST correct email with wrong password</t>
        </is>
      </c>
      <c r="H7" s="16" t="inlineStr">
        <is>
          <t>401 Unauthorized; controlled invalid-credentials error; no tokens returned.</t>
        </is>
      </c>
      <c r="I7" s="25" t="inlineStr">
        <is>
          <t>401 Unauthorized; incorrect password returned a controlled invalid_credentials error and no access or refresh tokens were returned.</t>
        </is>
      </c>
      <c r="J7" s="17" t="inlineStr">
        <is>
          <t>Pass</t>
        </is>
      </c>
      <c r="K7" s="17" t="inlineStr">
        <is>
          <t>MD</t>
        </is>
      </c>
      <c r="L7" s="23" t="n">
        <v>46283</v>
      </c>
      <c r="M7" s="17" t="inlineStr">
        <is>
          <t>EV-053</t>
        </is>
      </c>
      <c r="N7" s="16" t="n"/>
      <c r="O7" s="25" t="inlineStr">
        <is>
          <t>Invalid-password login handling verified via Postman on feature/sprint-3.</t>
        </is>
      </c>
      <c r="P7" s="17" t="inlineStr">
        <is>
          <t>MD</t>
        </is>
      </c>
    </row>
    <row r="8" ht="24" customHeight="1">
      <c r="A8" s="16" t="inlineStr">
        <is>
          <t>AUTH-LOGIN-03</t>
        </is>
      </c>
      <c r="B8" s="16" t="inlineStr">
        <is>
          <t>Authentication</t>
        </is>
      </c>
      <c r="C8" s="16" t="inlineStr">
        <is>
          <t>API</t>
        </is>
      </c>
      <c r="D8" s="17" t="inlineStr">
        <is>
          <t>High</t>
        </is>
      </c>
      <c r="E8" s="16" t="inlineStr">
        <is>
          <t>Missing login credentials</t>
        </is>
      </c>
      <c r="F8" s="16" t="inlineStr">
        <is>
          <t>Login endpoint available</t>
        </is>
      </c>
      <c r="G8" s="16" t="inlineStr">
        <is>
          <t>POST request with missing email or password</t>
        </is>
      </c>
      <c r="H8" s="16" t="inlineStr">
        <is>
          <t>400 Bad Request; required-field validation returned in the standard error structure.</t>
        </is>
      </c>
      <c r="I8" s="24" t="inlineStr">
        <is>
          <t>400 Bad Request; missing password returned the standard validation_error structure with password identified as a required field.</t>
        </is>
      </c>
      <c r="J8" s="17" t="inlineStr">
        <is>
          <t>Pass</t>
        </is>
      </c>
      <c r="K8" s="17" t="inlineStr">
        <is>
          <t>MD</t>
        </is>
      </c>
      <c r="L8" s="23" t="n">
        <v>46283</v>
      </c>
      <c r="M8" s="17" t="inlineStr">
        <is>
          <t>EV-054</t>
        </is>
      </c>
      <c r="N8" s="16" t="n"/>
      <c r="O8" s="25" t="inlineStr">
        <is>
          <t>Missing login credential validation verified via Postman on feature/sprint-3.</t>
        </is>
      </c>
      <c r="P8" s="17" t="inlineStr">
        <is>
          <t>MD</t>
        </is>
      </c>
    </row>
    <row r="9" ht="24" customHeight="1">
      <c r="A9" s="16" t="inlineStr">
        <is>
          <t>AUTH-ME-01</t>
        </is>
      </c>
      <c r="B9" s="16" t="inlineStr">
        <is>
          <t>Current User</t>
        </is>
      </c>
      <c r="C9" s="16" t="inlineStr">
        <is>
          <t>API</t>
        </is>
      </c>
      <c r="D9" s="17" t="inlineStr">
        <is>
          <t>Critical</t>
        </is>
      </c>
      <c r="E9" s="16" t="inlineStr">
        <is>
          <t>Retrieve current authenticated user</t>
        </is>
      </c>
      <c r="F9" s="16" t="inlineStr">
        <is>
          <t>Valid access token</t>
        </is>
      </c>
      <c r="G9" s="16" t="inlineStr">
        <is>
          <t>GET /api/v1/auth/me/ with Bearer token</t>
        </is>
      </c>
      <c r="H9" s="16" t="inlineStr">
        <is>
          <t>200 OK; authenticated user's id, email, first_name, last_name, and role returned.</t>
        </is>
      </c>
      <c r="I9" s="25" t="inlineStr">
        <is>
          <t>200 OK; authenticated request with a valid Bearer access token returned the current user's id, email, first_name, last_name, and role.</t>
        </is>
      </c>
      <c r="J9" s="17" t="inlineStr">
        <is>
          <t>Pass</t>
        </is>
      </c>
      <c r="K9" s="17" t="inlineStr">
        <is>
          <t>MD</t>
        </is>
      </c>
      <c r="L9" s="23" t="n">
        <v>46283</v>
      </c>
      <c r="M9" s="17" t="inlineStr">
        <is>
          <t>EV-055</t>
        </is>
      </c>
      <c r="N9" s="16" t="n"/>
      <c r="O9" s="25" t="inlineStr">
        <is>
          <t>Current authenticated user retrieval verified via Postman on feature/sprint-3 using a valid access token.</t>
        </is>
      </c>
      <c r="P9" s="17" t="inlineStr">
        <is>
          <t>MD</t>
        </is>
      </c>
    </row>
    <row r="10" ht="14.25" customHeight="1">
      <c r="A10" s="16" t="inlineStr">
        <is>
          <t>AUTH-ME-02</t>
        </is>
      </c>
      <c r="B10" s="16" t="inlineStr">
        <is>
          <t>Current User</t>
        </is>
      </c>
      <c r="C10" s="16" t="inlineStr">
        <is>
          <t>Security</t>
        </is>
      </c>
      <c r="D10" s="17" t="inlineStr">
        <is>
          <t>Critical</t>
        </is>
      </c>
      <c r="E10" s="16" t="inlineStr">
        <is>
          <t>Current user without token</t>
        </is>
      </c>
      <c r="F10" s="16" t="inlineStr">
        <is>
          <t>None</t>
        </is>
      </c>
      <c r="G10" s="16" t="inlineStr">
        <is>
          <t>GET /api/v1/auth/me/ without Authorization</t>
        </is>
      </c>
      <c r="H10" s="16" t="inlineStr">
        <is>
          <t>401 Unauthorized; no account data returned</t>
        </is>
      </c>
      <c r="I10" s="25" t="inlineStr">
        <is>
          <t>401 Unauthorized; request without Authorization returned a not_authenticated error and no account data was returned.</t>
        </is>
      </c>
      <c r="J10" s="17" t="inlineStr">
        <is>
          <t>Pass</t>
        </is>
      </c>
      <c r="K10" s="17" t="inlineStr">
        <is>
          <t>MD</t>
        </is>
      </c>
      <c r="L10" s="23" t="n">
        <v>46283</v>
      </c>
      <c r="M10" s="17" t="inlineStr">
        <is>
          <t>EV-056</t>
        </is>
      </c>
      <c r="N10" s="16" t="n"/>
      <c r="O10" s="25" t="inlineStr">
        <is>
          <t>Unauthenticated access to the current-user endpoint was correctly rejected via Postman on feature/sprint-3.</t>
        </is>
      </c>
      <c r="P10" s="17" t="inlineStr">
        <is>
          <t>MD</t>
        </is>
      </c>
    </row>
    <row r="11" ht="24" customHeight="1">
      <c r="A11" s="16" t="inlineStr">
        <is>
          <t>JWT-REF-01</t>
        </is>
      </c>
      <c r="B11" s="16" t="inlineStr">
        <is>
          <t>JWT</t>
        </is>
      </c>
      <c r="C11" s="16" t="inlineStr">
        <is>
          <t>API</t>
        </is>
      </c>
      <c r="D11" s="17" t="inlineStr">
        <is>
          <t>Critical</t>
        </is>
      </c>
      <c r="E11" s="16" t="inlineStr">
        <is>
          <t>Refresh valid access token</t>
        </is>
      </c>
      <c r="F11" s="16" t="inlineStr">
        <is>
          <t>Valid refresh token</t>
        </is>
      </c>
      <c r="G11" s="16" t="inlineStr">
        <is>
          <t>POST refresh token to /api/v1/auth/token/refresh/</t>
        </is>
      </c>
      <c r="H11" s="16" t="inlineStr">
        <is>
          <t>200 OK; valid refresh token returns a new access token.</t>
        </is>
      </c>
      <c r="I11" s="25" t="inlineStr">
        <is>
          <t>200 OK; valid refresh token was accepted and a new access token was returned. A rotated refresh token was also issued.</t>
        </is>
      </c>
      <c r="J11" s="17" t="inlineStr">
        <is>
          <t>Pass</t>
        </is>
      </c>
      <c r="K11" s="17" t="inlineStr">
        <is>
          <t>MD</t>
        </is>
      </c>
      <c r="L11" s="23" t="n">
        <v>46283</v>
      </c>
      <c r="M11" s="17" t="inlineStr">
        <is>
          <t>EV-057</t>
        </is>
      </c>
      <c r="N11" s="16" t="n"/>
      <c r="O11" s="25" t="inlineStr">
        <is>
          <t>Valid JWT refresh flow verified via Postman on feature/sprint-3; refresh-token rotation was observed.</t>
        </is>
      </c>
      <c r="P11" s="17" t="inlineStr">
        <is>
          <t>MD</t>
        </is>
      </c>
    </row>
    <row r="12" ht="24" customHeight="1">
      <c r="A12" s="16" t="inlineStr">
        <is>
          <t>JWT-REF-02</t>
        </is>
      </c>
      <c r="B12" s="16" t="inlineStr">
        <is>
          <t>JWT</t>
        </is>
      </c>
      <c r="C12" s="16" t="inlineStr">
        <is>
          <t>Security</t>
        </is>
      </c>
      <c r="D12" s="17" t="inlineStr">
        <is>
          <t>Critical</t>
        </is>
      </c>
      <c r="E12" s="16" t="inlineStr">
        <is>
          <t>Reject invalid refresh token</t>
        </is>
      </c>
      <c r="F12" s="16" t="inlineStr">
        <is>
          <t>Invalid refresh token</t>
        </is>
      </c>
      <c r="G12" s="16" t="inlineStr">
        <is>
          <t>POST invalid refresh token</t>
        </is>
      </c>
      <c r="H12" s="16" t="inlineStr">
        <is>
          <t>401 Unauthorized; invalid refresh token rejected; no access token issued.</t>
        </is>
      </c>
      <c r="I12" s="25" t="inlineStr">
        <is>
          <t>401 Unauthorized; invalid refresh token was rejected with token_not_valid error and no access token was issued.</t>
        </is>
      </c>
      <c r="J12" s="17" t="inlineStr">
        <is>
          <t>Pass</t>
        </is>
      </c>
      <c r="K12" s="17" t="inlineStr">
        <is>
          <t>MD</t>
        </is>
      </c>
      <c r="L12" s="23" t="n">
        <v>46283</v>
      </c>
      <c r="M12" s="17" t="inlineStr">
        <is>
          <t>EV-058</t>
        </is>
      </c>
      <c r="N12" s="16" t="n"/>
      <c r="O12" s="25" t="inlineStr">
        <is>
          <t>Invalid JWT refresh token rejection verified via Postman on feature/sprint-3.</t>
        </is>
      </c>
      <c r="P12" s="17" t="inlineStr">
        <is>
          <t>MD</t>
        </is>
      </c>
    </row>
    <row r="13" ht="24" customHeight="1">
      <c r="A13" s="16" t="inlineStr">
        <is>
          <t>JWT-REF-03</t>
        </is>
      </c>
      <c r="B13" s="16" t="inlineStr">
        <is>
          <t>JWT</t>
        </is>
      </c>
      <c r="C13" s="16" t="inlineStr">
        <is>
          <t>Security</t>
        </is>
      </c>
      <c r="D13" s="17" t="inlineStr">
        <is>
          <t>High</t>
        </is>
      </c>
      <c r="E13" s="16" t="inlineStr">
        <is>
          <t>Reject blacklisted refresh token</t>
        </is>
      </c>
      <c r="F13" s="16" t="inlineStr">
        <is>
          <t>Blacklisting implemented; token logged out</t>
        </is>
      </c>
      <c r="G13" s="16" t="inlineStr">
        <is>
          <t>Reuse blacklisted refresh token</t>
        </is>
      </c>
      <c r="H13" s="16" t="inlineStr">
        <is>
          <t>401 Unauthorized; blacklisted refresh token rejected; no access token issued.</t>
        </is>
      </c>
      <c r="I13" s="25" t="inlineStr">
        <is>
          <t>401 Unauthorized; previously invalidated refresh token was rejected with token_not_valid error and no access token was issued.</t>
        </is>
      </c>
      <c r="J13" s="17" t="inlineStr">
        <is>
          <t>Pass</t>
        </is>
      </c>
      <c r="K13" s="17" t="inlineStr">
        <is>
          <t>MD</t>
        </is>
      </c>
      <c r="L13" s="23" t="n">
        <v>46283</v>
      </c>
      <c r="M13" s="17" t="inlineStr">
        <is>
          <t>EV-059</t>
        </is>
      </c>
      <c r="N13" s="16" t="n"/>
      <c r="O13" s="25" t="inlineStr">
        <is>
          <t>Reuse of the previously invalidated refresh token was rejected via Postman on feature/sprint-3.</t>
        </is>
      </c>
      <c r="P13" s="17" t="inlineStr">
        <is>
          <t>MD</t>
        </is>
      </c>
    </row>
    <row r="14" ht="24" customHeight="1">
      <c r="A14" s="16" t="inlineStr">
        <is>
          <t>AUTH-LOG-01</t>
        </is>
      </c>
      <c r="B14" s="16" t="inlineStr">
        <is>
          <t>Authentication</t>
        </is>
      </c>
      <c r="C14" s="16" t="inlineStr">
        <is>
          <t>Integration</t>
        </is>
      </c>
      <c r="D14" s="17" t="inlineStr">
        <is>
          <t>Critical</t>
        </is>
      </c>
      <c r="E14" s="16" t="inlineStr">
        <is>
          <t>Logout invalidates session as designed</t>
        </is>
      </c>
      <c r="F14" s="16" t="inlineStr">
        <is>
          <t>Authenticated user; valid refresh token</t>
        </is>
      </c>
      <c r="G14" s="16" t="inlineStr">
        <is>
          <t>POST logout then attempt token reuse</t>
        </is>
      </c>
      <c r="H14" s="16" t="inlineStr">
        <is>
          <t>200 OK logout response; submitted refresh token is blacklisted and cannot be reused for refresh.</t>
        </is>
      </c>
      <c r="I14" s="25" t="inlineStr">
        <is>
          <t>200 OK logout response received. Reusing the same refresh token returned 401 Unauthorized with token_not_valid, and no new access token was issued.</t>
        </is>
      </c>
      <c r="J14" s="17" t="inlineStr">
        <is>
          <t>Pass</t>
        </is>
      </c>
      <c r="K14" s="17" t="inlineStr">
        <is>
          <t>MD</t>
        </is>
      </c>
      <c r="L14" s="23" t="n">
        <v>46283</v>
      </c>
      <c r="M14" s="17" t="inlineStr">
        <is>
          <t>EV-060, EV-061</t>
        </is>
      </c>
      <c r="N14" s="16" t="n"/>
      <c r="O14" s="25" t="inlineStr">
        <is>
          <t>Logout and refresh-token blacklisting verified via Postman on feature/sprint-3.</t>
        </is>
      </c>
      <c r="P14" s="17" t="inlineStr">
        <is>
          <t>MD</t>
        </is>
      </c>
    </row>
    <row r="15" ht="24" customHeight="1">
      <c r="A15" s="16" t="inlineStr">
        <is>
          <t>AUTH-PWR-01</t>
        </is>
      </c>
      <c r="B15" s="16" t="inlineStr">
        <is>
          <t>Authentication</t>
        </is>
      </c>
      <c r="C15" s="16" t="inlineStr">
        <is>
          <t>API</t>
        </is>
      </c>
      <c r="D15" s="17" t="inlineStr">
        <is>
          <t>Medium</t>
        </is>
      </c>
      <c r="E15" s="16" t="inlineStr">
        <is>
          <t>Password reset request</t>
        </is>
      </c>
      <c r="F15" s="16" t="inlineStr">
        <is>
          <t>Reset endpoint enabled</t>
        </is>
      </c>
      <c r="G15" s="16" t="inlineStr">
        <is>
          <t>POST approved reset request</t>
        </is>
      </c>
      <c r="H15" s="16" t="inlineStr">
        <is>
          <t>200 OK with the same controlled message for registered or unregistered email; no account existence disclosure.</t>
        </is>
      </c>
      <c r="I15" s="25" t="inlineStr">
        <is>
          <t>200 OK returned for both registered and unregistered email addresses with the same controlled password-reset message. No account existence information was disclosed.</t>
        </is>
      </c>
      <c r="J15" s="17" t="inlineStr">
        <is>
          <t>Pass</t>
        </is>
      </c>
      <c r="K15" s="17" t="inlineStr">
        <is>
          <t>MD</t>
        </is>
      </c>
      <c r="L15" s="23" t="n">
        <v>46286</v>
      </c>
      <c r="M15" s="17" t="inlineStr">
        <is>
          <t>EV-062, EV-063</t>
        </is>
      </c>
      <c r="N15" s="16" t="n"/>
      <c r="O15" s="25" t="inlineStr">
        <is>
          <t>Password reset request enumeration protection verified via Postman on feature/sprint-3.</t>
        </is>
      </c>
      <c r="P15" s="17" t="inlineStr">
        <is>
          <t>MD</t>
        </is>
      </c>
    </row>
    <row r="16" ht="24" customHeight="1">
      <c r="A16" s="16" t="inlineStr">
        <is>
          <t>AUTH-PWR-02</t>
        </is>
      </c>
      <c r="B16" s="16" t="inlineStr">
        <is>
          <t>Authentication</t>
        </is>
      </c>
      <c r="C16" s="16" t="inlineStr">
        <is>
          <t>Security</t>
        </is>
      </c>
      <c r="D16" s="17" t="inlineStr">
        <is>
          <t>High</t>
        </is>
      </c>
      <c r="E16" s="16" t="inlineStr">
        <is>
          <t>Invalid password reset confirmation</t>
        </is>
      </c>
      <c r="F16" s="16" t="inlineStr">
        <is>
          <t>Invalid or expired reset credential</t>
        </is>
      </c>
      <c r="G16" s="16" t="inlineStr">
        <is>
          <t>POST reset confirmation with invalid credential</t>
        </is>
      </c>
      <c r="H16" s="16" t="inlineStr">
        <is>
          <t>401 Unauthorized for invalid or expired reset credentials; password remains unchanged.</t>
        </is>
      </c>
      <c r="I16" s="25" t="inlineStr">
        <is>
          <t>401 Unauthorized returned for invalid reset credentials with invalid_reset_token error. Subsequent login using the original password succeeded with 200 OK, confirming the password remained unchanged.</t>
        </is>
      </c>
      <c r="J16" s="17" t="inlineStr">
        <is>
          <t>Pass</t>
        </is>
      </c>
      <c r="K16" s="17" t="inlineStr">
        <is>
          <t>MD</t>
        </is>
      </c>
      <c r="L16" s="23" t="n">
        <v>46286</v>
      </c>
      <c r="M16" s="17" t="inlineStr">
        <is>
          <t>EV-064, EV-065</t>
        </is>
      </c>
      <c r="N16" s="16" t="n"/>
      <c r="O16" s="25" t="inlineStr">
        <is>
          <t>Invalid password-reset confirmation and unchanged-password behavior verified via Postman on feature/sprint-3.</t>
        </is>
      </c>
      <c r="P16" s="17" t="inlineStr">
        <is>
          <t>MD</t>
        </is>
      </c>
    </row>
    <row r="17" ht="36" customHeight="1">
      <c r="A17" s="16" t="inlineStr">
        <is>
          <t>PROF-GET-01</t>
        </is>
      </c>
      <c r="B17" s="16" t="inlineStr">
        <is>
          <t>Student Profile</t>
        </is>
      </c>
      <c r="C17" s="16" t="inlineStr">
        <is>
          <t>API</t>
        </is>
      </c>
      <c r="D17" s="17" t="inlineStr">
        <is>
          <t>Critical</t>
        </is>
      </c>
      <c r="E17" s="16" t="inlineStr">
        <is>
          <t>Authenticated student retrieves own profile</t>
        </is>
      </c>
      <c r="F17" s="16" t="inlineStr">
        <is>
          <t>Student A has profile and valid token</t>
        </is>
      </c>
      <c r="G17" s="16" t="inlineStr">
        <is>
          <t>GET /api/v1/profile/ as Student A</t>
        </is>
      </c>
      <c r="H17" s="16" t="inlineStr">
        <is>
          <t>200 OK; only Student A profile data returned</t>
        </is>
      </c>
      <c r="I17" s="16" t="inlineStr">
        <is>
          <t>Authenticated WBS 4.8 test student opened /profile. GET /api/v1/profile/ returned HTTP 200 and the student's profile loaded in React.</t>
        </is>
      </c>
      <c r="J17" s="17" t="inlineStr">
        <is>
          <t>Pass</t>
        </is>
      </c>
      <c r="K17" s="17" t="inlineStr">
        <is>
          <t>Jerald</t>
        </is>
      </c>
      <c r="L17" s="17" t="inlineStr">
        <is>
          <t>2026-08-28</t>
        </is>
      </c>
      <c r="M17" s="17" t="inlineStr">
        <is>
          <t>EV-027; EV-028</t>
        </is>
      </c>
      <c r="N17" s="16" t="n"/>
      <c r="O17" s="16" t="inlineStr">
        <is>
          <t>Own-profile retrieval verified. Cross-student isolation is covered by OWN-01 to OWN-04.</t>
        </is>
      </c>
      <c r="P17" s="17" t="inlineStr">
        <is>
          <t>MD</t>
        </is>
      </c>
    </row>
    <row r="18" ht="14.25" customHeight="1">
      <c r="A18" s="16" t="inlineStr">
        <is>
          <t>PROF-GET-02</t>
        </is>
      </c>
      <c r="B18" s="16" t="inlineStr">
        <is>
          <t>Student Profile</t>
        </is>
      </c>
      <c r="C18" s="16" t="inlineStr">
        <is>
          <t>Security</t>
        </is>
      </c>
      <c r="D18" s="17" t="inlineStr">
        <is>
          <t>Critical</t>
        </is>
      </c>
      <c r="E18" s="16" t="inlineStr">
        <is>
          <t>Profile request without authentication</t>
        </is>
      </c>
      <c r="F18" s="16" t="inlineStr">
        <is>
          <t>None</t>
        </is>
      </c>
      <c r="G18" s="16" t="inlineStr">
        <is>
          <t>GET /api/v1/profile/ without token</t>
        </is>
      </c>
      <c r="H18" s="16" t="inlineStr">
        <is>
          <t>401 Unauthorized; no profile data returned</t>
        </is>
      </c>
      <c r="I18" s="26" t="inlineStr">
        <is>
          <t>401 Unauthorized; unauthenticated profile request returned a not_authenticated error and no profile data was returned.</t>
        </is>
      </c>
      <c r="J18" s="17" t="inlineStr">
        <is>
          <t>Pass</t>
        </is>
      </c>
      <c r="K18" s="17" t="inlineStr">
        <is>
          <t>MD</t>
        </is>
      </c>
      <c r="L18" s="23" t="n">
        <v>46286</v>
      </c>
      <c r="M18" s="17" t="inlineStr">
        <is>
          <t>EV-066</t>
        </is>
      </c>
      <c r="N18" s="16" t="n"/>
      <c r="O18" s="25" t="inlineStr">
        <is>
          <t>Unauthenticated access to the Student Profile endpoint was correctly rejected via Postman on feature/sprint-3.</t>
        </is>
      </c>
      <c r="P18" s="17" t="inlineStr">
        <is>
          <t>MD</t>
        </is>
      </c>
    </row>
    <row r="19" ht="36" customHeight="1">
      <c r="A19" s="16" t="inlineStr">
        <is>
          <t>PROF-GET-03</t>
        </is>
      </c>
      <c r="B19" s="16" t="inlineStr">
        <is>
          <t>Student Profile</t>
        </is>
      </c>
      <c r="C19" s="16" t="inlineStr">
        <is>
          <t>API</t>
        </is>
      </c>
      <c r="D19" s="17" t="inlineStr">
        <is>
          <t>High</t>
        </is>
      </c>
      <c r="E19" s="16" t="inlineStr">
        <is>
          <t>Profile response contains approved collections</t>
        </is>
      </c>
      <c r="F19" s="16" t="inlineStr">
        <is>
          <t>Profile has related data</t>
        </is>
      </c>
      <c r="G19" s="16" t="inlineStr">
        <is>
          <t>GET /api/v1/profile/</t>
        </is>
      </c>
      <c r="H19" s="16" t="inlineStr">
        <is>
          <t>200 OK; response contains skills, interests, education, experience, projects, career_goals, and personality_responses.</t>
        </is>
      </c>
      <c r="I19" s="16" t="inlineStr">
        <is>
          <t>GET /api/v1/profile/ returned HTTP 200 and persisted profile sections were displayed through the Student Profile UI across the reload, edit, and deletion checks.</t>
        </is>
      </c>
      <c r="J19" s="17" t="inlineStr">
        <is>
          <t>Pass</t>
        </is>
      </c>
      <c r="K19" s="17" t="inlineStr">
        <is>
          <t>Jerald</t>
        </is>
      </c>
      <c r="L19" s="17" t="inlineStr">
        <is>
          <t>2026-08-28</t>
        </is>
      </c>
      <c r="M19" s="17" t="inlineStr">
        <is>
          <t>EV-028; EV-029; EV-030</t>
        </is>
      </c>
      <c r="N19" s="16" t="n"/>
      <c r="O19" s="16" t="inlineStr">
        <is>
          <t>UI evidence confirms all seven profile collections are returned and rendered. Raw JSON schema was not separately captured.</t>
        </is>
      </c>
      <c r="P19" s="17" t="inlineStr">
        <is>
          <t>MD</t>
        </is>
      </c>
    </row>
    <row r="20" ht="36" customHeight="1">
      <c r="A20" s="16" t="inlineStr">
        <is>
          <t>PROF-PAT-01</t>
        </is>
      </c>
      <c r="B20" s="16" t="inlineStr">
        <is>
          <t>Student Profile</t>
        </is>
      </c>
      <c r="C20" s="16" t="inlineStr">
        <is>
          <t>API</t>
        </is>
      </c>
      <c r="D20" s="17" t="inlineStr">
        <is>
          <t>Critical</t>
        </is>
      </c>
      <c r="E20" s="16" t="inlineStr">
        <is>
          <t>Valid partial profile update</t>
        </is>
      </c>
      <c r="F20" s="16" t="inlineStr">
        <is>
          <t>Authenticated Student A</t>
        </is>
      </c>
      <c r="G20" s="16" t="inlineStr">
        <is>
          <t>PATCH approved fields</t>
        </is>
      </c>
      <c r="H20" s="16" t="inlineStr">
        <is>
          <t>200 OK; submitted profile collections updated; omitted collections preserved.</t>
        </is>
      </c>
      <c r="I20" s="16" t="inlineStr">
        <is>
          <t>An existing Education record was edited, Save Profile submitted PATCH successfully, the updated description persisted, and unrelated profile sections remained present after refresh.</t>
        </is>
      </c>
      <c r="J20" s="17" t="inlineStr">
        <is>
          <t>Pass</t>
        </is>
      </c>
      <c r="K20" s="17" t="inlineStr">
        <is>
          <t>Jerald</t>
        </is>
      </c>
      <c r="L20" s="17" t="inlineStr">
        <is>
          <t>2026-08-28</t>
        </is>
      </c>
      <c r="M20" s="17" t="inlineStr">
        <is>
          <t>EV-029</t>
        </is>
      </c>
      <c r="N20" s="16" t="n"/>
      <c r="O20" s="16" t="inlineStr">
        <is>
          <t>Valid authenticated profile update verified through the integrated React and Django flow.</t>
        </is>
      </c>
      <c r="P20" s="17" t="inlineStr">
        <is>
          <t>MD</t>
        </is>
      </c>
    </row>
    <row r="21" ht="14.25" customHeight="1">
      <c r="A21" s="16" t="inlineStr">
        <is>
          <t>PROF-PAT-02</t>
        </is>
      </c>
      <c r="B21" s="16" t="inlineStr">
        <is>
          <t>Student Profile</t>
        </is>
      </c>
      <c r="C21" s="16" t="inlineStr">
        <is>
          <t>API</t>
        </is>
      </c>
      <c r="D21" s="17" t="inlineStr">
        <is>
          <t>High</t>
        </is>
      </c>
      <c r="E21" s="16" t="inlineStr">
        <is>
          <t>Invalid profile field value</t>
        </is>
      </c>
      <c r="F21" s="16" t="inlineStr">
        <is>
          <t>Authenticated Student A</t>
        </is>
      </c>
      <c r="G21" s="16" t="inlineStr">
        <is>
          <t>PATCH invalid profile data</t>
        </is>
      </c>
      <c r="H21" s="16" t="inlineStr">
        <is>
          <t>400 Bad Request; invalid data not persisted</t>
        </is>
      </c>
      <c r="I21" s="26" t="inlineStr">
        <is>
          <t>400 Bad Request returned for an invalid profile field value. The API returned a validation_error stating that "INVALID_LEVEL" is not a valid proficiency_level choice. A subsequent GET returned 200 OK with skills remaining empty, confirming the invalid data was not persisted.</t>
        </is>
      </c>
      <c r="J21" s="17" t="inlineStr">
        <is>
          <t>Pass</t>
        </is>
      </c>
      <c r="K21" s="17" t="inlineStr">
        <is>
          <t>MD</t>
        </is>
      </c>
      <c r="L21" s="23" t="n">
        <v>46286</v>
      </c>
      <c r="M21" s="17" t="inlineStr">
        <is>
          <t>EV-067,EV-068</t>
        </is>
      </c>
      <c r="N21" s="16" t="n"/>
      <c r="O21" s="25" t="inlineStr">
        <is>
          <t>Invalid Student Profile field validation and non-persistence verified via Postman on feature/sprint-3.</t>
        </is>
      </c>
      <c r="P21" s="17" t="inlineStr">
        <is>
          <t>MD</t>
        </is>
      </c>
    </row>
    <row r="22" ht="24" customHeight="1">
      <c r="A22" s="16" t="inlineStr">
        <is>
          <t>PROF-PAT-03</t>
        </is>
      </c>
      <c r="B22" s="16" t="inlineStr">
        <is>
          <t>Student Profile</t>
        </is>
      </c>
      <c r="C22" s="16" t="inlineStr">
        <is>
          <t>API</t>
        </is>
      </c>
      <c r="D22" s="17" t="inlineStr">
        <is>
          <t>Medium</t>
        </is>
      </c>
      <c r="E22" s="16" t="inlineStr">
        <is>
          <t>Empty partial request</t>
        </is>
      </c>
      <c r="F22" s="16" t="inlineStr">
        <is>
          <t>Authenticated Student A</t>
        </is>
      </c>
      <c r="G22" s="16" t="inlineStr">
        <is>
          <t>PATCH empty body</t>
        </is>
      </c>
      <c r="H22" s="16" t="inlineStr">
        <is>
          <t>200 OK; empty PATCH leaves all profile collections unchanged.</t>
        </is>
      </c>
      <c r="I22" s="25" t="inlineStr">
        <is>
          <t>200 OK; empty PATCH request was accepted and all Student Profile collections remained unchanged.</t>
        </is>
      </c>
      <c r="J22" s="17" t="inlineStr">
        <is>
          <t>Pass</t>
        </is>
      </c>
      <c r="K22" s="17" t="inlineStr">
        <is>
          <t>MD</t>
        </is>
      </c>
      <c r="L22" s="23" t="n">
        <v>46286</v>
      </c>
      <c r="M22" s="17" t="inlineStr">
        <is>
          <t>EV-069</t>
        </is>
      </c>
      <c r="N22" s="16" t="n"/>
      <c r="O22" s="25" t="inlineStr">
        <is>
          <t>Empty Student Profile PATCH behavior verified via Postman on feature/sprint-3; no profile collections were modified.</t>
        </is>
      </c>
      <c r="P22" s="17" t="inlineStr">
        <is>
          <t>MD</t>
        </is>
      </c>
    </row>
    <row r="23" ht="24" customHeight="1">
      <c r="A23" s="16" t="inlineStr">
        <is>
          <t>PROF-PAT-04</t>
        </is>
      </c>
      <c r="B23" s="16" t="inlineStr">
        <is>
          <t>Student Profile</t>
        </is>
      </c>
      <c r="C23" s="16" t="inlineStr">
        <is>
          <t>Security</t>
        </is>
      </c>
      <c r="D23" s="17" t="inlineStr">
        <is>
          <t>Critical</t>
        </is>
      </c>
      <c r="E23" s="16" t="inlineStr">
        <is>
          <t>Attempt ownership-field change</t>
        </is>
      </c>
      <c r="F23" s="16" t="inlineStr">
        <is>
          <t>Authenticated Student A</t>
        </is>
      </c>
      <c r="G23" s="16" t="inlineStr">
        <is>
          <t>PATCH another user_id or student_profile_id</t>
        </is>
      </c>
      <c r="H23" s="16" t="inlineStr">
        <is>
          <t>400 Bad Request; user_id or student_profile_id is rejected as unsupported; ownership remains unchanged.</t>
        </is>
      </c>
      <c r="I23" s="25" t="inlineStr">
        <is>
          <t>400 Bad Request; attempted user_id ownership-field change was rejected with validation_error stating "This field is not allowed." The unsupported ownership field was not accepted.</t>
        </is>
      </c>
      <c r="J23" s="17" t="inlineStr">
        <is>
          <t>Pass</t>
        </is>
      </c>
      <c r="K23" s="17" t="inlineStr">
        <is>
          <t>MD</t>
        </is>
      </c>
      <c r="L23" s="23" t="n">
        <v>46286</v>
      </c>
      <c r="M23" s="17" t="inlineStr">
        <is>
          <t>EV-070</t>
        </is>
      </c>
      <c r="N23" s="16" t="n"/>
      <c r="O23" s="16" t="inlineStr">
        <is>
          <t>Student Profile ownership-field protection verified via Postman on feature/sprint-3; client-supplied user_id was rejected as unsupported.</t>
        </is>
      </c>
      <c r="P23" s="17" t="inlineStr">
        <is>
          <t>MD</t>
        </is>
      </c>
    </row>
    <row r="24" ht="36" customHeight="1">
      <c r="A24" s="16" t="inlineStr">
        <is>
          <t>PROF-PAT-05</t>
        </is>
      </c>
      <c r="B24" s="16" t="inlineStr">
        <is>
          <t>Student Profile</t>
        </is>
      </c>
      <c r="C24" s="16" t="inlineStr">
        <is>
          <t>Database</t>
        </is>
      </c>
      <c r="D24" s="17" t="inlineStr">
        <is>
          <t>High</t>
        </is>
      </c>
      <c r="E24" s="16" t="inlineStr">
        <is>
          <t>Profile update persists</t>
        </is>
      </c>
      <c r="F24" s="16" t="inlineStr">
        <is>
          <t>Authenticated Student A</t>
        </is>
      </c>
      <c r="G24" s="16" t="inlineStr">
        <is>
          <t>PATCH valid update then GET profile</t>
        </is>
      </c>
      <c r="H24" s="16" t="inlineStr">
        <is>
          <t>200 OK on update; a subsequent GET returns the persisted value from PostgreSQL.</t>
        </is>
      </c>
      <c r="I24" s="16" t="inlineStr">
        <is>
          <t>Profile changes persisted after successful PATCH requests and browser refreshes. Edited Education remained updated and the removed Project did not return.</t>
        </is>
      </c>
      <c r="J24" s="17" t="inlineStr">
        <is>
          <t>Pass</t>
        </is>
      </c>
      <c r="K24" s="17" t="inlineStr">
        <is>
          <t>Jerald</t>
        </is>
      </c>
      <c r="L24" s="17" t="inlineStr">
        <is>
          <t>2026-08-28</t>
        </is>
      </c>
      <c r="M24" s="17" t="inlineStr">
        <is>
          <t>EV-026; EV-028; EV-029; EV-030</t>
        </is>
      </c>
      <c r="N24" s="16" t="n"/>
      <c r="O24" s="16" t="inlineStr">
        <is>
          <t>Save-and-reload persistence verified. DB-03 separately confirms related records in PostgreSQL.</t>
        </is>
      </c>
      <c r="P24" s="17" t="inlineStr">
        <is>
          <t>Jerald</t>
        </is>
      </c>
    </row>
    <row r="25" ht="24" customHeight="1">
      <c r="A25" s="16" t="inlineStr">
        <is>
          <t>OWN-01</t>
        </is>
      </c>
      <c r="B25" s="16" t="inlineStr">
        <is>
          <t>Ownership</t>
        </is>
      </c>
      <c r="C25" s="16" t="inlineStr">
        <is>
          <t>Permission</t>
        </is>
      </c>
      <c r="D25" s="17" t="inlineStr">
        <is>
          <t>Critical</t>
        </is>
      </c>
      <c r="E25" s="16" t="inlineStr">
        <is>
          <t>Student A reads own profile</t>
        </is>
      </c>
      <c r="F25" s="16" t="inlineStr">
        <is>
          <t>Student A and B exist</t>
        </is>
      </c>
      <c r="G25" s="16" t="inlineStr">
        <is>
          <t>GET own profile as Student A</t>
        </is>
      </c>
      <c r="H25" s="16" t="inlineStr">
        <is>
          <t>200 OK; Student A receives only Student A's authenticated profile.</t>
        </is>
      </c>
      <c r="I25" s="16" t="inlineStr">
        <is>
          <t>Authenticated as Student A. GET /api/v1/profile/ returned HTTP 200 and successfully returned Student A's authenticated profile.</t>
        </is>
      </c>
      <c r="J25" s="17" t="inlineStr">
        <is>
          <t>Pass</t>
        </is>
      </c>
      <c r="K25" s="17" t="inlineStr">
        <is>
          <t>Jerald</t>
        </is>
      </c>
      <c r="L25" s="17" t="inlineStr">
        <is>
          <t>2026-08-28</t>
        </is>
      </c>
      <c r="M25" s="17" t="inlineStr">
        <is>
          <t>EV-031</t>
        </is>
      </c>
      <c r="N25" s="16" t="n"/>
      <c r="O25" s="16" t="inlineStr">
        <is>
          <t>WBS 4.9 ownership verification.</t>
        </is>
      </c>
      <c r="P25" s="17" t="inlineStr">
        <is>
          <t>Jerald</t>
        </is>
      </c>
    </row>
    <row r="26" ht="24" customHeight="1">
      <c r="A26" s="16" t="inlineStr">
        <is>
          <t>OWN-02</t>
        </is>
      </c>
      <c r="B26" s="16" t="inlineStr">
        <is>
          <t>Ownership</t>
        </is>
      </c>
      <c r="C26" s="16" t="inlineStr">
        <is>
          <t>Permission</t>
        </is>
      </c>
      <c r="D26" s="17" t="inlineStr">
        <is>
          <t>Critical</t>
        </is>
      </c>
      <c r="E26" s="16" t="inlineStr">
        <is>
          <t>Student B reads own profile</t>
        </is>
      </c>
      <c r="F26" s="16" t="inlineStr">
        <is>
          <t>Student A and B exist</t>
        </is>
      </c>
      <c r="G26" s="16" t="inlineStr">
        <is>
          <t>GET own profile as Student B</t>
        </is>
      </c>
      <c r="H26" s="16" t="inlineStr">
        <is>
          <t>200 OK; Student B receives only Student B's authenticated profile.</t>
        </is>
      </c>
      <c r="I26" s="16" t="inlineStr">
        <is>
          <t>Authenticated as Student B. GET /api/v1/profile/ returned HTTP 200 and successfully returned Student B's authenticated profile.</t>
        </is>
      </c>
      <c r="J26" s="17" t="inlineStr">
        <is>
          <t>Pass</t>
        </is>
      </c>
      <c r="K26" s="17" t="inlineStr">
        <is>
          <t>Jerald</t>
        </is>
      </c>
      <c r="L26" s="17" t="inlineStr">
        <is>
          <t>2026-08-28</t>
        </is>
      </c>
      <c r="M26" s="17" t="inlineStr">
        <is>
          <t>EV-032</t>
        </is>
      </c>
      <c r="N26" s="16" t="n"/>
      <c r="O26" s="16" t="inlineStr">
        <is>
          <t>WBS 4.9 ownership verification.</t>
        </is>
      </c>
      <c r="P26" s="17" t="inlineStr">
        <is>
          <t>Jerald</t>
        </is>
      </c>
    </row>
    <row r="27" ht="72" customHeight="1">
      <c r="A27" s="16" t="inlineStr">
        <is>
          <t>OWN-03</t>
        </is>
      </c>
      <c r="B27" s="16" t="inlineStr">
        <is>
          <t>Ownership</t>
        </is>
      </c>
      <c r="C27" s="16" t="inlineStr">
        <is>
          <t>Permission</t>
        </is>
      </c>
      <c r="D27" s="17" t="inlineStr">
        <is>
          <t>Critical</t>
        </is>
      </c>
      <c r="E27" s="16" t="inlineStr">
        <is>
          <t>Cross-student access blocked</t>
        </is>
      </c>
      <c r="F27" s="16" t="inlineStr">
        <is>
          <t>Student A and B exist</t>
        </is>
      </c>
      <c r="G27" s="16" t="inlineStr">
        <is>
          <t>Attempt Student B data while authenticated as A</t>
        </is>
      </c>
      <c r="H27" s="16" t="inlineStr">
        <is>
          <t>200 OK; a client-supplied user_id does not switch profiles, and Student A still receives Student A's profile.</t>
        </is>
      </c>
      <c r="I27" s="16" t="inlineStr">
        <is>
          <t>Authenticated as Student A and attempted GET /api/v1/profile/?user_id=7 using Student B's identifier. The API returned HTTP 200 but ignored the client-supplied target identifier. The returned profile matched Student A's normal authenticated profile, confirming that Student B's protected profile could not be selected.</t>
        </is>
      </c>
      <c r="J27" s="17" t="inlineStr">
        <is>
          <t>Pass</t>
        </is>
      </c>
      <c r="K27" s="17" t="inlineStr">
        <is>
          <t>Jerald</t>
        </is>
      </c>
      <c r="L27" s="17" t="inlineStr">
        <is>
          <t>2026-08-28</t>
        </is>
      </c>
      <c r="M27" s="17" t="inlineStr">
        <is>
          <t>EV-033</t>
        </is>
      </c>
      <c r="N27" s="16" t="n"/>
      <c r="O27" s="16" t="inlineStr">
        <is>
          <t>WBS 4.9 cross-student isolation verification.</t>
        </is>
      </c>
      <c r="P27" s="17" t="inlineStr">
        <is>
          <t>Jerald</t>
        </is>
      </c>
    </row>
    <row r="28" ht="60" customHeight="1">
      <c r="A28" s="16" t="inlineStr">
        <is>
          <t>OWN-04</t>
        </is>
      </c>
      <c r="B28" s="16" t="inlineStr">
        <is>
          <t>Ownership</t>
        </is>
      </c>
      <c r="C28" s="16" t="inlineStr">
        <is>
          <t>Security</t>
        </is>
      </c>
      <c r="D28" s="17" t="inlineStr">
        <is>
          <t>Critical</t>
        </is>
      </c>
      <c r="E28" s="16" t="inlineStr">
        <is>
          <t>Cross-student ownership modification blocked</t>
        </is>
      </c>
      <c r="F28" s="16" t="inlineStr">
        <is>
          <t>Student A and B exist</t>
        </is>
      </c>
      <c r="G28" s="16" t="inlineStr">
        <is>
          <t>Authenticate as Student A and submit Student B's user ID through PATCH /api/v1/profile/.</t>
        </is>
      </c>
      <c r="H28" s="16" t="inlineStr">
        <is>
          <t>400 Bad Request; ownership field is rejected and Student A and Student B ownership remains unchanged.</t>
        </is>
      </c>
      <c r="I28" s="16" t="inlineStr">
        <is>
          <t>Authenticated as Student A and attempted to change profile ownership by submitting Student B's user ID through PATCH /api/v1/profile/. The backend rejected the user_id field with HTTP 400. Student A remained user 6, Student B remained user 7, and both students continued retrieving their own profiles successfully.</t>
        </is>
      </c>
      <c r="J28" s="17" t="inlineStr">
        <is>
          <t>Pass</t>
        </is>
      </c>
      <c r="K28" s="17" t="inlineStr">
        <is>
          <t>Jerald</t>
        </is>
      </c>
      <c r="L28" s="17" t="inlineStr">
        <is>
          <t>2026-08-28</t>
        </is>
      </c>
      <c r="M28" s="17" t="inlineStr">
        <is>
          <t>EV-034</t>
        </is>
      </c>
      <c r="N28" s="16" t="n"/>
      <c r="O28" s="16" t="inlineStr">
        <is>
          <t>WBS 4.9 ownership-field protection verification.</t>
        </is>
      </c>
      <c r="P28" s="17" t="inlineStr">
        <is>
          <t>Jerald</t>
        </is>
      </c>
    </row>
    <row r="29" ht="24" customHeight="1">
      <c r="A29" s="16" t="inlineStr">
        <is>
          <t>SKILL-01</t>
        </is>
      </c>
      <c r="B29" s="16" t="inlineStr">
        <is>
          <t>Skills</t>
        </is>
      </c>
      <c r="C29" s="16" t="inlineStr">
        <is>
          <t>API</t>
        </is>
      </c>
      <c r="D29" s="17" t="inlineStr">
        <is>
          <t>High</t>
        </is>
      </c>
      <c r="E29" s="16" t="inlineStr">
        <is>
          <t>Add valid student skill</t>
        </is>
      </c>
      <c r="F29" s="16" t="inlineStr">
        <is>
          <t>Skill exists; feature implemented</t>
        </is>
      </c>
      <c r="G29" s="16" t="inlineStr">
        <is>
          <t>Submit valid StudentSkill relationship</t>
        </is>
      </c>
      <c r="H29" s="16" t="inlineStr">
        <is>
          <t>200 OK; valid Skill relationship stored for the authenticated StudentProfile.</t>
        </is>
      </c>
      <c r="I29" s="16" t="inlineStr">
        <is>
          <t>Python with Proficient proficiency was added through the Student Profile UI, saved, and remained visible after browser refresh.</t>
        </is>
      </c>
      <c r="J29" s="17" t="inlineStr">
        <is>
          <t>Pass</t>
        </is>
      </c>
      <c r="K29" s="17" t="inlineStr">
        <is>
          <t>Jerald</t>
        </is>
      </c>
      <c r="L29" s="17" t="inlineStr">
        <is>
          <t>2026-08-28</t>
        </is>
      </c>
      <c r="M29" s="17" t="inlineStr">
        <is>
          <t>EV-028</t>
        </is>
      </c>
      <c r="N29" s="16" t="n"/>
      <c r="O29" s="16" t="inlineStr">
        <is>
          <t>Sprint 1 used prepared shared Skill reference records. Formal reference-data API remains under later work.</t>
        </is>
      </c>
      <c r="P29" s="17" t="inlineStr">
        <is>
          <t>Jerald</t>
        </is>
      </c>
    </row>
    <row r="30" ht="60" customHeight="1">
      <c r="A30" s="16" t="inlineStr">
        <is>
          <t>SKILL-02</t>
        </is>
      </c>
      <c r="B30" s="16" t="inlineStr">
        <is>
          <t>Skills</t>
        </is>
      </c>
      <c r="C30" s="16" t="inlineStr">
        <is>
          <t>API</t>
        </is>
      </c>
      <c r="D30" s="17" t="inlineStr">
        <is>
          <t>High</t>
        </is>
      </c>
      <c r="E30" s="16" t="inlineStr">
        <is>
          <t>Reject invalid skill reference</t>
        </is>
      </c>
      <c r="F30" s="16" t="inlineStr">
        <is>
          <t>Feature implemented</t>
        </is>
      </c>
      <c r="G30" s="16" t="inlineStr">
        <is>
          <t>Submit non-existent Skill ID</t>
        </is>
      </c>
      <c r="H30" s="16" t="inlineStr">
        <is>
          <t>400 Bad Request with 'Skill does not exist'; invalid relationship is not stored.</t>
        </is>
      </c>
      <c r="I30" s="16" t="inlineStr">
        <is>
          <t>Authenticated as Student A and submitted nonexistent Skill ID 999999 with the valid proficiency value "foundational" through PATCH /api/v1/profile/. The backend returned HTTP 400 with a "Skill does not exist" validation error. A subsequent GET confirmed the Student Skill collection was unchanged.</t>
        </is>
      </c>
      <c r="J30" s="17" t="inlineStr">
        <is>
          <t>Pass</t>
        </is>
      </c>
      <c r="K30" s="17" t="inlineStr">
        <is>
          <t>Jerald</t>
        </is>
      </c>
      <c r="L30" s="17" t="inlineStr">
        <is>
          <t>2026-08-28</t>
        </is>
      </c>
      <c r="M30" s="17" t="inlineStr">
        <is>
          <t>EV-035</t>
        </is>
      </c>
      <c r="N30" s="16" t="n"/>
      <c r="O30" s="16" t="inlineStr">
        <is>
          <t>WBS 4.9 invalid Skill reference validation.</t>
        </is>
      </c>
      <c r="P30" s="17" t="inlineStr">
        <is>
          <t>Jerald</t>
        </is>
      </c>
    </row>
    <row r="31" ht="60" customHeight="1">
      <c r="A31" s="16" t="inlineStr">
        <is>
          <t>SKILL-03</t>
        </is>
      </c>
      <c r="B31" s="16" t="inlineStr">
        <is>
          <t>Skills</t>
        </is>
      </c>
      <c r="C31" s="16" t="inlineStr">
        <is>
          <t>Validation</t>
        </is>
      </c>
      <c r="D31" s="17" t="inlineStr">
        <is>
          <t>High</t>
        </is>
      </c>
      <c r="E31" s="16" t="inlineStr">
        <is>
          <t>Reject invalid proficiency level</t>
        </is>
      </c>
      <c r="F31" s="16" t="inlineStr">
        <is>
          <t>Scale confirmed</t>
        </is>
      </c>
      <c r="G31" s="16" t="inlineStr">
        <is>
          <t>Submit value outside approved set</t>
        </is>
      </c>
      <c r="H31" s="16" t="inlineStr">
        <is>
          <t>400 Bad Request; invalid proficiency choice is rejected and the StudentSkill collection stays unchanged.</t>
        </is>
      </c>
      <c r="I31" s="16" t="inlineStr">
        <is>
          <t>Authenticated as Student A and submitted the valid Python Skill reference, ID 1, with the invalid proficiency value "expert" through PATCH /api/v1/profile/. The backend returned HTTP 400 and rejected the value as an invalid choice. A subsequent GET confirmed the Student Skill collection was unchanged.</t>
        </is>
      </c>
      <c r="J31" s="17" t="inlineStr">
        <is>
          <t>Pass</t>
        </is>
      </c>
      <c r="K31" s="17" t="inlineStr">
        <is>
          <t>Jerald</t>
        </is>
      </c>
      <c r="L31" s="17" t="inlineStr">
        <is>
          <t>2026-08-28</t>
        </is>
      </c>
      <c r="M31" s="17" t="inlineStr">
        <is>
          <t>EV-036</t>
        </is>
      </c>
      <c r="N31" s="16" t="n"/>
      <c r="O31" s="16" t="inlineStr">
        <is>
          <t>WBS 4.9 proficiency-choice validation.</t>
        </is>
      </c>
      <c r="P31" s="17" t="inlineStr">
        <is>
          <t>Jerald</t>
        </is>
      </c>
    </row>
    <row r="32" ht="60" customHeight="1">
      <c r="A32" s="16" t="inlineStr">
        <is>
          <t>SKILL-04</t>
        </is>
      </c>
      <c r="B32" s="16" t="inlineStr">
        <is>
          <t>Skills</t>
        </is>
      </c>
      <c r="C32" s="16" t="inlineStr">
        <is>
          <t>Validation</t>
        </is>
      </c>
      <c r="D32" s="17" t="inlineStr">
        <is>
          <t>Medium</t>
        </is>
      </c>
      <c r="E32" s="16" t="inlineStr">
        <is>
          <t>Prevent duplicate student skill</t>
        </is>
      </c>
      <c r="F32" s="16" t="inlineStr">
        <is>
          <t>Student already linked to Skill</t>
        </is>
      </c>
      <c r="G32" s="16" t="inlineStr">
        <is>
          <t>Submit duplicate relationship</t>
        </is>
      </c>
      <c r="H32" s="16" t="inlineStr">
        <is>
          <t>400 Bad Request; duplicate Skill references are rejected and no duplicate relationship is stored.</t>
        </is>
      </c>
      <c r="I32" s="16" t="inlineStr">
        <is>
          <t>Authenticated as Student A and submitted the Python Skill reference, ID 1, twice in the same PATCH /api/v1/profile/ request. The backend returned HTTP 400 and rejected the duplicate Skill references with a "Duplicate values are not allowed" validation error. A subsequent GET confirmed the Student Skill collection was unchanged.</t>
        </is>
      </c>
      <c r="J32" s="17" t="inlineStr">
        <is>
          <t>Pass</t>
        </is>
      </c>
      <c r="K32" s="17" t="inlineStr">
        <is>
          <t>Jerald</t>
        </is>
      </c>
      <c r="L32" s="17" t="inlineStr">
        <is>
          <t>2026-08-28</t>
        </is>
      </c>
      <c r="M32" s="17" t="inlineStr">
        <is>
          <t>EV-037</t>
        </is>
      </c>
      <c r="N32" s="16" t="n"/>
      <c r="O32" s="16" t="inlineStr">
        <is>
          <t>WBS 4.9 duplicate StudentSkill validation.</t>
        </is>
      </c>
      <c r="P32" s="17" t="inlineStr">
        <is>
          <t>Jerald</t>
        </is>
      </c>
    </row>
    <row r="33" ht="24" customHeight="1">
      <c r="A33" s="16" t="inlineStr">
        <is>
          <t>INT-01</t>
        </is>
      </c>
      <c r="B33" s="16" t="inlineStr">
        <is>
          <t>Interests</t>
        </is>
      </c>
      <c r="C33" s="16" t="inlineStr">
        <is>
          <t>API</t>
        </is>
      </c>
      <c r="D33" s="17" t="inlineStr">
        <is>
          <t>High</t>
        </is>
      </c>
      <c r="E33" s="16" t="inlineStr">
        <is>
          <t>Add valid student interest</t>
        </is>
      </c>
      <c r="F33" s="16" t="inlineStr">
        <is>
          <t>Interest exists</t>
        </is>
      </c>
      <c r="G33" s="16" t="inlineStr">
        <is>
          <t>Submit valid StudentInterest relationship</t>
        </is>
      </c>
      <c r="H33" s="16" t="inlineStr">
        <is>
          <t>200 OK; valid Interest relationship stored for the authenticated StudentProfile.</t>
        </is>
      </c>
      <c r="I33" s="16" t="inlineStr">
        <is>
          <t>Artificial Intelligence was selected from the prepared shared Interest references, saved, and remained visible after browser refresh.</t>
        </is>
      </c>
      <c r="J33" s="17" t="inlineStr">
        <is>
          <t>Pass</t>
        </is>
      </c>
      <c r="K33" s="17" t="inlineStr">
        <is>
          <t>Jerald</t>
        </is>
      </c>
      <c r="L33" s="17" t="inlineStr">
        <is>
          <t>2026-08-28</t>
        </is>
      </c>
      <c r="M33" s="17" t="inlineStr">
        <is>
          <t>EV-028</t>
        </is>
      </c>
      <c r="N33" s="16" t="n"/>
      <c r="O33" s="16" t="inlineStr">
        <is>
          <t>Interest category remained shared reference data and was not edited by the student.</t>
        </is>
      </c>
      <c r="P33" s="17" t="inlineStr">
        <is>
          <t>Jerald</t>
        </is>
      </c>
    </row>
    <row r="34" ht="48" customHeight="1">
      <c r="A34" s="16" t="inlineStr">
        <is>
          <t>INT-02</t>
        </is>
      </c>
      <c r="B34" s="16" t="inlineStr">
        <is>
          <t>Interests</t>
        </is>
      </c>
      <c r="C34" s="16" t="inlineStr">
        <is>
          <t>API</t>
        </is>
      </c>
      <c r="D34" s="17" t="inlineStr">
        <is>
          <t>High</t>
        </is>
      </c>
      <c r="E34" s="16" t="inlineStr">
        <is>
          <t>Reject invalid interest reference</t>
        </is>
      </c>
      <c r="F34" s="16" t="inlineStr">
        <is>
          <t>Feature implemented</t>
        </is>
      </c>
      <c r="G34" s="16" t="inlineStr">
        <is>
          <t>Submit non-existent Interest ID</t>
        </is>
      </c>
      <c r="H34" s="16" t="inlineStr">
        <is>
          <t>400 Bad Request with 'Interest does not exist'; invalid relationship is not stored.</t>
        </is>
      </c>
      <c r="I34" s="16" t="inlineStr">
        <is>
          <t>Authenticated as Student A and submitted nonexistent Interest ID 999999 through PATCH /api/v1/profile/. The backend returned HTTP 400 with an "Interest does not exist" validation error. A subsequent GET confirmed the Student Interest collection was unchanged.</t>
        </is>
      </c>
      <c r="J34" s="17" t="inlineStr">
        <is>
          <t>Pass</t>
        </is>
      </c>
      <c r="K34" s="17" t="inlineStr">
        <is>
          <t>Jerald</t>
        </is>
      </c>
      <c r="L34" s="17" t="inlineStr">
        <is>
          <t>2026-08-28</t>
        </is>
      </c>
      <c r="M34" s="17" t="inlineStr">
        <is>
          <t>EV-038</t>
        </is>
      </c>
      <c r="N34" s="16" t="n"/>
      <c r="O34" s="16" t="inlineStr">
        <is>
          <t>WBS 4.9 invalid Interest reference validation.</t>
        </is>
      </c>
      <c r="P34" s="17" t="inlineStr">
        <is>
          <t>Jerald</t>
        </is>
      </c>
    </row>
    <row r="35" ht="84" customHeight="1">
      <c r="A35" s="16" t="inlineStr">
        <is>
          <t>INT-03</t>
        </is>
      </c>
      <c r="B35" s="16" t="inlineStr">
        <is>
          <t>Interests</t>
        </is>
      </c>
      <c r="C35" s="16" t="inlineStr">
        <is>
          <t>Permission</t>
        </is>
      </c>
      <c r="D35" s="17" t="inlineStr">
        <is>
          <t>High</t>
        </is>
      </c>
      <c r="E35" s="16" t="inlineStr">
        <is>
          <t>Protect shared Interest data</t>
        </is>
      </c>
      <c r="F35" s="16" t="inlineStr">
        <is>
          <t>Student profile API available</t>
        </is>
      </c>
      <c r="G35" s="16" t="inlineStr">
        <is>
          <t>Attempt shared Interest edit via student profile</t>
        </is>
      </c>
      <c r="H35" s="16" t="inlineStr">
        <is>
          <t>400 Bad Request when shared Interest metadata is supplied; shared reference data and StudentInterest relationships stay unchanged.</t>
        </is>
      </c>
      <c r="I35" s="16" t="inlineStr">
        <is>
          <t>Authenticated as Student A and attempted to modify the shared Artificial Intelligence Interest, ID 1, by submitting a category field through PATCH /api/v1/profile/. The backend returned HTTP 400 and rejected category as an unsupported field. Direct database verification confirmed the shared Interest category remained "Technology". A subsequent profile GET confirmed Student A's Interest relationships were unchanged.</t>
        </is>
      </c>
      <c r="J35" s="17" t="inlineStr">
        <is>
          <t>Pass</t>
        </is>
      </c>
      <c r="K35" s="17" t="inlineStr">
        <is>
          <t>Jerald</t>
        </is>
      </c>
      <c r="L35" s="17" t="inlineStr">
        <is>
          <t>2026-08-28</t>
        </is>
      </c>
      <c r="M35" s="17" t="inlineStr">
        <is>
          <t>EV-039</t>
        </is>
      </c>
      <c r="N35" s="16" t="n"/>
      <c r="O35" s="16" t="inlineStr">
        <is>
          <t>WBS 4.9 shared Interest protection verification.</t>
        </is>
      </c>
      <c r="P35" s="17" t="inlineStr">
        <is>
          <t>Jerald</t>
        </is>
      </c>
    </row>
    <row r="36" ht="36" customHeight="1">
      <c r="A36" s="16" t="inlineStr">
        <is>
          <t>EDU-01</t>
        </is>
      </c>
      <c r="B36" s="16" t="inlineStr">
        <is>
          <t>Education</t>
        </is>
      </c>
      <c r="C36" s="16" t="inlineStr">
        <is>
          <t>API</t>
        </is>
      </c>
      <c r="D36" s="17" t="inlineStr">
        <is>
          <t>Medium</t>
        </is>
      </c>
      <c r="E36" s="16" t="inlineStr">
        <is>
          <t>Create valid education record</t>
        </is>
      </c>
      <c r="F36" s="16" t="inlineStr">
        <is>
          <t>Education feature implemented</t>
        </is>
      </c>
      <c r="G36" s="16" t="inlineStr">
        <is>
          <t>Submit valid education data</t>
        </is>
      </c>
      <c r="H36" s="16" t="inlineStr">
        <is>
          <t>200 OK; valid Education record stored for the authenticated StudentProfile.</t>
        </is>
      </c>
      <c r="I36" s="16" t="inlineStr">
        <is>
          <t>A CQUniversity Master of Information Technology Education record was present in the saved profile and its description remained updated after Save Profile and refresh.</t>
        </is>
      </c>
      <c r="J36" s="17" t="inlineStr">
        <is>
          <t>Pass</t>
        </is>
      </c>
      <c r="K36" s="17" t="inlineStr">
        <is>
          <t>Jerald</t>
        </is>
      </c>
      <c r="L36" s="17" t="inlineStr">
        <is>
          <t>2026-08-28</t>
        </is>
      </c>
      <c r="M36" s="17" t="inlineStr">
        <is>
          <t>EV-029</t>
        </is>
      </c>
      <c r="N36" s="16" t="n"/>
      <c r="O36" s="16" t="inlineStr">
        <is>
          <t>Education persistence and edit behaviour verified through the UI.</t>
        </is>
      </c>
      <c r="P36" s="17" t="inlineStr">
        <is>
          <t>Jerald</t>
        </is>
      </c>
    </row>
    <row r="37" ht="72" customHeight="1">
      <c r="A37" s="16" t="inlineStr">
        <is>
          <t>EDU-02</t>
        </is>
      </c>
      <c r="B37" s="16" t="inlineStr">
        <is>
          <t>Education</t>
        </is>
      </c>
      <c r="C37" s="16" t="inlineStr">
        <is>
          <t>Validation</t>
        </is>
      </c>
      <c r="D37" s="17" t="inlineStr">
        <is>
          <t>Medium</t>
        </is>
      </c>
      <c r="E37" s="16" t="inlineStr">
        <is>
          <t>Reject invalid education date range</t>
        </is>
      </c>
      <c r="F37" s="16" t="inlineStr">
        <is>
          <t>Education feature implemented</t>
        </is>
      </c>
      <c r="G37" s="16" t="inlineStr">
        <is>
          <t>Submit end date before start date where prohibited</t>
        </is>
      </c>
      <c r="H37" s="16" t="inlineStr">
        <is>
          <t>400 Bad Request with end-date validation; invalid Education record is not stored.</t>
        </is>
      </c>
      <c r="I37" s="16" t="inlineStr">
        <is>
          <t>Authenticated as Student A and submitted an Education record with start date 2026-06-01 and end date 2025-06-01 through PATCH /api/v1/profile/. The backend returned HTTP 400 with the validation error "End date must not precede start date." A subsequent GET confirmed the Education collection was unchanged and the invalid record was not stored.</t>
        </is>
      </c>
      <c r="J37" s="17" t="inlineStr">
        <is>
          <t>Pass</t>
        </is>
      </c>
      <c r="K37" s="17" t="inlineStr">
        <is>
          <t>Jerald</t>
        </is>
      </c>
      <c r="L37" s="17" t="inlineStr">
        <is>
          <t>2026-08-28</t>
        </is>
      </c>
      <c r="M37" s="17" t="inlineStr">
        <is>
          <t>EV-040</t>
        </is>
      </c>
      <c r="N37" s="16" t="n"/>
      <c r="O37" s="16" t="inlineStr">
        <is>
          <t>WBS 4.9 Education date-range validation.</t>
        </is>
      </c>
      <c r="P37" s="17" t="inlineStr">
        <is>
          <t>Jerald</t>
        </is>
      </c>
    </row>
    <row r="38" ht="24" customHeight="1">
      <c r="A38" s="16" t="inlineStr">
        <is>
          <t>EXP-01</t>
        </is>
      </c>
      <c r="B38" s="16" t="inlineStr">
        <is>
          <t>Experience</t>
        </is>
      </c>
      <c r="C38" s="16" t="inlineStr">
        <is>
          <t>API</t>
        </is>
      </c>
      <c r="D38" s="17" t="inlineStr">
        <is>
          <t>Medium</t>
        </is>
      </c>
      <c r="E38" s="16" t="inlineStr">
        <is>
          <t>Create valid experience record</t>
        </is>
      </c>
      <c r="F38" s="16" t="inlineStr">
        <is>
          <t>Experience feature implemented</t>
        </is>
      </c>
      <c r="G38" s="16" t="inlineStr">
        <is>
          <t>Submit valid experience data</t>
        </is>
      </c>
      <c r="H38" s="16" t="inlineStr">
        <is>
          <t>200 OK; valid Experience record stored for the authenticated StudentProfile.</t>
        </is>
      </c>
      <c r="I38" s="16" t="inlineStr">
        <is>
          <t>A Software Developer Experience record remained visible in the Student Profile during the refresh and edit verification flow.</t>
        </is>
      </c>
      <c r="J38" s="17" t="inlineStr">
        <is>
          <t>Pass</t>
        </is>
      </c>
      <c r="K38" s="17" t="inlineStr">
        <is>
          <t>Jerald</t>
        </is>
      </c>
      <c r="L38" s="17" t="inlineStr">
        <is>
          <t>2026-08-28</t>
        </is>
      </c>
      <c r="M38" s="17" t="inlineStr">
        <is>
          <t>EV-029</t>
        </is>
      </c>
      <c r="N38" s="16" t="n"/>
      <c r="O38" s="16" t="inlineStr">
        <is>
          <t>Experience persistence is visible in the same refreshed profile used for the Education edit check.</t>
        </is>
      </c>
      <c r="P38" s="17" t="inlineStr">
        <is>
          <t>Jerald</t>
        </is>
      </c>
    </row>
    <row r="39" ht="60" customHeight="1">
      <c r="A39" s="16" t="inlineStr">
        <is>
          <t>EXP-02</t>
        </is>
      </c>
      <c r="B39" s="16" t="inlineStr">
        <is>
          <t>Experience</t>
        </is>
      </c>
      <c r="C39" s="16" t="inlineStr">
        <is>
          <t>Validation</t>
        </is>
      </c>
      <c r="D39" s="17" t="inlineStr">
        <is>
          <t>Medium</t>
        </is>
      </c>
      <c r="E39" s="16" t="inlineStr">
        <is>
          <t>Current experience date handling</t>
        </is>
      </c>
      <c r="F39" s="16" t="inlineStr">
        <is>
          <t>Experience feature implemented</t>
        </is>
      </c>
      <c r="G39" s="16" t="inlineStr">
        <is>
          <t>Submit is_current and end_date combination</t>
        </is>
      </c>
      <c r="H39" s="16" t="inlineStr">
        <is>
          <t>200 OK; current Experience persists with is_current = true and end_date = null.</t>
        </is>
      </c>
      <c r="I39" s="16" t="inlineStr">
        <is>
          <t>Authenticated as Student A and submitted a current Experience record with is_current set to true and end_date set to null through PATCH /api/v1/profile/. The backend returned HTTP 200. A subsequent GET confirmed that the Experience record persisted with is_current true and no end date.</t>
        </is>
      </c>
      <c r="J39" s="17" t="inlineStr">
        <is>
          <t>Pass</t>
        </is>
      </c>
      <c r="K39" s="17" t="inlineStr">
        <is>
          <t>Jerald</t>
        </is>
      </c>
      <c r="L39" s="17" t="inlineStr">
        <is>
          <t>2026-08-28</t>
        </is>
      </c>
      <c r="M39" s="17" t="inlineStr">
        <is>
          <t>EV-041</t>
        </is>
      </c>
      <c r="N39" s="16" t="n"/>
      <c r="O39" s="16" t="inlineStr">
        <is>
          <t>WBS 4.9 current Experience persistence verification.</t>
        </is>
      </c>
      <c r="P39" s="17" t="inlineStr">
        <is>
          <t>Jerald</t>
        </is>
      </c>
    </row>
    <row r="40" ht="36" customHeight="1">
      <c r="A40" s="16" t="inlineStr">
        <is>
          <t>PROJ-01</t>
        </is>
      </c>
      <c r="B40" s="16" t="inlineStr">
        <is>
          <t>Projects</t>
        </is>
      </c>
      <c r="C40" s="16" t="inlineStr">
        <is>
          <t>API</t>
        </is>
      </c>
      <c r="D40" s="17" t="inlineStr">
        <is>
          <t>Medium</t>
        </is>
      </c>
      <c r="E40" s="16" t="inlineStr">
        <is>
          <t>Create valid project record</t>
        </is>
      </c>
      <c r="F40" s="16" t="inlineStr">
        <is>
          <t>Project feature implemented</t>
        </is>
      </c>
      <c r="G40" s="16" t="inlineStr">
        <is>
          <t>Submit valid project data</t>
        </is>
      </c>
      <c r="H40" s="16" t="inlineStr">
        <is>
          <t>200 OK; valid Project record stored for the authenticated StudentProfile.</t>
        </is>
      </c>
      <c r="I40" s="16" t="inlineStr">
        <is>
          <t>A project record was part of the WBS 4.8 profile flow and was later removed successfully. The deletion remained persisted after Save Profile and refresh.</t>
        </is>
      </c>
      <c r="J40" s="17" t="inlineStr">
        <is>
          <t>Pass</t>
        </is>
      </c>
      <c r="K40" s="17" t="inlineStr">
        <is>
          <t>Jerald</t>
        </is>
      </c>
      <c r="L40" s="17" t="inlineStr">
        <is>
          <t>2026-08-28</t>
        </is>
      </c>
      <c r="M40" s="17" t="inlineStr">
        <is>
          <t>EV-030</t>
        </is>
      </c>
      <c r="N40" s="16" t="n"/>
      <c r="O40" s="16" t="inlineStr">
        <is>
          <t>EV-030 proves the saved deletion state. A dedicated pre-deletion project screenshot was not captured.</t>
        </is>
      </c>
      <c r="P40" s="17" t="inlineStr">
        <is>
          <t>Jerald</t>
        </is>
      </c>
    </row>
    <row r="41" ht="60" customHeight="1">
      <c r="A41" s="16" t="inlineStr">
        <is>
          <t>PROJ-02</t>
        </is>
      </c>
      <c r="B41" s="16" t="inlineStr">
        <is>
          <t>Projects</t>
        </is>
      </c>
      <c r="C41" s="16" t="inlineStr">
        <is>
          <t>Validation</t>
        </is>
      </c>
      <c r="D41" s="17" t="inlineStr">
        <is>
          <t>Medium</t>
        </is>
      </c>
      <c r="E41" s="16" t="inlineStr">
        <is>
          <t>Reject invalid project URL</t>
        </is>
      </c>
      <c r="F41" s="16" t="inlineStr">
        <is>
          <t>URL validation implemented</t>
        </is>
      </c>
      <c r="G41" s="16" t="inlineStr">
        <is>
          <t>Submit malformed project_url</t>
        </is>
      </c>
      <c r="H41" s="16" t="inlineStr">
        <is>
          <t>400 Bad Request with URL validation; invalid Project is not stored.</t>
        </is>
      </c>
      <c r="I41" s="16" t="inlineStr">
        <is>
          <t>Authenticated as Student A and submitted a Project record containing project_url "not-a-valid-url" through PATCH /api/v1/profile/. The backend returned HTTP 400 with URL validation feedback. A subsequent GET confirmed the Project collection was unchanged and the invalid Project was not stored.</t>
        </is>
      </c>
      <c r="J41" s="17" t="inlineStr">
        <is>
          <t>Pass</t>
        </is>
      </c>
      <c r="K41" s="17" t="inlineStr">
        <is>
          <t>Jerald</t>
        </is>
      </c>
      <c r="L41" s="17" t="inlineStr">
        <is>
          <t>2026-08-28</t>
        </is>
      </c>
      <c r="M41" s="17" t="inlineStr">
        <is>
          <t>EV-042</t>
        </is>
      </c>
      <c r="N41" s="16" t="n"/>
      <c r="O41" s="16" t="inlineStr">
        <is>
          <t>WBS 4.9 Project URL validation.</t>
        </is>
      </c>
      <c r="P41" s="17" t="inlineStr">
        <is>
          <t>Jerald</t>
        </is>
      </c>
    </row>
    <row r="42" ht="60" customHeight="1">
      <c r="A42" s="16" t="inlineStr">
        <is>
          <t>GOAL-01</t>
        </is>
      </c>
      <c r="B42" s="16" t="inlineStr">
        <is>
          <t>Career Goals</t>
        </is>
      </c>
      <c r="C42" s="16" t="inlineStr">
        <is>
          <t>API</t>
        </is>
      </c>
      <c r="D42" s="17" t="inlineStr">
        <is>
          <t>Medium</t>
        </is>
      </c>
      <c r="E42" s="16" t="inlineStr">
        <is>
          <t>Create valid career goal</t>
        </is>
      </c>
      <c r="F42" s="16" t="inlineStr">
        <is>
          <t>CareerGoal feature implemented</t>
        </is>
      </c>
      <c r="G42" s="16" t="inlineStr">
        <is>
          <t>Submit target_role and optional description</t>
        </is>
      </c>
      <c r="H42" s="16" t="inlineStr">
        <is>
          <t>200 OK; valid Career Goal is stored and returned with a database-generated ID.</t>
        </is>
      </c>
      <c r="I42" s="16" t="inlineStr">
        <is>
          <t>Authenticated as Student A and submitted a valid Career Goal with target role "Software Engineer" through PATCH /api/v1/profile/. The backend returned HTTP 200 and returned the new Career Goal. A subsequent GET confirmed that the Career Goal persisted with a database-generated ID.</t>
        </is>
      </c>
      <c r="J42" s="17" t="inlineStr">
        <is>
          <t>Pass</t>
        </is>
      </c>
      <c r="K42" s="17" t="inlineStr">
        <is>
          <t>Jerald</t>
        </is>
      </c>
      <c r="L42" s="17" t="inlineStr">
        <is>
          <t>2026-08-28</t>
        </is>
      </c>
      <c r="M42" s="17" t="inlineStr">
        <is>
          <t>EV-043</t>
        </is>
      </c>
      <c r="N42" s="16" t="n"/>
      <c r="O42" s="16" t="inlineStr">
        <is>
          <t>WBS 4.9 Career Goal persistence verification.</t>
        </is>
      </c>
      <c r="P42" s="17" t="inlineStr">
        <is>
          <t>Jerald</t>
        </is>
      </c>
    </row>
    <row r="43" ht="60" customHeight="1">
      <c r="A43" s="16" t="inlineStr">
        <is>
          <t>PERS-01</t>
        </is>
      </c>
      <c r="B43" s="16" t="inlineStr">
        <is>
          <t>Personality</t>
        </is>
      </c>
      <c r="C43" s="16" t="inlineStr">
        <is>
          <t>API</t>
        </is>
      </c>
      <c r="D43" s="17" t="inlineStr">
        <is>
          <t>Low</t>
        </is>
      </c>
      <c r="E43" s="16" t="inlineStr">
        <is>
          <t>Store approved personality response</t>
        </is>
      </c>
      <c r="F43" s="16" t="inlineStr">
        <is>
          <t>Questionnaire and values defined</t>
        </is>
      </c>
      <c r="G43" s="16" t="inlineStr">
        <is>
          <t>Submit approved question_key and response_value</t>
        </is>
      </c>
      <c r="H43" s="16" t="inlineStr">
        <is>
          <t>200 OK; approved Personality Response is stored and returned with a database-generated ID.</t>
        </is>
      </c>
      <c r="I43" s="16" t="inlineStr">
        <is>
          <t>Authenticated as Student A and submitted the approved questionnaire key "achievement_effort" with response value "4" through PATCH /api/v1/profile/. The backend returned HTTP 200 and returned the new Personality Response. A subsequent GET confirmed the response persisted with a database-generated ID.</t>
        </is>
      </c>
      <c r="J43" s="17" t="inlineStr">
        <is>
          <t>Pass</t>
        </is>
      </c>
      <c r="K43" s="17" t="inlineStr">
        <is>
          <t>Jerald</t>
        </is>
      </c>
      <c r="L43" s="17" t="inlineStr">
        <is>
          <t>2026-08-28</t>
        </is>
      </c>
      <c r="M43" s="17" t="inlineStr">
        <is>
          <t>EV-044</t>
        </is>
      </c>
      <c r="N43" s="16" t="n"/>
      <c r="O43" s="16" t="inlineStr">
        <is>
          <t>WBS 4.9 Personality Response persistence verification.</t>
        </is>
      </c>
      <c r="P43" s="17" t="inlineStr">
        <is>
          <t>Jerald</t>
        </is>
      </c>
    </row>
    <row r="44" ht="36" customHeight="1">
      <c r="A44" s="16" t="inlineStr">
        <is>
          <t>FE-AUTH-01</t>
        </is>
      </c>
      <c r="B44" s="16" t="inlineStr">
        <is>
          <t>Frontend Auth</t>
        </is>
      </c>
      <c r="C44" s="16" t="inlineStr">
        <is>
          <t>Integration</t>
        </is>
      </c>
      <c r="D44" s="17" t="inlineStr">
        <is>
          <t>Critical</t>
        </is>
      </c>
      <c r="E44" s="16" t="inlineStr">
        <is>
          <t>Frontend registration flow</t>
        </is>
      </c>
      <c r="F44" s="16" t="inlineStr">
        <is>
          <t>React registration and backend available</t>
        </is>
      </c>
      <c r="G44" s="16" t="inlineStr">
        <is>
          <t>Complete registration through UI</t>
        </is>
      </c>
      <c r="H44" s="16" t="inlineStr">
        <is>
          <t>Valid registration returns 201; validation and duplicate errors are shown without false success.</t>
        </is>
      </c>
      <c r="I44" s="16" t="inlineStr">
        <is>
          <t>Registration through React succeeded. Valid registration returned 201; weak-password and duplicate-email errors were displayed; password mismatch was blocked by frontend validation.</t>
        </is>
      </c>
      <c r="J44" s="17" t="inlineStr">
        <is>
          <t>Pass</t>
        </is>
      </c>
      <c r="K44" s="17" t="inlineStr">
        <is>
          <t>Jerald</t>
        </is>
      </c>
      <c r="L44" s="17" t="inlineStr">
        <is>
          <t>2026-08-22</t>
        </is>
      </c>
      <c r="M44" s="17" t="inlineStr">
        <is>
          <t>EV-001; EV-002; EV-003; EV-004; EV-005; EV-006</t>
        </is>
      </c>
      <c r="N44" s="16" t="n"/>
      <c r="O44" s="16" t="inlineStr">
        <is>
          <t>Frontend registration integration verified through success, validation, password mismatch, and duplicate-email evidence.</t>
        </is>
      </c>
      <c r="P44" s="17" t="inlineStr">
        <is>
          <t>Joyee</t>
        </is>
      </c>
    </row>
    <row r="45" ht="36" customHeight="1">
      <c r="A45" s="16" t="inlineStr">
        <is>
          <t>FE-AUTH-02</t>
        </is>
      </c>
      <c r="B45" s="16" t="inlineStr">
        <is>
          <t>Frontend Auth</t>
        </is>
      </c>
      <c r="C45" s="16" t="inlineStr">
        <is>
          <t>Integration</t>
        </is>
      </c>
      <c r="D45" s="17" t="inlineStr">
        <is>
          <t>Critical</t>
        </is>
      </c>
      <c r="E45" s="16" t="inlineStr">
        <is>
          <t>Frontend login flow</t>
        </is>
      </c>
      <c r="F45" s="16" t="inlineStr">
        <is>
          <t>React login and backend available</t>
        </is>
      </c>
      <c r="G45" s="16" t="inlineStr">
        <is>
          <t>Log in through UI</t>
        </is>
      </c>
      <c r="H45" s="16" t="inlineStr">
        <is>
          <t>Valid login establishes authenticated frontend state and protected navigation succeeds.</t>
        </is>
      </c>
      <c r="I45" s="16" t="inlineStr">
        <is>
          <t>Valid login returned 200, authenticated navigation/profile loaded, /me/ returned 200, protected-route return worked, and the session survived a normal page refresh.</t>
        </is>
      </c>
      <c r="J45" s="17" t="inlineStr">
        <is>
          <t>Pass</t>
        </is>
      </c>
      <c r="K45" s="17" t="inlineStr">
        <is>
          <t>Jerald</t>
        </is>
      </c>
      <c r="L45" s="17" t="inlineStr">
        <is>
          <t>2026-08-22</t>
        </is>
      </c>
      <c r="M45" s="17" t="inlineStr">
        <is>
          <t>EV-007; EV-011; EV-012; EV-013</t>
        </is>
      </c>
      <c r="N45" s="16" t="n"/>
      <c r="O45" s="16" t="inlineStr">
        <is>
          <t>Frontend authentication state and routing verified.</t>
        </is>
      </c>
      <c r="P45" s="17" t="inlineStr">
        <is>
          <t>Joyee</t>
        </is>
      </c>
    </row>
    <row r="46" ht="36" customHeight="1">
      <c r="A46" s="16" t="inlineStr">
        <is>
          <t>FE-AUTH-03</t>
        </is>
      </c>
      <c r="B46" s="16" t="inlineStr">
        <is>
          <t>Frontend Auth</t>
        </is>
      </c>
      <c r="C46" s="16" t="inlineStr">
        <is>
          <t>Integration</t>
        </is>
      </c>
      <c r="D46" s="17" t="inlineStr">
        <is>
          <t>High</t>
        </is>
      </c>
      <c r="E46" s="16" t="inlineStr">
        <is>
          <t>Frontend invalid login error</t>
        </is>
      </c>
      <c r="F46" s="16" t="inlineStr">
        <is>
          <t>React login available</t>
        </is>
      </c>
      <c r="G46" s="16" t="inlineStr">
        <is>
          <t>Use invalid credentials</t>
        </is>
      </c>
      <c r="H46" s="16" t="inlineStr">
        <is>
          <t>Controlled login error is shown; no authenticated state or tokens are stored.</t>
        </is>
      </c>
      <c r="I46" s="16" t="inlineStr">
        <is>
          <t>Wrong password and nonexistent-user attempts returned 401 with the same controlled credentials error. Missing fields were rejected by frontend validation.</t>
        </is>
      </c>
      <c r="J46" s="17" t="inlineStr">
        <is>
          <t>Pass</t>
        </is>
      </c>
      <c r="K46" s="17" t="inlineStr">
        <is>
          <t>Jerald</t>
        </is>
      </c>
      <c r="L46" s="17" t="inlineStr">
        <is>
          <t>2026-08-22</t>
        </is>
      </c>
      <c r="M46" s="17" t="inlineStr">
        <is>
          <t>EV-008; EV-009; EV-010</t>
        </is>
      </c>
      <c r="N46" s="16" t="n"/>
      <c r="O46" s="16" t="inlineStr">
        <is>
          <t>Invalid-login behaviour verified through the React UI.</t>
        </is>
      </c>
      <c r="P46" s="17" t="inlineStr">
        <is>
          <t>Joyee</t>
        </is>
      </c>
    </row>
    <row r="47" ht="36" customHeight="1">
      <c r="A47" s="16" t="inlineStr">
        <is>
          <t>FE-AUTH-04</t>
        </is>
      </c>
      <c r="B47" s="16" t="inlineStr">
        <is>
          <t>Frontend Auth</t>
        </is>
      </c>
      <c r="C47" s="16" t="inlineStr">
        <is>
          <t>Integration</t>
        </is>
      </c>
      <c r="D47" s="17" t="inlineStr">
        <is>
          <t>High</t>
        </is>
      </c>
      <c r="E47" s="16" t="inlineStr">
        <is>
          <t>Frontend token refresh behaviour</t>
        </is>
      </c>
      <c r="F47" s="16" t="inlineStr">
        <is>
          <t>JWT frontend strategy implemented</t>
        </is>
      </c>
      <c r="G47" s="16" t="inlineStr">
        <is>
          <t>Trigger expired access token flow</t>
        </is>
      </c>
      <c r="H47" s="16" t="inlineStr">
        <is>
          <t>Expired access-token flow follows the implemented refresh strategy; successful refresh restores the authenticated request.</t>
        </is>
      </c>
      <c r="I47" s="16" t="inlineStr">
        <is>
          <t>Automatic token refresh was manually verified earlier, but a dedicated screenshot is not included in this evidence package.</t>
        </is>
      </c>
      <c r="J47" s="17" t="inlineStr">
        <is>
          <t>Pass</t>
        </is>
      </c>
      <c r="K47" s="17" t="inlineStr">
        <is>
          <t>Jerald</t>
        </is>
      </c>
      <c r="L47" s="17" t="inlineStr">
        <is>
          <t>2026-08-22</t>
        </is>
      </c>
      <c r="M47" s="17" t="n"/>
      <c r="N47" s="16" t="n"/>
      <c r="O47" s="16" t="inlineStr">
        <is>
          <t>Manual refresh flow was observed. No dedicated screenshot is packaged for this case.</t>
        </is>
      </c>
      <c r="P47" s="17" t="inlineStr">
        <is>
          <t>Joyee</t>
        </is>
      </c>
    </row>
    <row r="48" ht="24" customHeight="1">
      <c r="A48" s="16" t="inlineStr">
        <is>
          <t>FE-AUTH-05</t>
        </is>
      </c>
      <c r="B48" s="16" t="inlineStr">
        <is>
          <t>Frontend Auth</t>
        </is>
      </c>
      <c r="C48" s="16" t="inlineStr">
        <is>
          <t>Integration</t>
        </is>
      </c>
      <c r="D48" s="17" t="inlineStr">
        <is>
          <t>High</t>
        </is>
      </c>
      <c r="E48" s="16" t="inlineStr">
        <is>
          <t>Frontend logout flow</t>
        </is>
      </c>
      <c r="F48" s="16" t="inlineStr">
        <is>
          <t>Authenticated frontend session</t>
        </is>
      </c>
      <c r="G48" s="16" t="inlineStr">
        <is>
          <t>Use logout action</t>
        </is>
      </c>
      <c r="H48" s="16" t="inlineStr">
        <is>
          <t>Logout clears local authentication state and protected routes require authentication.</t>
        </is>
      </c>
      <c r="I48" s="16" t="inlineStr">
        <is>
          <t>Logout returned the frontend to /login and cleared GradNavi access token, refresh token, and stored-user entries from localStorage.</t>
        </is>
      </c>
      <c r="J48" s="17" t="inlineStr">
        <is>
          <t>Pass</t>
        </is>
      </c>
      <c r="K48" s="17" t="inlineStr">
        <is>
          <t>Jerald</t>
        </is>
      </c>
      <c r="L48" s="17" t="inlineStr">
        <is>
          <t>2026-08-22</t>
        </is>
      </c>
      <c r="M48" s="17" t="inlineStr">
        <is>
          <t>EV-014</t>
        </is>
      </c>
      <c r="N48" s="16" t="n"/>
      <c r="O48" s="16" t="inlineStr">
        <is>
          <t>Frontend logout behaviour verified.</t>
        </is>
      </c>
      <c r="P48" s="17" t="inlineStr">
        <is>
          <t>Joyee</t>
        </is>
      </c>
    </row>
    <row r="49" ht="36" customHeight="1">
      <c r="A49" s="16" t="inlineStr">
        <is>
          <t>FE-PROF-01</t>
        </is>
      </c>
      <c r="B49" s="16" t="inlineStr">
        <is>
          <t>Frontend Profile</t>
        </is>
      </c>
      <c r="C49" s="16" t="inlineStr">
        <is>
          <t>Integration</t>
        </is>
      </c>
      <c r="D49" s="17" t="inlineStr">
        <is>
          <t>Critical</t>
        </is>
      </c>
      <c r="E49" s="16" t="inlineStr">
        <is>
          <t>Load profile in UI</t>
        </is>
      </c>
      <c r="F49" s="16" t="inlineStr">
        <is>
          <t>Authenticated frontend and profile API</t>
        </is>
      </c>
      <c r="G49" s="16" t="inlineStr">
        <is>
          <t>Open Student Profile page</t>
        </is>
      </c>
      <c r="H49" s="16" t="inlineStr">
        <is>
          <t>Authenticated profile GET succeeds and saved Student data is displayed.</t>
        </is>
      </c>
      <c r="I49" s="16" t="inlineStr">
        <is>
          <t>Authenticated Student Profile page loaded successfully. GET /api/v1/profile/ returned HTTP 200 and saved Student Profile data displayed after refresh.</t>
        </is>
      </c>
      <c r="J49" s="17" t="inlineStr">
        <is>
          <t>Pass</t>
        </is>
      </c>
      <c r="K49" s="17" t="inlineStr">
        <is>
          <t>Jerald</t>
        </is>
      </c>
      <c r="L49" s="17" t="inlineStr">
        <is>
          <t>2026-08-28</t>
        </is>
      </c>
      <c r="M49" s="17" t="inlineStr">
        <is>
          <t>EV-028</t>
        </is>
      </c>
      <c r="N49" s="16" t="n"/>
      <c r="O49" s="16" t="inlineStr">
        <is>
          <t>Frontend GET integration verified.</t>
        </is>
      </c>
      <c r="P49" s="17" t="inlineStr">
        <is>
          <t>Joyee</t>
        </is>
      </c>
    </row>
    <row r="50" ht="36" customHeight="1">
      <c r="A50" s="16" t="inlineStr">
        <is>
          <t>FE-PROF-02</t>
        </is>
      </c>
      <c r="B50" s="16" t="inlineStr">
        <is>
          <t>Frontend Profile</t>
        </is>
      </c>
      <c r="C50" s="16" t="inlineStr">
        <is>
          <t>Integration</t>
        </is>
      </c>
      <c r="D50" s="17" t="inlineStr">
        <is>
          <t>Critical</t>
        </is>
      </c>
      <c r="E50" s="16" t="inlineStr">
        <is>
          <t>Update profile in UI</t>
        </is>
      </c>
      <c r="F50" s="16" t="inlineStr">
        <is>
          <t>Authenticated frontend and update API</t>
        </is>
      </c>
      <c r="G50" s="16" t="inlineStr">
        <is>
          <t>Edit valid profile data and save</t>
        </is>
      </c>
      <c r="H50" s="16" t="inlineStr">
        <is>
          <t>Valid profile PATCH succeeds; the UI shows success and saved changes persist.</t>
        </is>
      </c>
      <c r="I50" s="16" t="inlineStr">
        <is>
          <t>Student added, edited and removed profile data, then used the single Save Profile action. PATCH /api/v1/profile/ returned HTTP 200 and the UI displayed a successful save state.</t>
        </is>
      </c>
      <c r="J50" s="17" t="inlineStr">
        <is>
          <t>Pass</t>
        </is>
      </c>
      <c r="K50" s="17" t="inlineStr">
        <is>
          <t>Jerald</t>
        </is>
      </c>
      <c r="L50" s="17" t="inlineStr">
        <is>
          <t>2026-08-28</t>
        </is>
      </c>
      <c r="M50" s="17" t="inlineStr">
        <is>
          <t>EV-026; EV-027; EV-029; EV-030</t>
        </is>
      </c>
      <c r="N50" s="16" t="n"/>
      <c r="O50" s="16" t="inlineStr">
        <is>
          <t>Frontend PATCH integration verified across add, edit and remove flows.</t>
        </is>
      </c>
      <c r="P50" s="17" t="inlineStr">
        <is>
          <t>Joyee</t>
        </is>
      </c>
    </row>
    <row r="51" ht="60" customHeight="1">
      <c r="A51" s="16" t="inlineStr">
        <is>
          <t>FE-PROF-03</t>
        </is>
      </c>
      <c r="B51" s="16" t="inlineStr">
        <is>
          <t>Frontend Profile</t>
        </is>
      </c>
      <c r="C51" s="16" t="inlineStr">
        <is>
          <t>Integration</t>
        </is>
      </c>
      <c r="D51" s="17" t="inlineStr">
        <is>
          <t>High</t>
        </is>
      </c>
      <c r="E51" s="16" t="inlineStr">
        <is>
          <t>Display profile validation error</t>
        </is>
      </c>
      <c r="F51" s="16" t="inlineStr">
        <is>
          <t>Authenticated frontend</t>
        </is>
      </c>
      <c r="G51" s="16" t="inlineStr">
        <is>
          <t>Submit invalid profile data</t>
        </is>
      </c>
      <c r="H51" s="16" t="inlineStr">
        <is>
          <t>Frontend shows validation feedback, does not add invalid data, and does not send a profile PATCH request.</t>
        </is>
      </c>
      <c r="I51" s="16" t="inlineStr">
        <is>
          <t>Submitted an Education record through the Student Profile UI with start date 2026-06-01 and end date 2025-06-01. The frontend displayed "End date must not be earlier than start date." The invalid Education record was not added to the profile, and no new profile PATCH request was sent for the invalid form data.</t>
        </is>
      </c>
      <c r="J51" s="17" t="inlineStr">
        <is>
          <t>Pass</t>
        </is>
      </c>
      <c r="K51" s="17" t="inlineStr">
        <is>
          <t>Jerald</t>
        </is>
      </c>
      <c r="L51" s="17" t="inlineStr">
        <is>
          <t>2026-08-29</t>
        </is>
      </c>
      <c r="M51" s="17" t="inlineStr">
        <is>
          <t>EV-045</t>
        </is>
      </c>
      <c r="N51" s="16" t="n"/>
      <c r="O51" s="16" t="inlineStr">
        <is>
          <t>WBS 4.9 frontend validation verification. No profile PATCH request was sent for the invalid form data.</t>
        </is>
      </c>
      <c r="P51" s="17" t="inlineStr">
        <is>
          <t>Joyee</t>
        </is>
      </c>
    </row>
    <row r="52" ht="24" customHeight="1">
      <c r="A52" s="16" t="inlineStr">
        <is>
          <t>FE-PROF-04</t>
        </is>
      </c>
      <c r="B52" s="16" t="inlineStr">
        <is>
          <t>Frontend Profile</t>
        </is>
      </c>
      <c r="C52" s="16" t="inlineStr">
        <is>
          <t>Integration</t>
        </is>
      </c>
      <c r="D52" s="17" t="inlineStr">
        <is>
          <t>High</t>
        </is>
      </c>
      <c r="E52" s="16" t="inlineStr">
        <is>
          <t>Profile remains after reload</t>
        </is>
      </c>
      <c r="F52" s="16" t="inlineStr">
        <is>
          <t>Successful profile update</t>
        </is>
      </c>
      <c r="G52" s="16" t="inlineStr">
        <is>
          <t>Reload or refetch profile</t>
        </is>
      </c>
      <c r="H52" s="16" t="inlineStr">
        <is>
          <t>Reload or refetch displays the previously saved profile data.</t>
        </is>
      </c>
      <c r="I52" s="16" t="inlineStr">
        <is>
          <t>Saved profile information remained after browser refresh. Edited Education remained updated and the removed Project did not return.</t>
        </is>
      </c>
      <c r="J52" s="17" t="inlineStr">
        <is>
          <t>Pass</t>
        </is>
      </c>
      <c r="K52" s="17" t="inlineStr">
        <is>
          <t>Jerald</t>
        </is>
      </c>
      <c r="L52" s="17" t="inlineStr">
        <is>
          <t>2026-08-28</t>
        </is>
      </c>
      <c r="M52" s="17" t="inlineStr">
        <is>
          <t>EV-028; EV-029; EV-030</t>
        </is>
      </c>
      <c r="N52" s="16" t="n"/>
      <c r="O52" s="16" t="inlineStr">
        <is>
          <t>Reload persistence verified.</t>
        </is>
      </c>
      <c r="P52" s="17" t="inlineStr">
        <is>
          <t>Joyee</t>
        </is>
      </c>
    </row>
    <row r="53" ht="24" customHeight="1">
      <c r="A53" s="16" t="inlineStr">
        <is>
          <t>DB-01</t>
        </is>
      </c>
      <c r="B53" s="16" t="inlineStr">
        <is>
          <t>Database</t>
        </is>
      </c>
      <c r="C53" s="16" t="inlineStr">
        <is>
          <t>Database</t>
        </is>
      </c>
      <c r="D53" s="17" t="inlineStr">
        <is>
          <t>Critical</t>
        </is>
      </c>
      <c r="E53" s="16" t="inlineStr">
        <is>
          <t>Django connects to PostgreSQL</t>
        </is>
      </c>
      <c r="F53" s="16" t="inlineStr">
        <is>
          <t>Configured test environment</t>
        </is>
      </c>
      <c r="G53" s="16" t="inlineStr">
        <is>
          <t>Execute database-backed request/test</t>
        </is>
      </c>
      <c r="H53" s="16" t="inlineStr">
        <is>
          <t>Django establishes a database connection to the configured PostgreSQL database.</t>
        </is>
      </c>
      <c r="I53" s="16" t="inlineStr">
        <is>
          <t>Django successfully connected to PostgreSQL using the configured backend and gradnavi_db database.</t>
        </is>
      </c>
      <c r="J53" s="17" t="inlineStr">
        <is>
          <t>Pass</t>
        </is>
      </c>
      <c r="K53" s="17" t="inlineStr">
        <is>
          <t>Jerald</t>
        </is>
      </c>
      <c r="L53" s="17" t="inlineStr">
        <is>
          <t>2026-08-22</t>
        </is>
      </c>
      <c r="M53" s="17" t="inlineStr">
        <is>
          <t>EV-020</t>
        </is>
      </c>
      <c r="N53" s="16" t="n"/>
      <c r="O53" s="16" t="inlineStr">
        <is>
          <t>Database connection verified through Django without exposing credentials.</t>
        </is>
      </c>
      <c r="P53" s="17" t="inlineStr">
        <is>
          <t>Jerald</t>
        </is>
      </c>
    </row>
    <row r="54" ht="24" customHeight="1">
      <c r="A54" s="16" t="inlineStr">
        <is>
          <t>DB-02</t>
        </is>
      </c>
      <c r="B54" s="16" t="inlineStr">
        <is>
          <t>Database</t>
        </is>
      </c>
      <c r="C54" s="16" t="inlineStr">
        <is>
          <t>Database</t>
        </is>
      </c>
      <c r="D54" s="17" t="inlineStr">
        <is>
          <t>High</t>
        </is>
      </c>
      <c r="E54" s="16" t="inlineStr">
        <is>
          <t>Migrations apply successfully</t>
        </is>
      </c>
      <c r="F54" s="16" t="inlineStr">
        <is>
          <t>Migration files available</t>
        </is>
      </c>
      <c r="G54" s="16" t="inlineStr">
        <is>
          <t>Run Django migrations</t>
        </is>
      </c>
      <c r="H54" s="16" t="inlineStr">
        <is>
          <t>All current Sprint 1 migrations are applied with no pending migrations.</t>
        </is>
      </c>
      <c r="I54" s="16" t="inlineStr">
        <is>
          <t>Django reported no pending migrations, and showmigrations confirmed all current Sprint 1 migrations are applied.</t>
        </is>
      </c>
      <c r="J54" s="17" t="inlineStr">
        <is>
          <t>Pass</t>
        </is>
      </c>
      <c r="K54" s="17" t="inlineStr">
        <is>
          <t>Jerald</t>
        </is>
      </c>
      <c r="L54" s="17" t="inlineStr">
        <is>
          <t>2026-08-22</t>
        </is>
      </c>
      <c r="M54" s="17" t="inlineStr">
        <is>
          <t>EV-021</t>
        </is>
      </c>
      <c r="N54" s="16" t="n"/>
      <c r="O54" s="16" t="inlineStr">
        <is>
          <t>Migration state verified against the current development database.</t>
        </is>
      </c>
      <c r="P54" s="17" t="inlineStr">
        <is>
          <t>Jerald</t>
        </is>
      </c>
    </row>
    <row r="55" ht="60" customHeight="1">
      <c r="A55" s="16" t="inlineStr">
        <is>
          <t>DB-03</t>
        </is>
      </c>
      <c r="B55" s="16" t="inlineStr">
        <is>
          <t>Database</t>
        </is>
      </c>
      <c r="C55" s="16" t="inlineStr">
        <is>
          <t>Database</t>
        </is>
      </c>
      <c r="D55" s="17" t="inlineStr">
        <is>
          <t>High</t>
        </is>
      </c>
      <c r="E55" s="16" t="inlineStr">
        <is>
          <t>Profile relationships persist</t>
        </is>
      </c>
      <c r="F55" s="16" t="inlineStr">
        <is>
          <t>Profile models implemented</t>
        </is>
      </c>
      <c r="G55" s="16" t="inlineStr">
        <is>
          <t>Create profile with related records then retrieve</t>
        </is>
      </c>
      <c r="H55" s="16" t="inlineStr">
        <is>
          <t>Related Experience, Career Goal, and Personality Response records remain linked to the authenticated StudentProfile in PostgreSQL.</t>
        </is>
      </c>
      <c r="I55" s="16" t="inlineStr">
        <is>
          <t>Direct PostgreSQL verification through the Django ORM confirmed Student A, user ID 6, owns StudentProfile ID 2. The WBS 4.9 Current Role Experience, Software Engineer Career Goal, and achievement_effort Personality Response records all existed and each referenced the same StudentProfile.</t>
        </is>
      </c>
      <c r="J55" s="17" t="inlineStr">
        <is>
          <t>Pass</t>
        </is>
      </c>
      <c r="K55" s="17" t="inlineStr">
        <is>
          <t>Jerald</t>
        </is>
      </c>
      <c r="L55" s="17" t="inlineStr">
        <is>
          <t>2026-08-29</t>
        </is>
      </c>
      <c r="M55" s="17" t="inlineStr">
        <is>
          <t>EV-046</t>
        </is>
      </c>
      <c r="N55" s="16" t="n"/>
      <c r="O55" s="16" t="inlineStr">
        <is>
          <t>WBS 4.9 direct PostgreSQL relationship verification through the Django ORM.</t>
        </is>
      </c>
      <c r="P55" s="17" t="inlineStr">
        <is>
          <t>Shared</t>
        </is>
      </c>
    </row>
    <row r="56" ht="36" customHeight="1">
      <c r="A56" s="16" t="inlineStr">
        <is>
          <t>SEC-01</t>
        </is>
      </c>
      <c r="B56" s="16" t="inlineStr">
        <is>
          <t>Security</t>
        </is>
      </c>
      <c r="C56" s="16" t="inlineStr">
        <is>
          <t>Security</t>
        </is>
      </c>
      <c r="D56" s="17" t="inlineStr">
        <is>
          <t>Critical</t>
        </is>
      </c>
      <c r="E56" s="16" t="inlineStr">
        <is>
          <t>Protected endpoint rejects missing JWT</t>
        </is>
      </c>
      <c r="F56" s="16" t="inlineStr">
        <is>
          <t>Protected endpoint available</t>
        </is>
      </c>
      <c r="G56" s="16" t="inlineStr">
        <is>
          <t>Call without Authorization header</t>
        </is>
      </c>
      <c r="H56" s="16" t="inlineStr">
        <is>
          <t>401 Unauthorized; no protected data</t>
        </is>
      </c>
      <c r="I56" s="16" t="inlineStr">
        <is>
          <t>Protected current-user endpoint rejected a request without JWT authentication and returned 401 Unauthorized without exposing student data.</t>
        </is>
      </c>
      <c r="J56" s="17" t="inlineStr">
        <is>
          <t>Pass</t>
        </is>
      </c>
      <c r="K56" s="17" t="inlineStr">
        <is>
          <t>Jerald</t>
        </is>
      </c>
      <c r="L56" s="17" t="inlineStr">
        <is>
          <t>2026-08-22</t>
        </is>
      </c>
      <c r="M56" s="17" t="inlineStr">
        <is>
          <t>EV-022</t>
        </is>
      </c>
      <c r="N56" s="16" t="n"/>
      <c r="O56" s="16" t="inlineStr">
        <is>
          <t>Verified against /api/v1/auth/me/ without an Authorization header.</t>
        </is>
      </c>
      <c r="P56" s="17" t="inlineStr">
        <is>
          <t>Shared</t>
        </is>
      </c>
    </row>
    <row r="57" ht="36" customHeight="1">
      <c r="A57" s="16" t="inlineStr">
        <is>
          <t>SEC-02</t>
        </is>
      </c>
      <c r="B57" s="16" t="inlineStr">
        <is>
          <t>Security</t>
        </is>
      </c>
      <c r="C57" s="16" t="inlineStr">
        <is>
          <t>Security</t>
        </is>
      </c>
      <c r="D57" s="17" t="inlineStr">
        <is>
          <t>Critical</t>
        </is>
      </c>
      <c r="E57" s="16" t="inlineStr">
        <is>
          <t>API errors hide internal details</t>
        </is>
      </c>
      <c r="F57" s="16" t="inlineStr">
        <is>
          <t>Safe error trigger available</t>
        </is>
      </c>
      <c r="G57" s="16" t="inlineStr">
        <is>
          <t>Trigger representative invalid/failing requests</t>
        </is>
      </c>
      <c r="H57" s="16" t="inlineStr">
        <is>
          <t>Controlled API error contains no traceback, server paths, database credentials, SQL, secret keys, or internal exception details.</t>
        </is>
      </c>
      <c r="I57" s="16" t="inlineStr">
        <is>
          <t>Invalid authentication returned a controlled 401 error response without exposing traceback information, server file paths, database credentials, SQL statements, secret keys, or internal exception details.</t>
        </is>
      </c>
      <c r="J57" s="17" t="inlineStr">
        <is>
          <t>Pass</t>
        </is>
      </c>
      <c r="K57" s="17" t="inlineStr">
        <is>
          <t>Jerald</t>
        </is>
      </c>
      <c r="L57" s="17" t="inlineStr">
        <is>
          <t>2026-08-22</t>
        </is>
      </c>
      <c r="M57" s="17" t="inlineStr">
        <is>
          <t>EV-023</t>
        </is>
      </c>
      <c r="N57" s="16" t="n"/>
      <c r="O57" s="16" t="inlineStr">
        <is>
          <t>Representative invalid-login request used to verify safe API error handling.</t>
        </is>
      </c>
      <c r="P57" s="17" t="inlineStr">
        <is>
          <t>Shared</t>
        </is>
      </c>
    </row>
    <row r="58" ht="36" customHeight="1">
      <c r="A58" s="16" t="inlineStr">
        <is>
          <t>SEC-03</t>
        </is>
      </c>
      <c r="B58" s="16" t="inlineStr">
        <is>
          <t>Security</t>
        </is>
      </c>
      <c r="C58" s="16" t="inlineStr">
        <is>
          <t>Security</t>
        </is>
      </c>
      <c r="D58" s="17" t="inlineStr">
        <is>
          <t>High</t>
        </is>
      </c>
      <c r="E58" s="16" t="inlineStr">
        <is>
          <t>Frontend contains no backend secrets</t>
        </is>
      </c>
      <c r="F58" s="16" t="inlineStr">
        <is>
          <t>React source/build available</t>
        </is>
      </c>
      <c r="G58" s="16" t="inlineStr">
        <is>
          <t>Inspect browser-visible configuration</t>
        </is>
      </c>
      <c r="H58" s="16" t="inlineStr">
        <is>
          <t>Frontend source and production build contain no database password, Django secret, backend secret, or AI key.</t>
        </is>
      </c>
      <c r="I58" s="16" t="inlineStr">
        <is>
          <t>No backend secrets, database credentials, or PostgreSQL configuration details were found in the frontend source or production build using the defined secret-pattern searches.</t>
        </is>
      </c>
      <c r="J58" s="17" t="inlineStr">
        <is>
          <t>Pass</t>
        </is>
      </c>
      <c r="K58" s="17" t="inlineStr">
        <is>
          <t>Jerald</t>
        </is>
      </c>
      <c r="L58" s="17" t="inlineStr">
        <is>
          <t>2026-08-22</t>
        </is>
      </c>
      <c r="M58" s="17" t="inlineStr">
        <is>
          <t>EV-016</t>
        </is>
      </c>
      <c r="N58" s="16" t="n"/>
      <c r="O58" s="16" t="inlineStr">
        <is>
          <t>Frontend source and built assets were checked for backend secret/configuration patterns.</t>
        </is>
      </c>
      <c r="P58" s="17" t="inlineStr">
        <is>
          <t>Joyee</t>
        </is>
      </c>
    </row>
    <row r="59" ht="36" customHeight="1">
      <c r="A59" s="16" t="inlineStr">
        <is>
          <t>SEC-04</t>
        </is>
      </c>
      <c r="B59" s="16" t="inlineStr">
        <is>
          <t>Security</t>
        </is>
      </c>
      <c r="C59" s="16" t="inlineStr">
        <is>
          <t>Security</t>
        </is>
      </c>
      <c r="D59" s="17" t="inlineStr">
        <is>
          <t>High</t>
        </is>
      </c>
      <c r="E59" s="16" t="inlineStr">
        <is>
          <t>CORS limited to approved origin</t>
        </is>
      </c>
      <c r="F59" s="16" t="inlineStr">
        <is>
          <t>Frontend local origin confirmed</t>
        </is>
      </c>
      <c r="G59" s="16" t="inlineStr">
        <is>
          <t>Inspect/test CORS behaviour</t>
        </is>
      </c>
      <c r="H59" s="16" t="inlineStr">
        <is>
          <t>Approved localhost origins receive Access-Control-Allow-Origin; unapproved origins do not.</t>
        </is>
      </c>
      <c r="I59" s="16" t="inlineStr">
        <is>
          <t>CORS configuration allows the approved local React origins. The approved localhost origin received Access-Control-Allow-Origin, while the unapproved example.com origin did not.</t>
        </is>
      </c>
      <c r="J59" s="17" t="inlineStr">
        <is>
          <t>Pass</t>
        </is>
      </c>
      <c r="K59" s="17" t="inlineStr">
        <is>
          <t>Jerald</t>
        </is>
      </c>
      <c r="L59" s="17" t="inlineStr">
        <is>
          <t>2026-08-22</t>
        </is>
      </c>
      <c r="M59" s="17" t="inlineStr">
        <is>
          <t>EV-017; EV-018; EV-019</t>
        </is>
      </c>
      <c r="N59" s="16" t="n"/>
      <c r="O59" s="16" t="inlineStr">
        <is>
          <t>Configuration and preflight behaviour verified for approved and unapproved origins.</t>
        </is>
      </c>
      <c r="P59" s="17" t="inlineStr">
        <is>
          <t>Jerald</t>
        </is>
      </c>
    </row>
    <row r="60" ht="48" customHeight="1">
      <c r="A60" s="16" t="inlineStr">
        <is>
          <t>REG-01</t>
        </is>
      </c>
      <c r="B60" s="16" t="inlineStr">
        <is>
          <t>Regression</t>
        </is>
      </c>
      <c r="C60" s="16" t="inlineStr">
        <is>
          <t>Regression</t>
        </is>
      </c>
      <c r="D60" s="17" t="inlineStr">
        <is>
          <t>Critical</t>
        </is>
      </c>
      <c r="E60" s="16" t="inlineStr">
        <is>
          <t>Authentication regression pass</t>
        </is>
      </c>
      <c r="F60" s="16" t="inlineStr">
        <is>
          <t>Auth integrated with later changes</t>
        </is>
      </c>
      <c r="G60" s="16" t="inlineStr">
        <is>
          <t>Rerun completed auth automated/manual tests</t>
        </is>
      </c>
      <c r="H60" s="16" t="inlineStr">
        <is>
          <t>Previously passing authentication flows, protected routing, frontend lint, and production build still pass.</t>
        </is>
      </c>
      <c r="I60" s="16" t="inlineStr">
        <is>
          <t>Authentication regression completed successfully after the MainLayout refactor. Protected-route behaviour remained correct after logout, frontend lint completed with 0 warnings and 0 errors, and the production build completed successfully.</t>
        </is>
      </c>
      <c r="J60" s="17" t="inlineStr">
        <is>
          <t>Pass</t>
        </is>
      </c>
      <c r="K60" s="17" t="inlineStr">
        <is>
          <t>Jerald</t>
        </is>
      </c>
      <c r="L60" s="17" t="inlineStr">
        <is>
          <t>2026-08-22</t>
        </is>
      </c>
      <c r="M60" s="17" t="inlineStr">
        <is>
          <t>EV-024; EV-025</t>
        </is>
      </c>
      <c r="N60" s="16" t="n"/>
      <c r="O60" s="16" t="inlineStr">
        <is>
          <t>Regression supported by earlier FE-AUTH evidence for login, session persistence, and logout.</t>
        </is>
      </c>
      <c r="P60" s="17" t="inlineStr">
        <is>
          <t>Shared</t>
        </is>
      </c>
    </row>
    <row r="61" ht="60" customHeight="1">
      <c r="A61" s="16" t="inlineStr">
        <is>
          <t>REG-02</t>
        </is>
      </c>
      <c r="B61" s="16" t="inlineStr">
        <is>
          <t>Regression</t>
        </is>
      </c>
      <c r="C61" s="16" t="inlineStr">
        <is>
          <t>Regression</t>
        </is>
      </c>
      <c r="D61" s="17" t="inlineStr">
        <is>
          <t>Critical</t>
        </is>
      </c>
      <c r="E61" s="16" t="inlineStr">
        <is>
          <t>Student Profile regression pass</t>
        </is>
      </c>
      <c r="F61" s="16" t="inlineStr">
        <is>
          <t>Profile implementation integrated</t>
        </is>
      </c>
      <c r="G61" s="16" t="inlineStr">
        <is>
          <t>Rerun profile API, ownership, validation tests</t>
        </is>
      </c>
      <c r="H61" s="16" t="inlineStr">
        <is>
          <t>Profile GET, valid PATCH, ownership isolation, and invalid-reference validation still pass.</t>
        </is>
      </c>
      <c r="I61" s="16" t="inlineStr">
        <is>
          <t>Reran representative Student Profile regression checks after WBS 4.9 testing. Authenticated GET /api/v1/profile/ returned HTTP 200, a valid Career Goal PATCH returned HTTP 200, a client-supplied Student B identifier did not change Student A's returned profile, and an invalid Skill reference remained rejected with HTTP 400.</t>
        </is>
      </c>
      <c r="J61" s="17" t="inlineStr">
        <is>
          <t>Pass</t>
        </is>
      </c>
      <c r="K61" s="17" t="inlineStr">
        <is>
          <t>Jerald</t>
        </is>
      </c>
      <c r="L61" s="17" t="inlineStr">
        <is>
          <t>2026-08-29</t>
        </is>
      </c>
      <c r="M61" s="17" t="inlineStr">
        <is>
          <t>EV-047</t>
        </is>
      </c>
      <c r="N61" s="16" t="n"/>
      <c r="O61" s="16" t="inlineStr">
        <is>
          <t>WBS 4.9 Student Profile regression verification after ownership and validation testing.</t>
        </is>
      </c>
      <c r="P61" s="17" t="inlineStr">
        <is>
          <t>Shared</t>
        </is>
      </c>
    </row>
    <row r="62" ht="36" customHeight="1">
      <c r="A62" s="16" t="inlineStr">
        <is>
          <t>REG-03</t>
        </is>
      </c>
      <c r="B62" s="16" t="inlineStr">
        <is>
          <t>Regression</t>
        </is>
      </c>
      <c r="C62" s="16" t="inlineStr">
        <is>
          <t>Regression</t>
        </is>
      </c>
      <c r="D62" s="17" t="inlineStr">
        <is>
          <t>High</t>
        </is>
      </c>
      <c r="E62" s="16" t="inlineStr">
        <is>
          <t>End-to-end Sprint 1 regression</t>
        </is>
      </c>
      <c r="F62" s="16" t="inlineStr">
        <is>
          <t>Sprint 1 integration complete</t>
        </is>
      </c>
      <c r="G62" s="16" t="inlineStr">
        <is>
          <t>Register/login/me/profile GET/profile PATCH/logout</t>
        </is>
      </c>
      <c r="H62" s="16" t="inlineStr">
        <is>
          <t>Registration, login, current-user retrieval, profile GET/PATCH, persistence, and logout complete successfully with expected security behaviour.</t>
        </is>
      </c>
      <c r="I62" s="16" t="inlineStr">
        <is>
          <t>Core Sprint 1 happy-path flow passed through registration, login, current-user retrieval, profile GET, profile PATCH, refresh persistence, and the previously verified logout behaviour.</t>
        </is>
      </c>
      <c r="J62" s="17" t="inlineStr">
        <is>
          <t>Pass</t>
        </is>
      </c>
      <c r="K62" s="17" t="inlineStr">
        <is>
          <t>Jerald</t>
        </is>
      </c>
      <c r="L62" s="17" t="inlineStr">
        <is>
          <t>2026-08-28</t>
        </is>
      </c>
      <c r="M62" s="17" t="inlineStr">
        <is>
          <t>EV-014; EV-027; EV-028; EV-030</t>
        </is>
      </c>
      <c r="N62" s="16" t="n"/>
      <c r="O62" s="16" t="inlineStr">
        <is>
          <t>Core happy-path regression passed. Remaining Not Run cases are tracked separately.</t>
        </is>
      </c>
      <c r="P62" s="17" t="inlineStr">
        <is>
          <t>Shared</t>
        </is>
      </c>
    </row>
  </sheetData>
  <conditionalFormatting sqref="A2:H16 A17:P17 A18:H18 A19:P20 A21:H23 A24:P62 J2:N15 J16:L16 J18:N18 J21:N22 J23:P23 N16 P2:P16 P18 P21:P22">
    <cfRule type="expression" priority="8" dxfId="16">
      <formula>MOD(ROW(),2)=0</formula>
    </cfRule>
  </conditionalFormatting>
  <conditionalFormatting sqref="D2:D62">
    <cfRule type="expression" priority="9" dxfId="24">
      <formula>D2="Critical"</formula>
    </cfRule>
    <cfRule type="expression" priority="10" dxfId="28">
      <formula>D2="High"</formula>
    </cfRule>
    <cfRule type="expression" priority="11" dxfId="27">
      <formula>D2="Medium"</formula>
    </cfRule>
    <cfRule type="expression" priority="12" dxfId="26">
      <formula>D2="Low"</formula>
    </cfRule>
  </conditionalFormatting>
  <conditionalFormatting sqref="J2:J62">
    <cfRule type="expression" priority="13" dxfId="25">
      <formula>J2="Pass"</formula>
    </cfRule>
    <cfRule type="expression" priority="14" dxfId="24">
      <formula>J2="Fail"</formula>
    </cfRule>
    <cfRule type="expression" priority="15" dxfId="23">
      <formula>J2="Blocked"</formula>
    </cfRule>
    <cfRule type="expression" priority="16" dxfId="22">
      <formula>J2="Not Run"</formula>
    </cfRule>
  </conditionalFormatting>
  <conditionalFormatting sqref="M16">
    <cfRule type="expression" priority="1" dxfId="16">
      <formula>MOD(ROW(),2)=0</formula>
    </cfRule>
  </conditionalFormatting>
  <dataValidations count="3">
    <dataValidation sqref="D2:D62" showDropDown="0" showInputMessage="0" showErrorMessage="0" allowBlank="0" type="list">
      <formula1>"Critical,High,Medium,Low"</formula1>
    </dataValidation>
    <dataValidation sqref="J2:J62" showDropDown="0" showInputMessage="0" showErrorMessage="0" allowBlank="0" type="list">
      <formula1>"Not Run,Pass,Fail,Blocked"</formula1>
    </dataValidation>
    <dataValidation sqref="P2:P62" showDropDown="0" showInputMessage="0" showErrorMessage="0" allowBlank="0" type="list">
      <formula1>"MD,Joyee,Jerald,Shared"</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4.25"/>
  <cols>
    <col width="12" customWidth="1" min="1" max="1"/>
    <col width="28" customWidth="1" min="2" max="2"/>
    <col width="15" customWidth="1" min="3" max="3"/>
    <col width="42" customWidth="1" min="4" max="4"/>
    <col width="58" customWidth="1" min="5" max="5"/>
    <col width="13" customWidth="1" min="6" max="7"/>
    <col width="32" customWidth="1" min="8" max="8"/>
  </cols>
  <sheetData>
    <row r="1" ht="14.25" customHeight="1">
      <c r="A1" s="18" t="inlineStr">
        <is>
          <t>Evidence ID</t>
        </is>
      </c>
      <c r="B1" s="18" t="inlineStr">
        <is>
          <t>Test ID</t>
        </is>
      </c>
      <c r="C1" s="18" t="inlineStr">
        <is>
          <t>Evidence Type</t>
        </is>
      </c>
      <c r="D1" s="18" t="inlineStr">
        <is>
          <t>Description</t>
        </is>
      </c>
      <c r="E1" s="18" t="inlineStr">
        <is>
          <t>Location / Link</t>
        </is>
      </c>
      <c r="F1" s="18" t="inlineStr">
        <is>
          <t>Captured By</t>
        </is>
      </c>
      <c r="G1" s="18" t="inlineStr">
        <is>
          <t>Date</t>
        </is>
      </c>
      <c r="H1" s="18" t="inlineStr">
        <is>
          <t>Notes</t>
        </is>
      </c>
    </row>
    <row r="2" ht="14.25" customHeight="1">
      <c r="A2" s="19" t="inlineStr">
        <is>
          <t>EV-001</t>
        </is>
      </c>
      <c r="B2" s="19" t="inlineStr">
        <is>
          <t>FE-AUTH-01</t>
        </is>
      </c>
      <c r="C2" s="19" t="inlineStr">
        <is>
          <t>Screenshot</t>
        </is>
      </c>
      <c r="D2" s="16" t="inlineStr">
        <is>
          <t>Registration success HTTP status</t>
        </is>
      </c>
      <c r="E2" s="16" t="inlineStr">
        <is>
          <t>docs/testing/evidence/sprint-1/EV-001-auth-registration-success-status.png</t>
        </is>
      </c>
      <c r="F2" s="17" t="inlineStr">
        <is>
          <t>Jerald</t>
        </is>
      </c>
      <c r="G2" s="20" t="inlineStr">
        <is>
          <t>2026-08-22</t>
        </is>
      </c>
      <c r="H2" s="16" t="inlineStr">
        <is>
          <t>Frontend authentication evidence</t>
        </is>
      </c>
    </row>
    <row r="3" ht="14.25" customHeight="1">
      <c r="A3" s="19" t="inlineStr">
        <is>
          <t>EV-002</t>
        </is>
      </c>
      <c r="B3" s="19" t="inlineStr">
        <is>
          <t>FE-AUTH-01</t>
        </is>
      </c>
      <c r="C3" s="19" t="inlineStr">
        <is>
          <t>Screenshot</t>
        </is>
      </c>
      <c r="D3" s="16" t="inlineStr">
        <is>
          <t>Registration success response excludes password fields</t>
        </is>
      </c>
      <c r="E3" s="16" t="inlineStr">
        <is>
          <t>docs/testing/evidence/sprint-1/EV-002-auth-registration-success-response.png</t>
        </is>
      </c>
      <c r="F3" s="17" t="inlineStr">
        <is>
          <t>Jerald</t>
        </is>
      </c>
      <c r="G3" s="20" t="inlineStr">
        <is>
          <t>2026-08-22</t>
        </is>
      </c>
      <c r="H3" s="16" t="inlineStr">
        <is>
          <t>Frontend authentication evidence</t>
        </is>
      </c>
    </row>
    <row r="4" ht="14.25" customHeight="1">
      <c r="A4" s="19" t="inlineStr">
        <is>
          <t>EV-003</t>
        </is>
      </c>
      <c r="B4" s="19" t="inlineStr">
        <is>
          <t>FE-AUTH-01</t>
        </is>
      </c>
      <c r="C4" s="19" t="inlineStr">
        <is>
          <t>Screenshot</t>
        </is>
      </c>
      <c r="D4" s="16" t="inlineStr">
        <is>
          <t>Registration validation feedback</t>
        </is>
      </c>
      <c r="E4" s="16" t="inlineStr">
        <is>
          <t>docs/testing/evidence/sprint-1/EV-003-auth-registration-validation.png</t>
        </is>
      </c>
      <c r="F4" s="17" t="inlineStr">
        <is>
          <t>Jerald</t>
        </is>
      </c>
      <c r="G4" s="20" t="inlineStr">
        <is>
          <t>2026-08-22</t>
        </is>
      </c>
      <c r="H4" s="16" t="inlineStr">
        <is>
          <t>Frontend authentication evidence</t>
        </is>
      </c>
    </row>
    <row r="5" ht="14.25" customHeight="1">
      <c r="A5" s="19" t="inlineStr">
        <is>
          <t>EV-004</t>
        </is>
      </c>
      <c r="B5" s="19" t="inlineStr">
        <is>
          <t>FE-AUTH-01</t>
        </is>
      </c>
      <c r="C5" s="19" t="inlineStr">
        <is>
          <t>Screenshot</t>
        </is>
      </c>
      <c r="D5" s="16" t="inlineStr">
        <is>
          <t>Registration validation API response</t>
        </is>
      </c>
      <c r="E5" s="16" t="inlineStr">
        <is>
          <t>docs/testing/evidence/sprint-1/EV-004-auth-registration-validation-response.png</t>
        </is>
      </c>
      <c r="F5" s="17" t="inlineStr">
        <is>
          <t>Jerald</t>
        </is>
      </c>
      <c r="G5" s="20" t="inlineStr">
        <is>
          <t>2026-08-22</t>
        </is>
      </c>
      <c r="H5" s="16" t="inlineStr">
        <is>
          <t>Frontend authentication evidence</t>
        </is>
      </c>
    </row>
    <row r="6" ht="14.25" customHeight="1">
      <c r="A6" s="19" t="inlineStr">
        <is>
          <t>EV-005</t>
        </is>
      </c>
      <c r="B6" s="19" t="inlineStr">
        <is>
          <t>FE-AUTH-01</t>
        </is>
      </c>
      <c r="C6" s="19" t="inlineStr">
        <is>
          <t>Screenshot</t>
        </is>
      </c>
      <c r="D6" s="16" t="inlineStr">
        <is>
          <t>Registration password mismatch validation</t>
        </is>
      </c>
      <c r="E6" s="16" t="inlineStr">
        <is>
          <t>docs/testing/evidence/sprint-1/EV-005-auth-registration-password-mismatch.png</t>
        </is>
      </c>
      <c r="F6" s="17" t="inlineStr">
        <is>
          <t>Jerald</t>
        </is>
      </c>
      <c r="G6" s="20" t="inlineStr">
        <is>
          <t>2026-08-22</t>
        </is>
      </c>
      <c r="H6" s="16" t="inlineStr">
        <is>
          <t>Frontend authentication evidence</t>
        </is>
      </c>
    </row>
    <row r="7" ht="14.25" customHeight="1">
      <c r="A7" s="19" t="inlineStr">
        <is>
          <t>EV-006</t>
        </is>
      </c>
      <c r="B7" s="19" t="inlineStr">
        <is>
          <t>FE-AUTH-01</t>
        </is>
      </c>
      <c r="C7" s="19" t="inlineStr">
        <is>
          <t>Screenshot</t>
        </is>
      </c>
      <c r="D7" s="16" t="inlineStr">
        <is>
          <t>Duplicate registration handling</t>
        </is>
      </c>
      <c r="E7" s="16" t="inlineStr">
        <is>
          <t>docs/testing/evidence/sprint-1/EV-006-auth-registration-duplicate.png</t>
        </is>
      </c>
      <c r="F7" s="17" t="inlineStr">
        <is>
          <t>Jerald</t>
        </is>
      </c>
      <c r="G7" s="20" t="inlineStr">
        <is>
          <t>2026-08-22</t>
        </is>
      </c>
      <c r="H7" s="16" t="inlineStr">
        <is>
          <t>Frontend authentication evidence</t>
        </is>
      </c>
    </row>
    <row r="8" ht="14.25" customHeight="1">
      <c r="A8" s="19" t="inlineStr">
        <is>
          <t>EV-007</t>
        </is>
      </c>
      <c r="B8" s="19" t="inlineStr">
        <is>
          <t>FE-AUTH-02</t>
        </is>
      </c>
      <c r="C8" s="19" t="inlineStr">
        <is>
          <t>Screenshot</t>
        </is>
      </c>
      <c r="D8" s="16" t="inlineStr">
        <is>
          <t>Successful frontend login</t>
        </is>
      </c>
      <c r="E8" s="16" t="inlineStr">
        <is>
          <t>docs/testing/evidence/sprint-1/EV-007-auth-login-success.png</t>
        </is>
      </c>
      <c r="F8" s="17" t="inlineStr">
        <is>
          <t>Jerald</t>
        </is>
      </c>
      <c r="G8" s="20" t="inlineStr">
        <is>
          <t>2026-08-22</t>
        </is>
      </c>
      <c r="H8" s="16" t="inlineStr">
        <is>
          <t>Frontend authentication evidence</t>
        </is>
      </c>
    </row>
    <row r="9" ht="14.25" customHeight="1">
      <c r="A9" s="19" t="inlineStr">
        <is>
          <t>EV-008</t>
        </is>
      </c>
      <c r="B9" s="19" t="inlineStr">
        <is>
          <t>FE-AUTH-03</t>
        </is>
      </c>
      <c r="C9" s="19" t="inlineStr">
        <is>
          <t>Screenshot</t>
        </is>
      </c>
      <c r="D9" s="16" t="inlineStr">
        <is>
          <t>Invalid password login handling</t>
        </is>
      </c>
      <c r="E9" s="16" t="inlineStr">
        <is>
          <t>docs/testing/evidence/sprint-1/EV-008-auth-login-invalid-password.png</t>
        </is>
      </c>
      <c r="F9" s="17" t="inlineStr">
        <is>
          <t>Jerald</t>
        </is>
      </c>
      <c r="G9" s="20" t="inlineStr">
        <is>
          <t>2026-08-22</t>
        </is>
      </c>
      <c r="H9" s="16" t="inlineStr">
        <is>
          <t>Frontend authentication evidence</t>
        </is>
      </c>
    </row>
    <row r="10" ht="14.25" customHeight="1">
      <c r="A10" s="19" t="inlineStr">
        <is>
          <t>EV-009</t>
        </is>
      </c>
      <c r="B10" s="19" t="inlineStr">
        <is>
          <t>FE-AUTH-03</t>
        </is>
      </c>
      <c r="C10" s="19" t="inlineStr">
        <is>
          <t>Screenshot</t>
        </is>
      </c>
      <c r="D10" s="16" t="inlineStr">
        <is>
          <t>Nonexistent-user login handling</t>
        </is>
      </c>
      <c r="E10" s="16" t="inlineStr">
        <is>
          <t>docs/testing/evidence/sprint-1/EV-009-auth-login-nonexistent-user.png</t>
        </is>
      </c>
      <c r="F10" s="17" t="inlineStr">
        <is>
          <t>Jerald</t>
        </is>
      </c>
      <c r="G10" s="20" t="inlineStr">
        <is>
          <t>2026-08-22</t>
        </is>
      </c>
      <c r="H10" s="16" t="inlineStr">
        <is>
          <t>Frontend authentication evidence</t>
        </is>
      </c>
    </row>
    <row r="11" ht="14.25" customHeight="1">
      <c r="A11" s="19" t="inlineStr">
        <is>
          <t>EV-010</t>
        </is>
      </c>
      <c r="B11" s="19" t="inlineStr">
        <is>
          <t>FE-AUTH-03</t>
        </is>
      </c>
      <c r="C11" s="19" t="inlineStr">
        <is>
          <t>Screenshot</t>
        </is>
      </c>
      <c r="D11" s="16" t="inlineStr">
        <is>
          <t>Required login field validation</t>
        </is>
      </c>
      <c r="E11" s="16" t="inlineStr">
        <is>
          <t>docs/testing/evidence/sprint-1/EV-010-auth-login-required-fields.png</t>
        </is>
      </c>
      <c r="F11" s="17" t="inlineStr">
        <is>
          <t>Jerald</t>
        </is>
      </c>
      <c r="G11" s="20" t="inlineStr">
        <is>
          <t>2026-08-22</t>
        </is>
      </c>
      <c r="H11" s="16" t="inlineStr">
        <is>
          <t>Frontend authentication evidence</t>
        </is>
      </c>
    </row>
    <row r="12" ht="14.25" customHeight="1">
      <c r="A12" s="19" t="inlineStr">
        <is>
          <t>EV-011</t>
        </is>
      </c>
      <c r="B12" s="19" t="inlineStr">
        <is>
          <t>FE-AUTH-02</t>
        </is>
      </c>
      <c r="C12" s="19" t="inlineStr">
        <is>
          <t>Screenshot</t>
        </is>
      </c>
      <c r="D12" s="16" t="inlineStr">
        <is>
          <t>Protected-route redirect before authentication</t>
        </is>
      </c>
      <c r="E12" s="16" t="inlineStr">
        <is>
          <t>docs/testing/evidence/sprint-1/EV-011-auth-protected-route-redirect.png</t>
        </is>
      </c>
      <c r="F12" s="17" t="inlineStr">
        <is>
          <t>Jerald</t>
        </is>
      </c>
      <c r="G12" s="20" t="inlineStr">
        <is>
          <t>2026-08-22</t>
        </is>
      </c>
      <c r="H12" s="16" t="inlineStr">
        <is>
          <t>Frontend authentication evidence</t>
        </is>
      </c>
    </row>
    <row r="13" ht="14.25" customHeight="1">
      <c r="A13" s="19" t="inlineStr">
        <is>
          <t>EV-012</t>
        </is>
      </c>
      <c r="B13" s="19" t="inlineStr">
        <is>
          <t>FE-AUTH-02</t>
        </is>
      </c>
      <c r="C13" s="19" t="inlineStr">
        <is>
          <t>Screenshot</t>
        </is>
      </c>
      <c r="D13" s="16" t="inlineStr">
        <is>
          <t>Return to protected route after login</t>
        </is>
      </c>
      <c r="E13" s="16" t="inlineStr">
        <is>
          <t>docs/testing/evidence/sprint-1/EV-012-auth-protected-route-return-after-login.png</t>
        </is>
      </c>
      <c r="F13" s="17" t="inlineStr">
        <is>
          <t>Jerald</t>
        </is>
      </c>
      <c r="G13" s="20" t="inlineStr">
        <is>
          <t>2026-08-22</t>
        </is>
      </c>
      <c r="H13" s="16" t="inlineStr">
        <is>
          <t>Frontend authentication evidence</t>
        </is>
      </c>
    </row>
    <row r="14" ht="14.25" customHeight="1">
      <c r="A14" s="19" t="inlineStr">
        <is>
          <t>EV-013</t>
        </is>
      </c>
      <c r="B14" s="19" t="inlineStr">
        <is>
          <t>FE-AUTH-02</t>
        </is>
      </c>
      <c r="C14" s="19" t="inlineStr">
        <is>
          <t>Screenshot</t>
        </is>
      </c>
      <c r="D14" s="16" t="inlineStr">
        <is>
          <t>Authenticated session persists after refresh</t>
        </is>
      </c>
      <c r="E14" s="16" t="inlineStr">
        <is>
          <t>docs/testing/evidence/sprint-1/EV-013-auth-session-persistence-refresh.png</t>
        </is>
      </c>
      <c r="F14" s="17" t="inlineStr">
        <is>
          <t>Jerald</t>
        </is>
      </c>
      <c r="G14" s="20" t="inlineStr">
        <is>
          <t>2026-08-22</t>
        </is>
      </c>
      <c r="H14" s="16" t="inlineStr">
        <is>
          <t>Frontend authentication evidence</t>
        </is>
      </c>
    </row>
    <row r="15" ht="14.25" customHeight="1">
      <c r="A15" s="19" t="inlineStr">
        <is>
          <t>EV-014</t>
        </is>
      </c>
      <c r="B15" s="19" t="inlineStr">
        <is>
          <t>FE-AUTH-05; REG-03</t>
        </is>
      </c>
      <c r="C15" s="19" t="inlineStr">
        <is>
          <t>Screenshot</t>
        </is>
      </c>
      <c r="D15" s="16" t="inlineStr">
        <is>
          <t>Logout clears local authentication storage</t>
        </is>
      </c>
      <c r="E15" s="16" t="inlineStr">
        <is>
          <t>docs/testing/evidence/sprint-1/EV-014-auth-logout-local-storage-cleared.png</t>
        </is>
      </c>
      <c r="F15" s="17" t="inlineStr">
        <is>
          <t>Jerald</t>
        </is>
      </c>
      <c r="G15" s="20" t="inlineStr">
        <is>
          <t>2026-08-22</t>
        </is>
      </c>
      <c r="H15" s="16" t="inlineStr">
        <is>
          <t>Logout and end-to-end regression evidence</t>
        </is>
      </c>
    </row>
    <row r="16" ht="14.25" customHeight="1">
      <c r="A16" s="19" t="inlineStr">
        <is>
          <t>EV-015</t>
        </is>
      </c>
      <c r="B16" s="19" t="inlineStr">
        <is>
          <t>REG-01</t>
        </is>
      </c>
      <c r="C16" s="19" t="inlineStr">
        <is>
          <t>Screenshot</t>
        </is>
      </c>
      <c r="D16" s="16" t="inlineStr">
        <is>
          <t>Frontend lint and production build passed</t>
        </is>
      </c>
      <c r="E16" s="16" t="inlineStr">
        <is>
          <t>docs/testing/evidence/sprint-1/EV-015-frontend-lint-build-passed.png</t>
        </is>
      </c>
      <c r="F16" s="17" t="inlineStr">
        <is>
          <t>Jerald</t>
        </is>
      </c>
      <c r="G16" s="20" t="inlineStr">
        <is>
          <t>2026-08-22</t>
        </is>
      </c>
      <c r="H16" s="16" t="inlineStr">
        <is>
          <t>Frontend quality evidence</t>
        </is>
      </c>
    </row>
    <row r="17" ht="14.25" customHeight="1">
      <c r="A17" s="19" t="inlineStr">
        <is>
          <t>EV-016</t>
        </is>
      </c>
      <c r="B17" s="19" t="inlineStr">
        <is>
          <t>SEC-03</t>
        </is>
      </c>
      <c r="C17" s="19" t="inlineStr">
        <is>
          <t>Screenshot</t>
        </is>
      </c>
      <c r="D17" s="16" t="inlineStr">
        <is>
          <t>Frontend source and build contain no backend secrets</t>
        </is>
      </c>
      <c r="E17" s="16" t="inlineStr">
        <is>
          <t>docs/testing/evidence/sprint-1/EV-016-frontend-no-backend-secrets.png</t>
        </is>
      </c>
      <c r="F17" s="17" t="inlineStr">
        <is>
          <t>Jerald</t>
        </is>
      </c>
      <c r="G17" s="20" t="inlineStr">
        <is>
          <t>2026-08-22</t>
        </is>
      </c>
      <c r="H17" s="16" t="inlineStr">
        <is>
          <t>Security evidence</t>
        </is>
      </c>
    </row>
    <row r="18" ht="14.25" customHeight="1">
      <c r="A18" s="19" t="inlineStr">
        <is>
          <t>EV-017</t>
        </is>
      </c>
      <c r="B18" s="19" t="inlineStr">
        <is>
          <t>SEC-04</t>
        </is>
      </c>
      <c r="C18" s="19" t="inlineStr">
        <is>
          <t>Screenshot</t>
        </is>
      </c>
      <c r="D18" s="16" t="inlineStr">
        <is>
          <t>Approved CORS origins configuration</t>
        </is>
      </c>
      <c r="E18" s="16" t="inlineStr">
        <is>
          <t>docs/testing/evidence/sprint-1/EV-017-cors-approved-origins-config.png</t>
        </is>
      </c>
      <c r="F18" s="17" t="inlineStr">
        <is>
          <t>Jerald</t>
        </is>
      </c>
      <c r="G18" s="20" t="inlineStr">
        <is>
          <t>2026-08-22</t>
        </is>
      </c>
      <c r="H18" s="16" t="inlineStr">
        <is>
          <t>CORS security evidence</t>
        </is>
      </c>
    </row>
    <row r="19" ht="14.25" customHeight="1">
      <c r="A19" s="19" t="inlineStr">
        <is>
          <t>EV-018</t>
        </is>
      </c>
      <c r="B19" s="19" t="inlineStr">
        <is>
          <t>SEC-04</t>
        </is>
      </c>
      <c r="C19" s="19" t="inlineStr">
        <is>
          <t>Screenshot</t>
        </is>
      </c>
      <c r="D19" s="16" t="inlineStr">
        <is>
          <t>Approved local origin accepted by CORS</t>
        </is>
      </c>
      <c r="E19" s="16" t="inlineStr">
        <is>
          <t>docs/testing/evidence/sprint-1/EV-018-cors-approved-origin.png</t>
        </is>
      </c>
      <c r="F19" s="17" t="inlineStr">
        <is>
          <t>Jerald</t>
        </is>
      </c>
      <c r="G19" s="20" t="inlineStr">
        <is>
          <t>2026-08-22</t>
        </is>
      </c>
      <c r="H19" s="16" t="inlineStr">
        <is>
          <t>CORS security evidence</t>
        </is>
      </c>
    </row>
    <row r="20" ht="14.25" customHeight="1">
      <c r="A20" s="19" t="inlineStr">
        <is>
          <t>EV-019</t>
        </is>
      </c>
      <c r="B20" s="19" t="inlineStr">
        <is>
          <t>SEC-04</t>
        </is>
      </c>
      <c r="C20" s="19" t="inlineStr">
        <is>
          <t>Screenshot</t>
        </is>
      </c>
      <c r="D20" s="16" t="inlineStr">
        <is>
          <t>Unapproved origin not allowed by CORS</t>
        </is>
      </c>
      <c r="E20" s="16" t="inlineStr">
        <is>
          <t>docs/testing/evidence/sprint-1/EV-019-cors-unapproved-origin-rejected.png</t>
        </is>
      </c>
      <c r="F20" s="17" t="inlineStr">
        <is>
          <t>Jerald</t>
        </is>
      </c>
      <c r="G20" s="20" t="inlineStr">
        <is>
          <t>2026-08-22</t>
        </is>
      </c>
      <c r="H20" s="16" t="inlineStr">
        <is>
          <t>CORS security evidence</t>
        </is>
      </c>
    </row>
    <row r="21" ht="14.25" customHeight="1">
      <c r="A21" s="19" t="inlineStr">
        <is>
          <t>EV-020</t>
        </is>
      </c>
      <c r="B21" s="19" t="inlineStr">
        <is>
          <t>DB-01</t>
        </is>
      </c>
      <c r="C21" s="19" t="inlineStr">
        <is>
          <t>Screenshot</t>
        </is>
      </c>
      <c r="D21" s="16" t="inlineStr">
        <is>
          <t>Django PostgreSQL connection verification</t>
        </is>
      </c>
      <c r="E21" s="16" t="inlineStr">
        <is>
          <t>docs/testing/evidence/sprint-1/EV-020-postgresql-connection.png</t>
        </is>
      </c>
      <c r="F21" s="17" t="inlineStr">
        <is>
          <t>Jerald</t>
        </is>
      </c>
      <c r="G21" s="20" t="inlineStr">
        <is>
          <t>2026-08-22</t>
        </is>
      </c>
      <c r="H21" s="16" t="inlineStr">
        <is>
          <t>Database evidence</t>
        </is>
      </c>
    </row>
    <row r="22" ht="14.25" customHeight="1">
      <c r="A22" s="19" t="inlineStr">
        <is>
          <t>EV-021</t>
        </is>
      </c>
      <c r="B22" s="19" t="inlineStr">
        <is>
          <t>DB-02</t>
        </is>
      </c>
      <c r="C22" s="19" t="inlineStr">
        <is>
          <t>Screenshot</t>
        </is>
      </c>
      <c r="D22" s="16" t="inlineStr">
        <is>
          <t>Django migrations applied</t>
        </is>
      </c>
      <c r="E22" s="16" t="inlineStr">
        <is>
          <t>docs/testing/evidence/sprint-1/EV-021-django-migrations-applied.png</t>
        </is>
      </c>
      <c r="F22" s="17" t="inlineStr">
        <is>
          <t>Jerald</t>
        </is>
      </c>
      <c r="G22" s="20" t="inlineStr">
        <is>
          <t>2026-08-22</t>
        </is>
      </c>
      <c r="H22" s="16" t="inlineStr">
        <is>
          <t>Database evidence</t>
        </is>
      </c>
    </row>
    <row r="23" ht="14.25" customHeight="1">
      <c r="A23" s="19" t="inlineStr">
        <is>
          <t>EV-022</t>
        </is>
      </c>
      <c r="B23" s="19" t="inlineStr">
        <is>
          <t>SEC-01</t>
        </is>
      </c>
      <c r="C23" s="19" t="inlineStr">
        <is>
          <t>Screenshot</t>
        </is>
      </c>
      <c r="D23" s="16" t="inlineStr">
        <is>
          <t>Protected endpoint rejects missing JWT</t>
        </is>
      </c>
      <c r="E23" s="16" t="inlineStr">
        <is>
          <t>docs/testing/evidence/sprint-1/EV-022-protected-endpoint-no-jwt.png</t>
        </is>
      </c>
      <c r="F23" s="17" t="inlineStr">
        <is>
          <t>Jerald</t>
        </is>
      </c>
      <c r="G23" s="20" t="inlineStr">
        <is>
          <t>2026-08-22</t>
        </is>
      </c>
      <c r="H23" s="16" t="inlineStr">
        <is>
          <t>Security evidence</t>
        </is>
      </c>
    </row>
    <row r="24" ht="14.25" customHeight="1">
      <c r="A24" s="19" t="inlineStr">
        <is>
          <t>EV-023</t>
        </is>
      </c>
      <c r="B24" s="19" t="inlineStr">
        <is>
          <t>SEC-02</t>
        </is>
      </c>
      <c r="C24" s="19" t="inlineStr">
        <is>
          <t>Screenshot</t>
        </is>
      </c>
      <c r="D24" s="16" t="inlineStr">
        <is>
          <t>API error hides internal implementation details</t>
        </is>
      </c>
      <c r="E24" s="16" t="inlineStr">
        <is>
          <t>docs/testing/evidence/sprint-1/EV-023-api-error-no-internal-details.png</t>
        </is>
      </c>
      <c r="F24" s="17" t="inlineStr">
        <is>
          <t>Jerald</t>
        </is>
      </c>
      <c r="G24" s="20" t="inlineStr">
        <is>
          <t>2026-08-22</t>
        </is>
      </c>
      <c r="H24" s="16" t="inlineStr">
        <is>
          <t>Security evidence</t>
        </is>
      </c>
    </row>
    <row r="25" ht="24" customHeight="1">
      <c r="A25" s="19" t="inlineStr">
        <is>
          <t>EV-024</t>
        </is>
      </c>
      <c r="B25" s="19" t="inlineStr">
        <is>
          <t>REG-01</t>
        </is>
      </c>
      <c r="C25" s="19" t="inlineStr">
        <is>
          <t>Screenshot</t>
        </is>
      </c>
      <c r="D25" s="16" t="inlineStr">
        <is>
          <t>Authentication regression protected-route verification</t>
        </is>
      </c>
      <c r="E25" s="16" t="inlineStr">
        <is>
          <t>docs/testing/evidence/sprint-1/EV-024-authentication-regression-protected-route.png</t>
        </is>
      </c>
      <c r="F25" s="17" t="inlineStr">
        <is>
          <t>Jerald</t>
        </is>
      </c>
      <c r="G25" s="20" t="inlineStr">
        <is>
          <t>2026-08-22</t>
        </is>
      </c>
      <c r="H25" s="16" t="inlineStr">
        <is>
          <t>Regression evidence</t>
        </is>
      </c>
    </row>
    <row r="26" ht="14.25" customHeight="1">
      <c r="A26" s="19" t="inlineStr">
        <is>
          <t>EV-025</t>
        </is>
      </c>
      <c r="B26" s="19" t="inlineStr">
        <is>
          <t>REG-01</t>
        </is>
      </c>
      <c r="C26" s="19" t="inlineStr">
        <is>
          <t>Screenshot</t>
        </is>
      </c>
      <c r="D26" s="16" t="inlineStr">
        <is>
          <t>Authentication regression lint and build verification</t>
        </is>
      </c>
      <c r="E26" s="16" t="inlineStr">
        <is>
          <t>docs/testing/evidence/sprint-1/EV-025-authentication-regression-lint-build.png</t>
        </is>
      </c>
      <c r="F26" s="17" t="inlineStr">
        <is>
          <t>Jerald</t>
        </is>
      </c>
      <c r="G26" s="20" t="inlineStr">
        <is>
          <t>2026-08-22</t>
        </is>
      </c>
      <c r="H26" s="16" t="inlineStr">
        <is>
          <t>Regression evidence</t>
        </is>
      </c>
    </row>
    <row r="27" ht="14.25" customHeight="1">
      <c r="A27" s="19" t="inlineStr">
        <is>
          <t>EV-026</t>
        </is>
      </c>
      <c r="B27" s="19" t="inlineStr">
        <is>
          <t>FE-PROF-02; PROF-PAT-05</t>
        </is>
      </c>
      <c r="C27" s="19" t="inlineStr">
        <is>
          <t>Screenshot</t>
        </is>
      </c>
      <c r="D27" s="16" t="inlineStr">
        <is>
          <t>Student Profile save success</t>
        </is>
      </c>
      <c r="E27" s="16" t="inlineStr">
        <is>
          <t>docs/testing/evidence/sprint-1/EV-026-profile-save-success.png</t>
        </is>
      </c>
      <c r="F27" s="17" t="inlineStr">
        <is>
          <t>Jerald</t>
        </is>
      </c>
      <c r="G27" s="20" t="inlineStr">
        <is>
          <t>2026-08-28</t>
        </is>
      </c>
      <c r="H27" s="16" t="inlineStr">
        <is>
          <t>WBS 4.8 Student Profile integration evidence</t>
        </is>
      </c>
    </row>
    <row r="28" ht="14.25" customHeight="1">
      <c r="A28" s="19" t="inlineStr">
        <is>
          <t>EV-027</t>
        </is>
      </c>
      <c r="B28" s="19" t="inlineStr">
        <is>
          <t>FE-PROF-02; PROF-GET-01; REG-03</t>
        </is>
      </c>
      <c r="C28" s="19" t="inlineStr">
        <is>
          <t>Screenshot</t>
        </is>
      </c>
      <c r="D28" s="16" t="inlineStr">
        <is>
          <t>Student Profile API flow HTTP statuses</t>
        </is>
      </c>
      <c r="E28" s="16" t="inlineStr">
        <is>
          <t>docs/testing/evidence/sprint-1/EV-027-profile-api-flow-statuses.png</t>
        </is>
      </c>
      <c r="F28" s="17" t="inlineStr">
        <is>
          <t>Jerald</t>
        </is>
      </c>
      <c r="G28" s="20" t="inlineStr">
        <is>
          <t>2026-08-28</t>
        </is>
      </c>
      <c r="H28" s="16" t="inlineStr">
        <is>
          <t>WBS 4.8 Student Profile integration evidence</t>
        </is>
      </c>
    </row>
    <row r="29" ht="24" customHeight="1">
      <c r="A29" s="19" t="inlineStr">
        <is>
          <t>EV-028</t>
        </is>
      </c>
      <c r="B29" s="19" t="inlineStr">
        <is>
          <t>FE-PROF-01; FE-PROF-04; SKILL-01; INT-01; PROF-GET-03</t>
        </is>
      </c>
      <c r="C29" s="19" t="inlineStr">
        <is>
          <t>Screenshot</t>
        </is>
      </c>
      <c r="D29" s="16" t="inlineStr">
        <is>
          <t>Student Profile persistence after refresh</t>
        </is>
      </c>
      <c r="E29" s="16" t="inlineStr">
        <is>
          <t>docs/testing/evidence/sprint-1/EV-028-profile-persistence-after-refresh.png</t>
        </is>
      </c>
      <c r="F29" s="17" t="inlineStr">
        <is>
          <t>Jerald</t>
        </is>
      </c>
      <c r="G29" s="20" t="inlineStr">
        <is>
          <t>2026-08-28</t>
        </is>
      </c>
      <c r="H29" s="16" t="inlineStr">
        <is>
          <t>WBS 4.8 persistence evidence</t>
        </is>
      </c>
    </row>
    <row r="30" ht="24" customHeight="1">
      <c r="A30" s="19" t="inlineStr">
        <is>
          <t>EV-029</t>
        </is>
      </c>
      <c r="B30" s="19" t="inlineStr">
        <is>
          <t>FE-PROF-02; EDU-01; EXP-01; PROF-PAT-01</t>
        </is>
      </c>
      <c r="C30" s="19" t="inlineStr">
        <is>
          <t>Screenshot</t>
        </is>
      </c>
      <c r="D30" s="16" t="inlineStr">
        <is>
          <t>Student Profile edit persistence</t>
        </is>
      </c>
      <c r="E30" s="16" t="inlineStr">
        <is>
          <t>docs/testing/evidence/sprint-1/EV-029-profile-edit-persistence.png</t>
        </is>
      </c>
      <c r="F30" s="17" t="inlineStr">
        <is>
          <t>Jerald</t>
        </is>
      </c>
      <c r="G30" s="20" t="inlineStr">
        <is>
          <t>2026-08-28</t>
        </is>
      </c>
      <c r="H30" s="16" t="inlineStr">
        <is>
          <t>WBS 4.8 edit persistence evidence</t>
        </is>
      </c>
    </row>
    <row r="31" ht="24" customHeight="1">
      <c r="A31" s="19" t="inlineStr">
        <is>
          <t>EV-030</t>
        </is>
      </c>
      <c r="B31" s="19" t="inlineStr">
        <is>
          <t>FE-PROF-02; FE-PROF-04; PROJ-01; REG-03</t>
        </is>
      </c>
      <c r="C31" s="19" t="inlineStr">
        <is>
          <t>Screenshot</t>
        </is>
      </c>
      <c r="D31" s="16" t="inlineStr">
        <is>
          <t>Student Profile deletion persistence</t>
        </is>
      </c>
      <c r="E31" s="16" t="inlineStr">
        <is>
          <t>docs/testing/evidence/sprint-1/EV-030-profile-delete-persistence.png</t>
        </is>
      </c>
      <c r="F31" s="17" t="inlineStr">
        <is>
          <t>Jerald</t>
        </is>
      </c>
      <c r="G31" s="20" t="inlineStr">
        <is>
          <t>2026-08-28</t>
        </is>
      </c>
      <c r="H31" s="16" t="inlineStr">
        <is>
          <t>WBS 4.8 deletion persistence evidence</t>
        </is>
      </c>
    </row>
    <row r="32" ht="14.25" customHeight="1">
      <c r="A32" s="19" t="inlineStr">
        <is>
          <t>EV-031</t>
        </is>
      </c>
      <c r="B32" s="19" t="inlineStr">
        <is>
          <t>OWN-01</t>
        </is>
      </c>
      <c r="C32" s="19" t="inlineStr">
        <is>
          <t>Screenshot</t>
        </is>
      </c>
      <c r="D32" s="16" t="inlineStr">
        <is>
          <t>Student A retrieves own authenticated profile</t>
        </is>
      </c>
      <c r="E32" s="16" t="inlineStr">
        <is>
          <t>docs/testing/evidence/sprint-1/EV-031-own-01-student-a-own-profile.png</t>
        </is>
      </c>
      <c r="F32" s="17" t="inlineStr">
        <is>
          <t>Jerald</t>
        </is>
      </c>
      <c r="G32" s="20" t="inlineStr">
        <is>
          <t>2026-08-28</t>
        </is>
      </c>
      <c r="H32" s="16" t="inlineStr">
        <is>
          <t>WBS 4.9 ownership evidence</t>
        </is>
      </c>
    </row>
    <row r="33" ht="14.25" customHeight="1">
      <c r="A33" s="19" t="inlineStr">
        <is>
          <t>EV-032</t>
        </is>
      </c>
      <c r="B33" s="19" t="inlineStr">
        <is>
          <t>OWN-02</t>
        </is>
      </c>
      <c r="C33" s="19" t="inlineStr">
        <is>
          <t>Screenshot</t>
        </is>
      </c>
      <c r="D33" s="16" t="inlineStr">
        <is>
          <t>Student B retrieves own authenticated profile</t>
        </is>
      </c>
      <c r="E33" s="16" t="inlineStr">
        <is>
          <t>docs/testing/evidence/sprint-1/EV-032-own-02-student-b-own-profile.png</t>
        </is>
      </c>
      <c r="F33" s="17" t="inlineStr">
        <is>
          <t>Jerald</t>
        </is>
      </c>
      <c r="G33" s="20" t="inlineStr">
        <is>
          <t>2026-08-28</t>
        </is>
      </c>
      <c r="H33" s="16" t="inlineStr">
        <is>
          <t>WBS 4.9 ownership evidence</t>
        </is>
      </c>
    </row>
    <row r="34" ht="14.25" customHeight="1">
      <c r="A34" s="19" t="inlineStr">
        <is>
          <t>EV-033</t>
        </is>
      </c>
      <c r="B34" s="19" t="inlineStr">
        <is>
          <t>OWN-03</t>
        </is>
      </c>
      <c r="C34" s="19" t="inlineStr">
        <is>
          <t>Screenshot</t>
        </is>
      </c>
      <c r="D34" s="16" t="inlineStr">
        <is>
          <t>Cross-student profile selection blocked</t>
        </is>
      </c>
      <c r="E34" s="16" t="inlineStr">
        <is>
          <t>docs/testing/evidence/sprint-1/EV-033-own-03-cross-student-access-blocked.png</t>
        </is>
      </c>
      <c r="F34" s="17" t="inlineStr">
        <is>
          <t>Jerald</t>
        </is>
      </c>
      <c r="G34" s="20" t="inlineStr">
        <is>
          <t>2026-08-28</t>
        </is>
      </c>
      <c r="H34" s="16" t="inlineStr">
        <is>
          <t>WBS 4.9 ownership evidence</t>
        </is>
      </c>
    </row>
    <row r="35" ht="14.25" customHeight="1">
      <c r="A35" s="19" t="inlineStr">
        <is>
          <t>EV-034</t>
        </is>
      </c>
      <c r="B35" s="19" t="inlineStr">
        <is>
          <t>OWN-04</t>
        </is>
      </c>
      <c r="C35" s="19" t="inlineStr">
        <is>
          <t>Screenshot</t>
        </is>
      </c>
      <c r="D35" s="16" t="inlineStr">
        <is>
          <t>Cross-student ownership modification rejected</t>
        </is>
      </c>
      <c r="E35" s="16" t="inlineStr">
        <is>
          <t>docs/testing/evidence/sprint-1/EV-034-own-04-ownership-modification-blocked.png</t>
        </is>
      </c>
      <c r="F35" s="17" t="inlineStr">
        <is>
          <t>Jerald</t>
        </is>
      </c>
      <c r="G35" s="20" t="inlineStr">
        <is>
          <t>2026-08-28</t>
        </is>
      </c>
      <c r="H35" s="16" t="inlineStr">
        <is>
          <t>WBS 4.9 ownership evidence</t>
        </is>
      </c>
    </row>
    <row r="36" ht="14.25" customHeight="1">
      <c r="A36" s="19" t="inlineStr">
        <is>
          <t>EV-035</t>
        </is>
      </c>
      <c r="B36" s="19" t="inlineStr">
        <is>
          <t>SKILL-02</t>
        </is>
      </c>
      <c r="C36" s="19" t="inlineStr">
        <is>
          <t>Screenshot</t>
        </is>
      </c>
      <c r="D36" s="16" t="inlineStr">
        <is>
          <t>Invalid Skill reference rejected and not stored</t>
        </is>
      </c>
      <c r="E36" s="16" t="inlineStr">
        <is>
          <t>docs/testing/evidence/sprint-1/EV-035-skill-02-invalid-skill-reference.png</t>
        </is>
      </c>
      <c r="F36" s="17" t="inlineStr">
        <is>
          <t>Jerald</t>
        </is>
      </c>
      <c r="G36" s="20" t="inlineStr">
        <is>
          <t>2026-08-28</t>
        </is>
      </c>
      <c r="H36" s="16" t="inlineStr">
        <is>
          <t>WBS 4.9 validation evidence</t>
        </is>
      </c>
    </row>
    <row r="37" ht="14.25" customHeight="1">
      <c r="A37" s="19" t="inlineStr">
        <is>
          <t>EV-036</t>
        </is>
      </c>
      <c r="B37" s="19" t="inlineStr">
        <is>
          <t>SKILL-03</t>
        </is>
      </c>
      <c r="C37" s="19" t="inlineStr">
        <is>
          <t>Screenshot</t>
        </is>
      </c>
      <c r="D37" s="16" t="inlineStr">
        <is>
          <t>Invalid proficiency level rejected and not stored</t>
        </is>
      </c>
      <c r="E37" s="16" t="inlineStr">
        <is>
          <t>docs/testing/evidence/sprint-1/EV-036-skill-03-invalid-proficiency-level.png</t>
        </is>
      </c>
      <c r="F37" s="17" t="inlineStr">
        <is>
          <t>Jerald</t>
        </is>
      </c>
      <c r="G37" s="20" t="inlineStr">
        <is>
          <t>2026-08-28</t>
        </is>
      </c>
      <c r="H37" s="16" t="inlineStr">
        <is>
          <t>WBS 4.9 validation evidence</t>
        </is>
      </c>
    </row>
    <row r="38" ht="14.25" customHeight="1">
      <c r="A38" s="19" t="inlineStr">
        <is>
          <t>EV-037</t>
        </is>
      </c>
      <c r="B38" s="19" t="inlineStr">
        <is>
          <t>SKILL-04</t>
        </is>
      </c>
      <c r="C38" s="19" t="inlineStr">
        <is>
          <t>Screenshot</t>
        </is>
      </c>
      <c r="D38" s="16" t="inlineStr">
        <is>
          <t>Duplicate StudentSkill rejected and not stored</t>
        </is>
      </c>
      <c r="E38" s="16" t="inlineStr">
        <is>
          <t>docs/testing/evidence/sprint-1/EV-037-skill-04-duplicate-student-skill.png</t>
        </is>
      </c>
      <c r="F38" s="17" t="inlineStr">
        <is>
          <t>Jerald</t>
        </is>
      </c>
      <c r="G38" s="20" t="inlineStr">
        <is>
          <t>2026-08-28</t>
        </is>
      </c>
      <c r="H38" s="16" t="inlineStr">
        <is>
          <t>WBS 4.9 validation evidence</t>
        </is>
      </c>
    </row>
    <row r="39" ht="14.25" customHeight="1">
      <c r="A39" s="19" t="inlineStr">
        <is>
          <t>EV-038</t>
        </is>
      </c>
      <c r="B39" s="19" t="inlineStr">
        <is>
          <t>INT-02</t>
        </is>
      </c>
      <c r="C39" s="19" t="inlineStr">
        <is>
          <t>Screenshot</t>
        </is>
      </c>
      <c r="D39" s="16" t="inlineStr">
        <is>
          <t>Invalid Interest reference rejected and not stored</t>
        </is>
      </c>
      <c r="E39" s="16" t="inlineStr">
        <is>
          <t>docs/testing/evidence/sprint-1/EV-038-int-02-invalid-interest-reference.png</t>
        </is>
      </c>
      <c r="F39" s="17" t="inlineStr">
        <is>
          <t>Jerald</t>
        </is>
      </c>
      <c r="G39" s="20" t="inlineStr">
        <is>
          <t>2026-08-28</t>
        </is>
      </c>
      <c r="H39" s="16" t="inlineStr">
        <is>
          <t>WBS 4.9 validation evidence</t>
        </is>
      </c>
    </row>
    <row r="40" ht="24" customHeight="1">
      <c r="A40" s="19" t="inlineStr">
        <is>
          <t>EV-039</t>
        </is>
      </c>
      <c r="B40" s="19" t="inlineStr">
        <is>
          <t>INT-03</t>
        </is>
      </c>
      <c r="C40" s="19" t="inlineStr">
        <is>
          <t>Screenshot</t>
        </is>
      </c>
      <c r="D40" s="16" t="inlineStr">
        <is>
          <t>Shared Interest metadata protected from Student modification</t>
        </is>
      </c>
      <c r="E40" s="16" t="inlineStr">
        <is>
          <t>docs/testing/evidence/sprint-1/EV-039-int-03-shared-interest-protection.png</t>
        </is>
      </c>
      <c r="F40" s="17" t="inlineStr">
        <is>
          <t>Jerald</t>
        </is>
      </c>
      <c r="G40" s="20" t="inlineStr">
        <is>
          <t>2026-08-28</t>
        </is>
      </c>
      <c r="H40" s="16" t="inlineStr">
        <is>
          <t>WBS 4.9 permission evidence</t>
        </is>
      </c>
    </row>
    <row r="41" ht="14.25" customHeight="1">
      <c r="A41" s="19" t="inlineStr">
        <is>
          <t>EV-040</t>
        </is>
      </c>
      <c r="B41" s="19" t="inlineStr">
        <is>
          <t>EDU-02</t>
        </is>
      </c>
      <c r="C41" s="19" t="inlineStr">
        <is>
          <t>Screenshot</t>
        </is>
      </c>
      <c r="D41" s="16" t="inlineStr">
        <is>
          <t>Invalid Education date range rejected and not stored</t>
        </is>
      </c>
      <c r="E41" s="16" t="inlineStr">
        <is>
          <t>docs/testing/evidence/sprint-1/EV-040-edu-02-invalid-education-date-range.png</t>
        </is>
      </c>
      <c r="F41" s="17" t="inlineStr">
        <is>
          <t>Jerald</t>
        </is>
      </c>
      <c r="G41" s="20" t="inlineStr">
        <is>
          <t>2026-08-28</t>
        </is>
      </c>
      <c r="H41" s="16" t="inlineStr">
        <is>
          <t>WBS 4.9 validation evidence</t>
        </is>
      </c>
    </row>
    <row r="42" ht="24" customHeight="1">
      <c r="A42" s="19" t="inlineStr">
        <is>
          <t>EV-041</t>
        </is>
      </c>
      <c r="B42" s="19" t="inlineStr">
        <is>
          <t>EXP-02</t>
        </is>
      </c>
      <c r="C42" s="19" t="inlineStr">
        <is>
          <t>Screenshot</t>
        </is>
      </c>
      <c r="D42" s="16" t="inlineStr">
        <is>
          <t>Current Experience persists with no end date</t>
        </is>
      </c>
      <c r="E42" s="16" t="inlineStr">
        <is>
          <t>docs/testing/evidence/sprint-1/EV-041-exp-02-current-experience-date-handling.png</t>
        </is>
      </c>
      <c r="F42" s="17" t="inlineStr">
        <is>
          <t>Jerald</t>
        </is>
      </c>
      <c r="G42" s="20" t="inlineStr">
        <is>
          <t>2026-08-28</t>
        </is>
      </c>
      <c r="H42" s="16" t="inlineStr">
        <is>
          <t>WBS 4.9 persistence evidence</t>
        </is>
      </c>
    </row>
    <row r="43" ht="14.25" customHeight="1">
      <c r="A43" s="19" t="inlineStr">
        <is>
          <t>EV-042</t>
        </is>
      </c>
      <c r="B43" s="19" t="inlineStr">
        <is>
          <t>PROJ-02</t>
        </is>
      </c>
      <c r="C43" s="19" t="inlineStr">
        <is>
          <t>Screenshot</t>
        </is>
      </c>
      <c r="D43" s="16" t="inlineStr">
        <is>
          <t>Invalid Project URL rejected and not stored</t>
        </is>
      </c>
      <c r="E43" s="16" t="inlineStr">
        <is>
          <t>docs/testing/evidence/sprint-1/EV-042-proj-02-invalid-project-url.png</t>
        </is>
      </c>
      <c r="F43" s="17" t="inlineStr">
        <is>
          <t>Jerald</t>
        </is>
      </c>
      <c r="G43" s="20" t="inlineStr">
        <is>
          <t>2026-08-28</t>
        </is>
      </c>
      <c r="H43" s="16" t="inlineStr">
        <is>
          <t>WBS 4.9 validation evidence</t>
        </is>
      </c>
    </row>
    <row r="44" ht="14.25" customHeight="1">
      <c r="A44" s="19" t="inlineStr">
        <is>
          <t>EV-043</t>
        </is>
      </c>
      <c r="B44" s="19" t="inlineStr">
        <is>
          <t>GOAL-01</t>
        </is>
      </c>
      <c r="C44" s="19" t="inlineStr">
        <is>
          <t>Screenshot</t>
        </is>
      </c>
      <c r="D44" s="16" t="inlineStr">
        <is>
          <t>Valid Career Goal created and persisted</t>
        </is>
      </c>
      <c r="E44" s="16" t="inlineStr">
        <is>
          <t>docs/testing/evidence/sprint-1/EV-043-goal-01-career-goal-persistence.png</t>
        </is>
      </c>
      <c r="F44" s="17" t="inlineStr">
        <is>
          <t>Jerald</t>
        </is>
      </c>
      <c r="G44" s="20" t="inlineStr">
        <is>
          <t>2026-08-28</t>
        </is>
      </c>
      <c r="H44" s="16" t="inlineStr">
        <is>
          <t>WBS 4.9 persistence evidence</t>
        </is>
      </c>
    </row>
    <row r="45" ht="24" customHeight="1">
      <c r="A45" s="19" t="inlineStr">
        <is>
          <t>EV-044</t>
        </is>
      </c>
      <c r="B45" s="19" t="inlineStr">
        <is>
          <t>PERS-01</t>
        </is>
      </c>
      <c r="C45" s="19" t="inlineStr">
        <is>
          <t>Screenshot</t>
        </is>
      </c>
      <c r="D45" s="16" t="inlineStr">
        <is>
          <t>Approved Personality Response stored and persisted</t>
        </is>
      </c>
      <c r="E45" s="16" t="inlineStr">
        <is>
          <t>docs/testing/evidence/sprint-1/EV-044-pers-01-personality-response-persistence.png</t>
        </is>
      </c>
      <c r="F45" s="17" t="inlineStr">
        <is>
          <t>Jerald</t>
        </is>
      </c>
      <c r="G45" s="20" t="inlineStr">
        <is>
          <t>2026-08-28</t>
        </is>
      </c>
      <c r="H45" s="16" t="inlineStr">
        <is>
          <t>WBS 4.9 persistence evidence</t>
        </is>
      </c>
    </row>
    <row r="46" ht="24" customHeight="1">
      <c r="A46" s="19" t="inlineStr">
        <is>
          <t>EV-045</t>
        </is>
      </c>
      <c r="B46" s="19" t="inlineStr">
        <is>
          <t>FE-PROF-03</t>
        </is>
      </c>
      <c r="C46" s="19" t="inlineStr">
        <is>
          <t>Screenshot</t>
        </is>
      </c>
      <c r="D46" s="16" t="inlineStr">
        <is>
          <t>Frontend blocks invalid Education date range and shows validation feedback</t>
        </is>
      </c>
      <c r="E46" s="16" t="inlineStr">
        <is>
          <t>docs/testing/evidence/sprint-1/EV-045-fe-prof-03-profile-validation-error.png</t>
        </is>
      </c>
      <c r="F46" s="17" t="inlineStr">
        <is>
          <t>Jerald</t>
        </is>
      </c>
      <c r="G46" s="20" t="inlineStr">
        <is>
          <t>2026-08-29</t>
        </is>
      </c>
      <c r="H46" s="16" t="inlineStr">
        <is>
          <t>WBS 4.9 frontend validation evidence</t>
        </is>
      </c>
    </row>
    <row r="47" ht="24" customHeight="1">
      <c r="A47" s="19" t="inlineStr">
        <is>
          <t>EV-046</t>
        </is>
      </c>
      <c r="B47" s="19" t="inlineStr">
        <is>
          <t>DB-03</t>
        </is>
      </c>
      <c r="C47" s="19" t="inlineStr">
        <is>
          <t>Screenshot</t>
        </is>
      </c>
      <c r="D47" s="16" t="inlineStr">
        <is>
          <t>Direct database verification of Student Profile relationship persistence</t>
        </is>
      </c>
      <c r="E47" s="16" t="inlineStr">
        <is>
          <t>docs/testing/evidence/sprint-1/EV-046-db-03-profile-relationships-persist.png</t>
        </is>
      </c>
      <c r="F47" s="17" t="inlineStr">
        <is>
          <t>Jerald</t>
        </is>
      </c>
      <c r="G47" s="20" t="inlineStr">
        <is>
          <t>2026-08-29</t>
        </is>
      </c>
      <c r="H47" s="16" t="inlineStr">
        <is>
          <t>WBS 4.9 database relationship evidence</t>
        </is>
      </c>
    </row>
    <row r="48" ht="24" customHeight="1">
      <c r="A48" s="19" t="inlineStr">
        <is>
          <t>EV-047</t>
        </is>
      </c>
      <c r="B48" s="19" t="inlineStr">
        <is>
          <t>REG-02</t>
        </is>
      </c>
      <c r="C48" s="19" t="inlineStr">
        <is>
          <t>Screenshot</t>
        </is>
      </c>
      <c r="D48" s="16" t="inlineStr">
        <is>
          <t>Student Profile regression checks for GET, PATCH, ownership, and validation</t>
        </is>
      </c>
      <c r="E48" s="16" t="inlineStr">
        <is>
          <t>docs/testing/evidence/sprint-1/EV-047-reg-02-student-profile-regression.png</t>
        </is>
      </c>
      <c r="F48" s="17" t="inlineStr">
        <is>
          <t>Jerald</t>
        </is>
      </c>
      <c r="G48" s="20" t="inlineStr">
        <is>
          <t>2026-08-29</t>
        </is>
      </c>
      <c r="H48" s="16" t="inlineStr">
        <is>
          <t>WBS 4.9 regression evidence</t>
        </is>
      </c>
    </row>
    <row r="49">
      <c r="A49" s="28" t="inlineStr">
        <is>
          <t>EV-048</t>
        </is>
      </c>
      <c r="B49" s="28" t="inlineStr">
        <is>
          <t>AUTH-REG-01</t>
        </is>
      </c>
      <c r="C49" s="28" t="inlineStr">
        <is>
          <t>Screenshot</t>
        </is>
      </c>
      <c r="D49" s="29" t="inlineStr">
        <is>
          <t>Valid student registration</t>
        </is>
      </c>
      <c r="E49" s="29" t="inlineStr">
        <is>
          <t>docs/testing/evidence/sprint-1/EV-048.png</t>
        </is>
      </c>
      <c r="F49" s="30" t="inlineStr">
        <is>
          <t>MD</t>
        </is>
      </c>
      <c r="G49" s="31" t="n">
        <v>46282</v>
      </c>
      <c r="H49" s="29" t="n"/>
    </row>
    <row r="50">
      <c r="A50" s="28" t="inlineStr">
        <is>
          <t>EV-049</t>
        </is>
      </c>
      <c r="B50" s="28" t="inlineStr">
        <is>
          <t>AUTH-REG-02</t>
        </is>
      </c>
      <c r="C50" s="28" t="inlineStr">
        <is>
          <t>Screenshot</t>
        </is>
      </c>
      <c r="D50" s="29" t="inlineStr">
        <is>
          <t>Missing required registration field</t>
        </is>
      </c>
      <c r="E50" s="29" t="inlineStr">
        <is>
          <t>docs/testing/evidence/sprint-1/EV-049.png</t>
        </is>
      </c>
      <c r="F50" s="30" t="inlineStr">
        <is>
          <t>MD</t>
        </is>
      </c>
      <c r="G50" s="31" t="n">
        <v>46282</v>
      </c>
      <c r="H50" s="29" t="n"/>
    </row>
    <row r="51">
      <c r="A51" s="28" t="inlineStr">
        <is>
          <t>EV-050</t>
        </is>
      </c>
      <c r="B51" s="28" t="inlineStr">
        <is>
          <t>AUTH-REG-03</t>
        </is>
      </c>
      <c r="C51" s="28" t="inlineStr">
        <is>
          <t>Screenshot</t>
        </is>
      </c>
      <c r="D51" s="29" t="inlineStr">
        <is>
          <t>Duplicate email registration</t>
        </is>
      </c>
      <c r="E51" s="29" t="inlineStr">
        <is>
          <t>docs/testing/evidence/sprint-1/EV-050.png</t>
        </is>
      </c>
      <c r="F51" s="30" t="inlineStr">
        <is>
          <t>MD</t>
        </is>
      </c>
      <c r="G51" s="31" t="n">
        <v>46283</v>
      </c>
      <c r="H51" s="29" t="n"/>
    </row>
    <row r="52">
      <c r="A52" s="28" t="inlineStr">
        <is>
          <t>EV-051</t>
        </is>
      </c>
      <c r="B52" s="28" t="inlineStr">
        <is>
          <t>AUTH-REG-04</t>
        </is>
      </c>
      <c r="C52" s="28" t="inlineStr">
        <is>
          <t>Screenshot</t>
        </is>
      </c>
      <c r="D52" s="29" t="inlineStr">
        <is>
          <t>Registration response protects password</t>
        </is>
      </c>
      <c r="E52" s="29" t="inlineStr">
        <is>
          <t>docs/testing/evidence/sprint-1/EV-051.png</t>
        </is>
      </c>
      <c r="F52" s="30" t="inlineStr">
        <is>
          <t>MD</t>
        </is>
      </c>
      <c r="G52" s="31" t="n">
        <v>46283</v>
      </c>
      <c r="H52" s="29" t="n"/>
    </row>
    <row r="53">
      <c r="A53" s="28" t="inlineStr">
        <is>
          <t>EV-052</t>
        </is>
      </c>
      <c r="B53" s="28" t="inlineStr">
        <is>
          <t>AUTH-LOGIN-01</t>
        </is>
      </c>
      <c r="C53" s="28" t="inlineStr">
        <is>
          <t>Screenshot</t>
        </is>
      </c>
      <c r="D53" s="29" t="inlineStr">
        <is>
          <t>Valid login</t>
        </is>
      </c>
      <c r="E53" s="29" t="inlineStr">
        <is>
          <t>docs/testing/evidence/sprint-1/EV-052.png</t>
        </is>
      </c>
      <c r="F53" s="30" t="inlineStr">
        <is>
          <t>MD</t>
        </is>
      </c>
      <c r="G53" s="31" t="n">
        <v>46283</v>
      </c>
      <c r="H53" s="29" t="n"/>
    </row>
    <row r="54">
      <c r="A54" s="28" t="inlineStr">
        <is>
          <t>EV-053</t>
        </is>
      </c>
      <c r="B54" s="28" t="inlineStr">
        <is>
          <t>AUTH-LOGIN-02</t>
        </is>
      </c>
      <c r="C54" s="28" t="inlineStr">
        <is>
          <t>Screenshot</t>
        </is>
      </c>
      <c r="D54" s="29" t="inlineStr">
        <is>
          <t>Invalid password</t>
        </is>
      </c>
      <c r="E54" s="29" t="inlineStr">
        <is>
          <t>docs/testing/evidence/sprint-1/EV-053.png</t>
        </is>
      </c>
      <c r="F54" s="30" t="inlineStr">
        <is>
          <t>MD</t>
        </is>
      </c>
      <c r="G54" s="31" t="n">
        <v>46283</v>
      </c>
      <c r="H54" s="29" t="n"/>
    </row>
    <row r="55">
      <c r="A55" s="28" t="inlineStr">
        <is>
          <t>EV-054</t>
        </is>
      </c>
      <c r="B55" s="28" t="inlineStr">
        <is>
          <t>AUTH-LOGIN-03</t>
        </is>
      </c>
      <c r="C55" s="28" t="inlineStr">
        <is>
          <t>Screenshot</t>
        </is>
      </c>
      <c r="D55" s="29" t="inlineStr">
        <is>
          <t>Missing login credentials</t>
        </is>
      </c>
      <c r="E55" s="29" t="inlineStr">
        <is>
          <t>docs/testing/evidence/sprint-1/EV-054.png</t>
        </is>
      </c>
      <c r="F55" s="30" t="inlineStr">
        <is>
          <t>MD</t>
        </is>
      </c>
      <c r="G55" s="31" t="n">
        <v>46283</v>
      </c>
      <c r="H55" s="29" t="n"/>
    </row>
    <row r="56">
      <c r="A56" s="28" t="inlineStr">
        <is>
          <t>EV-055</t>
        </is>
      </c>
      <c r="B56" s="28" t="inlineStr">
        <is>
          <t>AUTH-ME-01</t>
        </is>
      </c>
      <c r="C56" s="28" t="inlineStr">
        <is>
          <t>Screenshot</t>
        </is>
      </c>
      <c r="D56" s="29" t="inlineStr">
        <is>
          <t>Retrieve current authenticated user</t>
        </is>
      </c>
      <c r="E56" s="29" t="inlineStr">
        <is>
          <t>docs/testing/evidence/sprint-1/EV-055.png</t>
        </is>
      </c>
      <c r="F56" s="30" t="inlineStr">
        <is>
          <t>MD</t>
        </is>
      </c>
      <c r="G56" s="31" t="n">
        <v>46283</v>
      </c>
      <c r="H56" s="29" t="n"/>
    </row>
    <row r="57">
      <c r="A57" s="28" t="inlineStr">
        <is>
          <t>EV-056</t>
        </is>
      </c>
      <c r="B57" s="28" t="inlineStr">
        <is>
          <t>AUTH-ME-02</t>
        </is>
      </c>
      <c r="C57" s="28" t="inlineStr">
        <is>
          <t>Screenshot</t>
        </is>
      </c>
      <c r="D57" s="29" t="inlineStr">
        <is>
          <t>Current user without token</t>
        </is>
      </c>
      <c r="E57" s="29" t="inlineStr">
        <is>
          <t>docs/testing/evidence/sprint-1/EV-056.png</t>
        </is>
      </c>
      <c r="F57" s="30" t="inlineStr">
        <is>
          <t>MD</t>
        </is>
      </c>
      <c r="G57" s="31" t="n">
        <v>46283</v>
      </c>
      <c r="H57" s="29" t="n"/>
    </row>
    <row r="58">
      <c r="A58" s="28" t="inlineStr">
        <is>
          <t>EV-057</t>
        </is>
      </c>
      <c r="B58" s="28" t="inlineStr">
        <is>
          <t>JWT-REF-01</t>
        </is>
      </c>
      <c r="C58" s="28" t="inlineStr">
        <is>
          <t>Screenshot</t>
        </is>
      </c>
      <c r="D58" s="29" t="inlineStr">
        <is>
          <t>Refresh valid access token</t>
        </is>
      </c>
      <c r="E58" s="29" t="inlineStr">
        <is>
          <t>docs/testing/evidence/sprint-1/EV-057.png</t>
        </is>
      </c>
      <c r="F58" s="30" t="inlineStr">
        <is>
          <t>MD</t>
        </is>
      </c>
      <c r="G58" s="31" t="n">
        <v>46283</v>
      </c>
      <c r="H58" s="29" t="n"/>
    </row>
    <row r="59">
      <c r="A59" s="28" t="inlineStr">
        <is>
          <t>EV-058</t>
        </is>
      </c>
      <c r="B59" s="28" t="inlineStr">
        <is>
          <t>JWT-REF-02</t>
        </is>
      </c>
      <c r="C59" s="28" t="inlineStr">
        <is>
          <t>Screenshot</t>
        </is>
      </c>
      <c r="D59" s="29" t="inlineStr">
        <is>
          <t>Reject invalid refresh token</t>
        </is>
      </c>
      <c r="E59" s="29" t="inlineStr">
        <is>
          <t>docs/testing/evidence/sprint-1/EV-058.png</t>
        </is>
      </c>
      <c r="F59" s="30" t="inlineStr">
        <is>
          <t>MD</t>
        </is>
      </c>
      <c r="G59" s="31" t="n">
        <v>46283</v>
      </c>
      <c r="H59" s="29" t="n"/>
    </row>
    <row r="60">
      <c r="A60" s="28" t="inlineStr">
        <is>
          <t>EV-059</t>
        </is>
      </c>
      <c r="B60" s="28" t="inlineStr">
        <is>
          <t>JWT-REF-03</t>
        </is>
      </c>
      <c r="C60" s="28" t="inlineStr">
        <is>
          <t>Screenshot</t>
        </is>
      </c>
      <c r="D60" s="29" t="inlineStr">
        <is>
          <t>Reject blacklisted refresh token</t>
        </is>
      </c>
      <c r="E60" s="29" t="inlineStr">
        <is>
          <t>docs/testing/evidence/sprint-1/EV-059.png</t>
        </is>
      </c>
      <c r="F60" s="30" t="inlineStr">
        <is>
          <t>MD</t>
        </is>
      </c>
      <c r="G60" s="31" t="n">
        <v>46283</v>
      </c>
      <c r="H60" s="29" t="n"/>
    </row>
    <row r="61">
      <c r="A61" s="28" t="inlineStr">
        <is>
          <t>EV-060</t>
        </is>
      </c>
      <c r="B61" s="28" t="inlineStr">
        <is>
          <t>AUTH-LOG-01</t>
        </is>
      </c>
      <c r="C61" s="28" t="inlineStr">
        <is>
          <t>Screenshot</t>
        </is>
      </c>
      <c r="D61" s="29" t="inlineStr">
        <is>
          <t>Logout invalidates session as designed</t>
        </is>
      </c>
      <c r="E61" s="29" t="inlineStr">
        <is>
          <t>docs/testing/evidence/sprint-1/EV-060.png</t>
        </is>
      </c>
      <c r="F61" s="30" t="inlineStr">
        <is>
          <t>MD</t>
        </is>
      </c>
      <c r="G61" s="31" t="n">
        <v>46283</v>
      </c>
      <c r="H61" s="29" t="n"/>
    </row>
    <row r="62">
      <c r="A62" s="28" t="inlineStr">
        <is>
          <t>EV-061</t>
        </is>
      </c>
      <c r="B62" s="28" t="inlineStr">
        <is>
          <t>AUTH-LOG-01</t>
        </is>
      </c>
      <c r="C62" s="28" t="inlineStr">
        <is>
          <t>Screenshot</t>
        </is>
      </c>
      <c r="D62" s="29" t="inlineStr">
        <is>
          <t>Logout invalidates session as designed</t>
        </is>
      </c>
      <c r="E62" s="29" t="inlineStr">
        <is>
          <t>docs/testing/evidence/sprint-1/EV-061.png</t>
        </is>
      </c>
      <c r="F62" s="30" t="inlineStr">
        <is>
          <t>MD</t>
        </is>
      </c>
      <c r="G62" s="31" t="n">
        <v>46283</v>
      </c>
      <c r="H62" s="29" t="n"/>
    </row>
    <row r="63">
      <c r="A63" s="28" t="inlineStr">
        <is>
          <t>EV-062</t>
        </is>
      </c>
      <c r="B63" s="28" t="inlineStr">
        <is>
          <t>AUTH-PWR-01</t>
        </is>
      </c>
      <c r="C63" s="28" t="inlineStr">
        <is>
          <t>Screenshot</t>
        </is>
      </c>
      <c r="D63" s="29" t="inlineStr">
        <is>
          <t>Password reset request</t>
        </is>
      </c>
      <c r="E63" s="29" t="inlineStr">
        <is>
          <t>docs/testing/evidence/sprint-1/EV-062.png</t>
        </is>
      </c>
      <c r="F63" s="30" t="inlineStr">
        <is>
          <t>MD</t>
        </is>
      </c>
      <c r="G63" s="31" t="n">
        <v>46286</v>
      </c>
      <c r="H63" s="29" t="n"/>
    </row>
    <row r="64">
      <c r="A64" s="28" t="inlineStr">
        <is>
          <t>EV-063</t>
        </is>
      </c>
      <c r="B64" s="28" t="inlineStr">
        <is>
          <t>AUTH-PWR-01</t>
        </is>
      </c>
      <c r="C64" s="28" t="inlineStr">
        <is>
          <t>Screenshot</t>
        </is>
      </c>
      <c r="D64" s="29" t="inlineStr">
        <is>
          <t>Password reset request</t>
        </is>
      </c>
      <c r="E64" s="29" t="inlineStr">
        <is>
          <t>docs/testing/evidence/sprint-1/EV-063.png</t>
        </is>
      </c>
      <c r="F64" s="30" t="inlineStr">
        <is>
          <t>MD</t>
        </is>
      </c>
      <c r="G64" s="31" t="n">
        <v>46286</v>
      </c>
      <c r="H64" s="29" t="n"/>
    </row>
    <row r="65">
      <c r="A65" s="28" t="inlineStr">
        <is>
          <t>EV-064</t>
        </is>
      </c>
      <c r="B65" s="28" t="inlineStr">
        <is>
          <t>AUTH-PWR-02</t>
        </is>
      </c>
      <c r="C65" s="28" t="inlineStr">
        <is>
          <t>Screenshot</t>
        </is>
      </c>
      <c r="D65" s="29" t="inlineStr">
        <is>
          <t>Invalid password reset confirmation</t>
        </is>
      </c>
      <c r="E65" s="29" t="inlineStr">
        <is>
          <t>docs/testing/evidence/sprint-1/EV-064.png</t>
        </is>
      </c>
      <c r="F65" s="30" t="inlineStr">
        <is>
          <t>MD</t>
        </is>
      </c>
      <c r="G65" s="31" t="n">
        <v>46286</v>
      </c>
      <c r="H65" s="29" t="n"/>
    </row>
    <row r="66">
      <c r="A66" s="28" t="inlineStr">
        <is>
          <t>EV-065</t>
        </is>
      </c>
      <c r="B66" s="28" t="inlineStr">
        <is>
          <t>AUTH-PWR-02</t>
        </is>
      </c>
      <c r="C66" s="28" t="inlineStr">
        <is>
          <t>Screenshot</t>
        </is>
      </c>
      <c r="D66" s="29" t="inlineStr">
        <is>
          <t>Invalid password reset confirmation</t>
        </is>
      </c>
      <c r="E66" s="29" t="inlineStr">
        <is>
          <t>docs/testing/evidence/sprint-1/EV-065.png</t>
        </is>
      </c>
      <c r="F66" s="30" t="inlineStr">
        <is>
          <t>MD</t>
        </is>
      </c>
      <c r="G66" s="31" t="n">
        <v>46286</v>
      </c>
      <c r="H66" s="29" t="n"/>
    </row>
    <row r="67">
      <c r="A67" s="28" t="inlineStr">
        <is>
          <t>EV-066</t>
        </is>
      </c>
      <c r="B67" s="28" t="inlineStr">
        <is>
          <t>PROF-GET-02</t>
        </is>
      </c>
      <c r="C67" s="28" t="inlineStr">
        <is>
          <t>Screenshot</t>
        </is>
      </c>
      <c r="D67" s="29" t="inlineStr">
        <is>
          <t>Profile request without authentication</t>
        </is>
      </c>
      <c r="E67" s="29" t="inlineStr">
        <is>
          <t>docs/testing/evidence/sprint-1/EV-066.png</t>
        </is>
      </c>
      <c r="F67" s="30" t="inlineStr">
        <is>
          <t>MD</t>
        </is>
      </c>
      <c r="G67" s="31" t="n">
        <v>46286</v>
      </c>
      <c r="H67" s="29" t="n"/>
    </row>
    <row r="68">
      <c r="A68" s="28" t="inlineStr">
        <is>
          <t>EV-067</t>
        </is>
      </c>
      <c r="B68" s="28" t="inlineStr">
        <is>
          <t>PROF-PAT-02</t>
        </is>
      </c>
      <c r="C68" s="28" t="inlineStr">
        <is>
          <t>Screenshot</t>
        </is>
      </c>
      <c r="D68" s="29" t="inlineStr">
        <is>
          <t>Invalid profile field value</t>
        </is>
      </c>
      <c r="E68" s="29" t="inlineStr">
        <is>
          <t>docs/testing/evidence/sprint-1/EV-067.png</t>
        </is>
      </c>
      <c r="F68" s="30" t="inlineStr">
        <is>
          <t>MD</t>
        </is>
      </c>
      <c r="G68" s="31" t="n">
        <v>46286</v>
      </c>
      <c r="H68" s="29" t="n"/>
    </row>
    <row r="69">
      <c r="A69" s="28" t="inlineStr">
        <is>
          <t>EV-068</t>
        </is>
      </c>
      <c r="B69" s="28" t="inlineStr">
        <is>
          <t>PROF-PAT-02</t>
        </is>
      </c>
      <c r="C69" s="28" t="inlineStr">
        <is>
          <t>Screenshot</t>
        </is>
      </c>
      <c r="D69" s="29" t="inlineStr">
        <is>
          <t>Invalid profile field value</t>
        </is>
      </c>
      <c r="E69" s="29" t="inlineStr">
        <is>
          <t>docs/testing/evidence/sprint-1/EV-068.png</t>
        </is>
      </c>
      <c r="F69" s="30" t="inlineStr">
        <is>
          <t>MD</t>
        </is>
      </c>
      <c r="G69" s="31" t="n">
        <v>46286</v>
      </c>
      <c r="H69" s="29" t="n"/>
    </row>
    <row r="70">
      <c r="A70" s="28" t="inlineStr">
        <is>
          <t>EV-069</t>
        </is>
      </c>
      <c r="B70" s="28" t="inlineStr">
        <is>
          <t>PROF-PAT-03</t>
        </is>
      </c>
      <c r="C70" s="28" t="inlineStr">
        <is>
          <t>Screenshot</t>
        </is>
      </c>
      <c r="D70" s="29" t="inlineStr">
        <is>
          <t>Empty partial request</t>
        </is>
      </c>
      <c r="E70" s="29" t="inlineStr">
        <is>
          <t>docs/testing/evidence/sprint-1/EV-069.png</t>
        </is>
      </c>
      <c r="F70" s="30" t="inlineStr">
        <is>
          <t>MD</t>
        </is>
      </c>
      <c r="G70" s="31" t="n">
        <v>46286</v>
      </c>
      <c r="H70" s="29" t="n"/>
    </row>
    <row r="71">
      <c r="A71" s="28" t="inlineStr">
        <is>
          <t>EV-070</t>
        </is>
      </c>
      <c r="B71" s="28" t="inlineStr">
        <is>
          <t>PROF-PAT-04</t>
        </is>
      </c>
      <c r="C71" s="28" t="inlineStr">
        <is>
          <t>Screenshot</t>
        </is>
      </c>
      <c r="D71" s="29" t="inlineStr">
        <is>
          <t>Attempt ownership-field change</t>
        </is>
      </c>
      <c r="E71" s="29" t="inlineStr">
        <is>
          <t>docs/testing/evidence/sprint-1/EV-070.png</t>
        </is>
      </c>
      <c r="F71" s="30" t="inlineStr">
        <is>
          <t>MD</t>
        </is>
      </c>
      <c r="G71" s="31" t="n">
        <v>46286</v>
      </c>
      <c r="H71" s="29" t="n"/>
    </row>
    <row r="72">
      <c r="A72" s="1" t="n"/>
      <c r="B72" s="1" t="n"/>
      <c r="C72" s="1" t="n"/>
      <c r="D72" s="1" t="n"/>
      <c r="E72" s="1" t="n"/>
      <c r="F72" s="1" t="n"/>
      <c r="G72" s="2" t="n"/>
      <c r="H72" s="1" t="n"/>
    </row>
    <row r="73">
      <c r="A73" s="1" t="n"/>
      <c r="B73" s="1" t="n"/>
      <c r="C73" s="1" t="n"/>
      <c r="D73" s="1" t="n"/>
      <c r="E73" s="1" t="n"/>
      <c r="F73" s="1" t="n"/>
      <c r="G73" s="2" t="n"/>
      <c r="H73" s="1" t="n"/>
    </row>
    <row r="74">
      <c r="A74" s="1" t="n"/>
      <c r="B74" s="1" t="n"/>
      <c r="C74" s="1" t="n"/>
      <c r="D74" s="1" t="n"/>
      <c r="E74" s="1" t="n"/>
      <c r="F74" s="1" t="n"/>
      <c r="G74" s="2" t="n"/>
      <c r="H74" s="1" t="n"/>
    </row>
    <row r="75">
      <c r="A75" s="1" t="n"/>
      <c r="B75" s="1" t="n"/>
      <c r="C75" s="1" t="n"/>
      <c r="D75" s="1" t="n"/>
      <c r="E75" s="1" t="n"/>
      <c r="F75" s="1" t="n"/>
      <c r="G75" s="2" t="n"/>
      <c r="H75" s="1" t="n"/>
    </row>
    <row r="76">
      <c r="A76" s="1" t="n"/>
      <c r="B76" s="1" t="n"/>
      <c r="C76" s="1" t="n"/>
      <c r="D76" s="1" t="n"/>
      <c r="E76" s="1" t="n"/>
      <c r="F76" s="1" t="n"/>
      <c r="G76" s="2" t="n"/>
      <c r="H76" s="1" t="n"/>
    </row>
    <row r="77">
      <c r="A77" s="1" t="n"/>
      <c r="B77" s="1" t="n"/>
      <c r="C77" s="1" t="n"/>
      <c r="D77" s="1" t="n"/>
      <c r="E77" s="1" t="n"/>
      <c r="F77" s="1" t="n"/>
      <c r="G77" s="2" t="n"/>
      <c r="H77" s="1" t="n"/>
    </row>
    <row r="78">
      <c r="A78" s="1" t="n"/>
      <c r="B78" s="1" t="n"/>
      <c r="C78" s="1" t="n"/>
      <c r="D78" s="1" t="n"/>
      <c r="E78" s="1" t="n"/>
      <c r="F78" s="1" t="n"/>
      <c r="G78" s="2" t="n"/>
      <c r="H78" s="1" t="n"/>
    </row>
    <row r="79">
      <c r="A79" s="1" t="n"/>
      <c r="B79" s="1" t="n"/>
      <c r="C79" s="1" t="n"/>
      <c r="D79" s="1" t="n"/>
      <c r="E79" s="1" t="n"/>
      <c r="F79" s="1" t="n"/>
      <c r="G79" s="2" t="n"/>
      <c r="H79" s="1" t="n"/>
    </row>
    <row r="80">
      <c r="A80" s="1" t="n"/>
      <c r="B80" s="1" t="n"/>
      <c r="C80" s="1" t="n"/>
      <c r="D80" s="1" t="n"/>
      <c r="E80" s="1" t="n"/>
      <c r="F80" s="1" t="n"/>
      <c r="G80" s="2" t="n"/>
      <c r="H80" s="1" t="n"/>
    </row>
    <row r="81">
      <c r="A81" s="1" t="n"/>
      <c r="B81" s="1" t="n"/>
      <c r="C81" s="1" t="n"/>
      <c r="D81" s="1" t="n"/>
      <c r="E81" s="1" t="n"/>
      <c r="F81" s="1" t="n"/>
      <c r="G81" s="2" t="n"/>
      <c r="H81" s="1" t="n"/>
    </row>
    <row r="82">
      <c r="A82" s="1" t="n"/>
      <c r="B82" s="1" t="n"/>
      <c r="C82" s="1" t="n"/>
      <c r="D82" s="1" t="n"/>
      <c r="E82" s="1" t="n"/>
      <c r="F82" s="1" t="n"/>
      <c r="G82" s="2" t="n"/>
      <c r="H82" s="1" t="n"/>
    </row>
    <row r="83">
      <c r="A83" s="1" t="n"/>
      <c r="B83" s="1" t="n"/>
      <c r="C83" s="1" t="n"/>
      <c r="D83" s="1" t="n"/>
      <c r="E83" s="1" t="n"/>
      <c r="F83" s="1" t="n"/>
      <c r="G83" s="2" t="n"/>
      <c r="H83" s="1" t="n"/>
    </row>
    <row r="84">
      <c r="A84" s="1" t="n"/>
      <c r="B84" s="1" t="n"/>
      <c r="C84" s="1" t="n"/>
      <c r="D84" s="1" t="n"/>
      <c r="E84" s="1" t="n"/>
      <c r="F84" s="1" t="n"/>
      <c r="G84" s="2" t="n"/>
      <c r="H84" s="1" t="n"/>
    </row>
    <row r="85">
      <c r="A85" s="1" t="n"/>
      <c r="B85" s="1" t="n"/>
      <c r="C85" s="1" t="n"/>
      <c r="D85" s="1" t="n"/>
      <c r="E85" s="1" t="n"/>
      <c r="F85" s="1" t="n"/>
      <c r="G85" s="2" t="n"/>
      <c r="H85" s="1" t="n"/>
    </row>
    <row r="86">
      <c r="A86" s="1" t="n"/>
      <c r="B86" s="1" t="n"/>
      <c r="C86" s="1" t="n"/>
      <c r="D86" s="1" t="n"/>
      <c r="E86" s="1" t="n"/>
      <c r="F86" s="1" t="n"/>
      <c r="G86" s="2" t="n"/>
      <c r="H86" s="1" t="n"/>
    </row>
    <row r="87">
      <c r="A87" s="1" t="n"/>
      <c r="B87" s="1" t="n"/>
      <c r="C87" s="1" t="n"/>
      <c r="D87" s="1" t="n"/>
      <c r="E87" s="1" t="n"/>
      <c r="F87" s="1" t="n"/>
      <c r="G87" s="2" t="n"/>
      <c r="H87" s="1" t="n"/>
    </row>
    <row r="88">
      <c r="A88" s="1" t="n"/>
      <c r="B88" s="1" t="n"/>
      <c r="C88" s="1" t="n"/>
      <c r="D88" s="1" t="n"/>
      <c r="E88" s="1" t="n"/>
      <c r="F88" s="1" t="n"/>
      <c r="G88" s="2" t="n"/>
      <c r="H88" s="1" t="n"/>
    </row>
    <row r="89">
      <c r="A89" s="1" t="n"/>
      <c r="B89" s="1" t="n"/>
      <c r="C89" s="1" t="n"/>
      <c r="D89" s="1" t="n"/>
      <c r="E89" s="1" t="n"/>
      <c r="F89" s="1" t="n"/>
      <c r="G89" s="2" t="n"/>
      <c r="H89" s="1" t="n"/>
    </row>
    <row r="90">
      <c r="A90" s="1" t="n"/>
      <c r="B90" s="1" t="n"/>
      <c r="C90" s="1" t="n"/>
      <c r="D90" s="1" t="n"/>
      <c r="E90" s="1" t="n"/>
      <c r="F90" s="1" t="n"/>
      <c r="G90" s="2" t="n"/>
      <c r="H90" s="1" t="n"/>
    </row>
    <row r="91">
      <c r="A91" s="1" t="n"/>
      <c r="B91" s="1" t="n"/>
      <c r="C91" s="1" t="n"/>
      <c r="D91" s="1" t="n"/>
      <c r="E91" s="1" t="n"/>
      <c r="F91" s="1" t="n"/>
      <c r="G91" s="2" t="n"/>
      <c r="H91" s="1" t="n"/>
    </row>
    <row r="92">
      <c r="A92" s="1" t="n"/>
      <c r="B92" s="1" t="n"/>
      <c r="C92" s="1" t="n"/>
      <c r="D92" s="1" t="n"/>
      <c r="E92" s="1" t="n"/>
      <c r="F92" s="1" t="n"/>
      <c r="G92" s="2" t="n"/>
      <c r="H92" s="1" t="n"/>
    </row>
    <row r="93">
      <c r="A93" s="1" t="n"/>
      <c r="B93" s="1" t="n"/>
      <c r="C93" s="1" t="n"/>
      <c r="D93" s="1" t="n"/>
      <c r="E93" s="1" t="n"/>
      <c r="F93" s="1" t="n"/>
      <c r="G93" s="2" t="n"/>
      <c r="H93" s="1" t="n"/>
    </row>
    <row r="94">
      <c r="A94" s="1" t="n"/>
      <c r="B94" s="1" t="n"/>
      <c r="C94" s="1" t="n"/>
      <c r="D94" s="1" t="n"/>
      <c r="E94" s="1" t="n"/>
      <c r="F94" s="1" t="n"/>
      <c r="G94" s="2" t="n"/>
      <c r="H94" s="1" t="n"/>
    </row>
    <row r="95">
      <c r="A95" s="1" t="n"/>
      <c r="B95" s="1" t="n"/>
      <c r="C95" s="1" t="n"/>
      <c r="D95" s="1" t="n"/>
      <c r="E95" s="1" t="n"/>
      <c r="F95" s="1" t="n"/>
      <c r="G95" s="2" t="n"/>
      <c r="H95" s="1" t="n"/>
    </row>
    <row r="96">
      <c r="A96" s="1" t="n"/>
      <c r="B96" s="1" t="n"/>
      <c r="C96" s="1" t="n"/>
      <c r="D96" s="1" t="n"/>
      <c r="E96" s="1" t="n"/>
      <c r="F96" s="1" t="n"/>
      <c r="G96" s="2" t="n"/>
      <c r="H96" s="1" t="n"/>
    </row>
    <row r="97">
      <c r="A97" s="1" t="n"/>
      <c r="B97" s="1" t="n"/>
      <c r="C97" s="1" t="n"/>
      <c r="D97" s="1" t="n"/>
      <c r="E97" s="1" t="n"/>
      <c r="F97" s="1" t="n"/>
      <c r="G97" s="2" t="n"/>
      <c r="H97" s="1" t="n"/>
    </row>
    <row r="98">
      <c r="A98" s="1" t="n"/>
      <c r="B98" s="1" t="n"/>
      <c r="C98" s="1" t="n"/>
      <c r="D98" s="1" t="n"/>
      <c r="E98" s="1" t="n"/>
      <c r="F98" s="1" t="n"/>
      <c r="G98" s="2" t="n"/>
      <c r="H98" s="1" t="n"/>
    </row>
    <row r="99">
      <c r="A99" s="1" t="n"/>
      <c r="B99" s="1" t="n"/>
      <c r="C99" s="1" t="n"/>
      <c r="D99" s="1" t="n"/>
      <c r="E99" s="1" t="n"/>
      <c r="F99" s="1" t="n"/>
      <c r="G99" s="2" t="n"/>
      <c r="H99" s="1" t="n"/>
    </row>
    <row r="100">
      <c r="A100" s="1" t="n"/>
      <c r="B100" s="1" t="n"/>
      <c r="C100" s="1" t="n"/>
      <c r="D100" s="1" t="n"/>
      <c r="E100" s="1" t="n"/>
      <c r="F100" s="1" t="n"/>
      <c r="G100" s="2" t="n"/>
      <c r="H100" s="1" t="n"/>
    </row>
    <row r="101">
      <c r="A101" s="1" t="n"/>
      <c r="B101" s="1" t="n"/>
      <c r="C101" s="1" t="n"/>
      <c r="D101" s="1" t="n"/>
      <c r="E101" s="1" t="n"/>
      <c r="F101" s="1" t="n"/>
      <c r="G101" s="2" t="n"/>
      <c r="H101" s="1" t="n"/>
    </row>
    <row r="102">
      <c r="A102" s="1" t="n"/>
      <c r="B102" s="1" t="n"/>
      <c r="C102" s="1" t="n"/>
      <c r="D102" s="1" t="n"/>
      <c r="E102" s="1" t="n"/>
      <c r="F102" s="1" t="n"/>
      <c r="G102" s="2" t="n"/>
      <c r="H102" s="1" t="n"/>
    </row>
    <row r="103">
      <c r="A103" s="1" t="n"/>
      <c r="B103" s="1" t="n"/>
      <c r="C103" s="1" t="n"/>
      <c r="D103" s="1" t="n"/>
      <c r="E103" s="1" t="n"/>
      <c r="F103" s="1" t="n"/>
      <c r="G103" s="2" t="n"/>
      <c r="H103" s="1" t="n"/>
    </row>
    <row r="104">
      <c r="A104" s="1" t="n"/>
      <c r="B104" s="1" t="n"/>
      <c r="C104" s="1" t="n"/>
      <c r="D104" s="1" t="n"/>
      <c r="E104" s="1" t="n"/>
      <c r="F104" s="1" t="n"/>
      <c r="G104" s="2" t="n"/>
      <c r="H104" s="1" t="n"/>
    </row>
    <row r="105">
      <c r="A105" s="1" t="n"/>
      <c r="B105" s="1" t="n"/>
      <c r="C105" s="1" t="n"/>
      <c r="D105" s="1" t="n"/>
      <c r="E105" s="1" t="n"/>
      <c r="F105" s="1" t="n"/>
      <c r="G105" s="2" t="n"/>
      <c r="H105" s="1" t="n"/>
    </row>
    <row r="106">
      <c r="A106" s="1" t="n"/>
      <c r="B106" s="1" t="n"/>
      <c r="C106" s="1" t="n"/>
      <c r="D106" s="1" t="n"/>
      <c r="E106" s="1" t="n"/>
      <c r="F106" s="1" t="n"/>
      <c r="G106" s="2" t="n"/>
      <c r="H106" s="1" t="n"/>
    </row>
    <row r="107">
      <c r="A107" s="1" t="n"/>
      <c r="B107" s="1" t="n"/>
      <c r="C107" s="1" t="n"/>
      <c r="D107" s="1" t="n"/>
      <c r="E107" s="1" t="n"/>
      <c r="F107" s="1" t="n"/>
      <c r="G107" s="2" t="n"/>
      <c r="H107" s="1" t="n"/>
    </row>
    <row r="108">
      <c r="A108" s="1" t="n"/>
      <c r="B108" s="1" t="n"/>
      <c r="C108" s="1" t="n"/>
      <c r="D108" s="1" t="n"/>
      <c r="E108" s="1" t="n"/>
      <c r="F108" s="1" t="n"/>
      <c r="G108" s="2" t="n"/>
      <c r="H108" s="1" t="n"/>
    </row>
    <row r="109">
      <c r="A109" s="1" t="n"/>
      <c r="B109" s="1" t="n"/>
      <c r="C109" s="1" t="n"/>
      <c r="D109" s="1" t="n"/>
      <c r="E109" s="1" t="n"/>
      <c r="F109" s="1" t="n"/>
      <c r="G109" s="2" t="n"/>
      <c r="H109" s="1" t="n"/>
    </row>
    <row r="110">
      <c r="A110" s="1" t="n"/>
      <c r="B110" s="1" t="n"/>
      <c r="C110" s="1" t="n"/>
      <c r="D110" s="1" t="n"/>
      <c r="E110" s="1" t="n"/>
      <c r="F110" s="1" t="n"/>
      <c r="G110" s="2" t="n"/>
      <c r="H110" s="1" t="n"/>
    </row>
    <row r="111">
      <c r="A111" s="1" t="n"/>
      <c r="B111" s="1" t="n"/>
      <c r="C111" s="1" t="n"/>
      <c r="D111" s="1" t="n"/>
      <c r="E111" s="1" t="n"/>
      <c r="F111" s="1" t="n"/>
      <c r="G111" s="2" t="n"/>
      <c r="H111" s="1" t="n"/>
    </row>
    <row r="112">
      <c r="A112" s="1" t="n"/>
      <c r="B112" s="1" t="n"/>
      <c r="C112" s="1" t="n"/>
      <c r="D112" s="1" t="n"/>
      <c r="E112" s="1" t="n"/>
      <c r="F112" s="1" t="n"/>
      <c r="G112" s="2" t="n"/>
      <c r="H112" s="1" t="n"/>
    </row>
    <row r="113">
      <c r="A113" s="1" t="n"/>
      <c r="B113" s="1" t="n"/>
      <c r="C113" s="1" t="n"/>
      <c r="D113" s="1" t="n"/>
      <c r="E113" s="1" t="n"/>
      <c r="F113" s="1" t="n"/>
      <c r="G113" s="2" t="n"/>
      <c r="H113" s="1" t="n"/>
    </row>
    <row r="114">
      <c r="A114" s="1" t="n"/>
      <c r="B114" s="1" t="n"/>
      <c r="C114" s="1" t="n"/>
      <c r="D114" s="1" t="n"/>
      <c r="E114" s="1" t="n"/>
      <c r="F114" s="1" t="n"/>
      <c r="G114" s="2" t="n"/>
      <c r="H114" s="1" t="n"/>
    </row>
    <row r="115">
      <c r="A115" s="1" t="n"/>
      <c r="B115" s="1" t="n"/>
      <c r="C115" s="1" t="n"/>
      <c r="D115" s="1" t="n"/>
      <c r="E115" s="1" t="n"/>
      <c r="F115" s="1" t="n"/>
      <c r="G115" s="2" t="n"/>
      <c r="H115" s="1" t="n"/>
    </row>
    <row r="116">
      <c r="A116" s="1" t="n"/>
      <c r="B116" s="1" t="n"/>
      <c r="C116" s="1" t="n"/>
      <c r="D116" s="1" t="n"/>
      <c r="E116" s="1" t="n"/>
      <c r="F116" s="1" t="n"/>
      <c r="G116" s="2" t="n"/>
      <c r="H116" s="1" t="n"/>
    </row>
    <row r="117">
      <c r="A117" s="1" t="n"/>
      <c r="B117" s="1" t="n"/>
      <c r="C117" s="1" t="n"/>
      <c r="D117" s="1" t="n"/>
      <c r="E117" s="1" t="n"/>
      <c r="F117" s="1" t="n"/>
      <c r="G117" s="2" t="n"/>
      <c r="H117" s="1" t="n"/>
    </row>
    <row r="118">
      <c r="A118" s="1" t="n"/>
      <c r="B118" s="1" t="n"/>
      <c r="C118" s="1" t="n"/>
      <c r="D118" s="1" t="n"/>
      <c r="E118" s="1" t="n"/>
      <c r="F118" s="1" t="n"/>
      <c r="G118" s="2" t="n"/>
      <c r="H118" s="1" t="n"/>
    </row>
    <row r="119">
      <c r="A119" s="1" t="n"/>
      <c r="B119" s="1" t="n"/>
      <c r="C119" s="1" t="n"/>
      <c r="D119" s="1" t="n"/>
      <c r="E119" s="1" t="n"/>
      <c r="F119" s="1" t="n"/>
      <c r="G119" s="2" t="n"/>
      <c r="H119" s="1" t="n"/>
    </row>
    <row r="120">
      <c r="A120" s="1" t="n"/>
      <c r="B120" s="1" t="n"/>
      <c r="C120" s="1" t="n"/>
      <c r="D120" s="1" t="n"/>
      <c r="E120" s="1" t="n"/>
      <c r="F120" s="1" t="n"/>
      <c r="G120" s="2" t="n"/>
      <c r="H120" s="1" t="n"/>
    </row>
    <row r="121">
      <c r="A121" s="1" t="n"/>
      <c r="B121" s="1" t="n"/>
      <c r="C121" s="1" t="n"/>
      <c r="D121" s="1" t="n"/>
      <c r="E121" s="1" t="n"/>
      <c r="F121" s="1" t="n"/>
      <c r="G121" s="2" t="n"/>
      <c r="H121" s="1" t="n"/>
    </row>
    <row r="122">
      <c r="A122" s="1" t="n"/>
      <c r="B122" s="1" t="n"/>
      <c r="C122" s="1" t="n"/>
      <c r="D122" s="1" t="n"/>
      <c r="E122" s="1" t="n"/>
      <c r="F122" s="1" t="n"/>
      <c r="G122" s="2" t="n"/>
      <c r="H122" s="1" t="n"/>
    </row>
    <row r="123">
      <c r="A123" s="1" t="n"/>
      <c r="B123" s="1" t="n"/>
      <c r="C123" s="1" t="n"/>
      <c r="D123" s="1" t="n"/>
      <c r="E123" s="1" t="n"/>
      <c r="F123" s="1" t="n"/>
      <c r="G123" s="2" t="n"/>
      <c r="H123" s="1" t="n"/>
    </row>
    <row r="124">
      <c r="A124" s="1" t="n"/>
      <c r="B124" s="1" t="n"/>
      <c r="C124" s="1" t="n"/>
      <c r="D124" s="1" t="n"/>
      <c r="E124" s="1" t="n"/>
      <c r="F124" s="1" t="n"/>
      <c r="G124" s="2" t="n"/>
      <c r="H124" s="1" t="n"/>
    </row>
    <row r="125">
      <c r="A125" s="1" t="n"/>
      <c r="B125" s="1" t="n"/>
      <c r="C125" s="1" t="n"/>
      <c r="D125" s="1" t="n"/>
      <c r="E125" s="1" t="n"/>
      <c r="F125" s="1" t="n"/>
      <c r="G125" s="2" t="n"/>
      <c r="H125" s="1" t="n"/>
    </row>
    <row r="126">
      <c r="A126" s="1" t="n"/>
      <c r="B126" s="1" t="n"/>
      <c r="C126" s="1" t="n"/>
      <c r="D126" s="1" t="n"/>
      <c r="E126" s="1" t="n"/>
      <c r="F126" s="1" t="n"/>
      <c r="G126" s="2" t="n"/>
      <c r="H126" s="1" t="n"/>
    </row>
    <row r="127">
      <c r="A127" s="1" t="n"/>
      <c r="B127" s="1" t="n"/>
      <c r="C127" s="1" t="n"/>
      <c r="D127" s="1" t="n"/>
      <c r="E127" s="1" t="n"/>
      <c r="F127" s="1" t="n"/>
      <c r="G127" s="2" t="n"/>
      <c r="H127" s="1" t="n"/>
    </row>
    <row r="128">
      <c r="A128" s="1" t="n"/>
      <c r="B128" s="1" t="n"/>
      <c r="C128" s="1" t="n"/>
      <c r="D128" s="1" t="n"/>
      <c r="E128" s="1" t="n"/>
      <c r="F128" s="1" t="n"/>
      <c r="G128" s="2" t="n"/>
      <c r="H128" s="1" t="n"/>
    </row>
    <row r="129">
      <c r="A129" s="1" t="n"/>
      <c r="B129" s="1" t="n"/>
      <c r="C129" s="1" t="n"/>
      <c r="D129" s="1" t="n"/>
      <c r="E129" s="1" t="n"/>
      <c r="F129" s="1" t="n"/>
      <c r="G129" s="2" t="n"/>
      <c r="H129" s="1" t="n"/>
    </row>
    <row r="130">
      <c r="A130" s="1" t="n"/>
      <c r="B130" s="1" t="n"/>
      <c r="C130" s="1" t="n"/>
      <c r="D130" s="1" t="n"/>
      <c r="E130" s="1" t="n"/>
      <c r="F130" s="1" t="n"/>
      <c r="G130" s="2" t="n"/>
      <c r="H130" s="1" t="n"/>
    </row>
    <row r="131">
      <c r="A131" s="1" t="n"/>
      <c r="B131" s="1" t="n"/>
      <c r="C131" s="1" t="n"/>
      <c r="D131" s="1" t="n"/>
      <c r="E131" s="1" t="n"/>
      <c r="F131" s="1" t="n"/>
      <c r="G131" s="2" t="n"/>
      <c r="H131" s="1" t="n"/>
    </row>
    <row r="132">
      <c r="A132" s="1" t="n"/>
      <c r="B132" s="1" t="n"/>
      <c r="C132" s="1" t="n"/>
      <c r="D132" s="1" t="n"/>
      <c r="E132" s="1" t="n"/>
      <c r="F132" s="1" t="n"/>
      <c r="G132" s="2" t="n"/>
      <c r="H132" s="1" t="n"/>
    </row>
    <row r="133">
      <c r="A133" s="1" t="n"/>
      <c r="B133" s="1" t="n"/>
      <c r="C133" s="1" t="n"/>
      <c r="D133" s="1" t="n"/>
      <c r="E133" s="1" t="n"/>
      <c r="F133" s="1" t="n"/>
      <c r="G133" s="2" t="n"/>
      <c r="H133" s="1" t="n"/>
    </row>
    <row r="134">
      <c r="A134" s="1" t="n"/>
      <c r="B134" s="1" t="n"/>
      <c r="C134" s="1" t="n"/>
      <c r="D134" s="1" t="n"/>
      <c r="E134" s="1" t="n"/>
      <c r="F134" s="1" t="n"/>
      <c r="G134" s="2" t="n"/>
      <c r="H134" s="1" t="n"/>
    </row>
    <row r="135">
      <c r="A135" s="1" t="n"/>
      <c r="B135" s="1" t="n"/>
      <c r="C135" s="1" t="n"/>
      <c r="D135" s="1" t="n"/>
      <c r="E135" s="1" t="n"/>
      <c r="F135" s="1" t="n"/>
      <c r="G135" s="2" t="n"/>
      <c r="H135" s="1" t="n"/>
    </row>
    <row r="136">
      <c r="A136" s="1" t="n"/>
      <c r="B136" s="1" t="n"/>
      <c r="C136" s="1" t="n"/>
      <c r="D136" s="1" t="n"/>
      <c r="E136" s="1" t="n"/>
      <c r="F136" s="1" t="n"/>
      <c r="G136" s="2" t="n"/>
      <c r="H136" s="1" t="n"/>
    </row>
    <row r="137">
      <c r="A137" s="1" t="n"/>
      <c r="B137" s="1" t="n"/>
      <c r="C137" s="1" t="n"/>
      <c r="D137" s="1" t="n"/>
      <c r="E137" s="1" t="n"/>
      <c r="F137" s="1" t="n"/>
      <c r="G137" s="2" t="n"/>
      <c r="H137" s="1" t="n"/>
    </row>
    <row r="138">
      <c r="A138" s="1" t="n"/>
      <c r="B138" s="1" t="n"/>
      <c r="C138" s="1" t="n"/>
      <c r="D138" s="1" t="n"/>
      <c r="E138" s="1" t="n"/>
      <c r="F138" s="1" t="n"/>
      <c r="G138" s="2" t="n"/>
      <c r="H138" s="1" t="n"/>
    </row>
    <row r="139">
      <c r="A139" s="1" t="n"/>
      <c r="B139" s="1" t="n"/>
      <c r="C139" s="1" t="n"/>
      <c r="D139" s="1" t="n"/>
      <c r="E139" s="1" t="n"/>
      <c r="F139" s="1" t="n"/>
      <c r="G139" s="2" t="n"/>
      <c r="H139" s="1" t="n"/>
    </row>
    <row r="140">
      <c r="A140" s="1" t="n"/>
      <c r="B140" s="1" t="n"/>
      <c r="C140" s="1" t="n"/>
      <c r="D140" s="1" t="n"/>
      <c r="E140" s="1" t="n"/>
      <c r="F140" s="1" t="n"/>
      <c r="G140" s="2" t="n"/>
      <c r="H140" s="1" t="n"/>
    </row>
    <row r="141">
      <c r="A141" s="1" t="n"/>
      <c r="B141" s="1" t="n"/>
      <c r="C141" s="1" t="n"/>
      <c r="D141" s="1" t="n"/>
      <c r="E141" s="1" t="n"/>
      <c r="F141" s="1" t="n"/>
      <c r="G141" s="2" t="n"/>
      <c r="H141" s="1" t="n"/>
    </row>
    <row r="142">
      <c r="A142" s="1" t="n"/>
      <c r="B142" s="1" t="n"/>
      <c r="C142" s="1" t="n"/>
      <c r="D142" s="1" t="n"/>
      <c r="E142" s="1" t="n"/>
      <c r="F142" s="1" t="n"/>
      <c r="G142" s="2" t="n"/>
      <c r="H142" s="1" t="n"/>
    </row>
    <row r="143">
      <c r="A143" s="1" t="n"/>
      <c r="B143" s="1" t="n"/>
      <c r="C143" s="1" t="n"/>
      <c r="D143" s="1" t="n"/>
      <c r="E143" s="1" t="n"/>
      <c r="F143" s="1" t="n"/>
      <c r="G143" s="2" t="n"/>
      <c r="H143" s="1" t="n"/>
    </row>
    <row r="144">
      <c r="A144" s="1" t="n"/>
      <c r="B144" s="1" t="n"/>
      <c r="C144" s="1" t="n"/>
      <c r="D144" s="1" t="n"/>
      <c r="E144" s="1" t="n"/>
      <c r="F144" s="1" t="n"/>
      <c r="G144" s="2" t="n"/>
      <c r="H144" s="1" t="n"/>
    </row>
    <row r="145">
      <c r="A145" s="1" t="n"/>
      <c r="B145" s="1" t="n"/>
      <c r="C145" s="1" t="n"/>
      <c r="D145" s="1" t="n"/>
      <c r="E145" s="1" t="n"/>
      <c r="F145" s="1" t="n"/>
      <c r="G145" s="2" t="n"/>
      <c r="H145" s="1" t="n"/>
    </row>
    <row r="146">
      <c r="A146" s="1" t="n"/>
      <c r="B146" s="1" t="n"/>
      <c r="C146" s="1" t="n"/>
      <c r="D146" s="1" t="n"/>
      <c r="E146" s="1" t="n"/>
      <c r="F146" s="1" t="n"/>
      <c r="G146" s="2" t="n"/>
      <c r="H146" s="1" t="n"/>
    </row>
    <row r="147">
      <c r="A147" s="1" t="n"/>
      <c r="B147" s="1" t="n"/>
      <c r="C147" s="1" t="n"/>
      <c r="D147" s="1" t="n"/>
      <c r="E147" s="1" t="n"/>
      <c r="F147" s="1" t="n"/>
      <c r="G147" s="2" t="n"/>
      <c r="H147" s="1" t="n"/>
    </row>
    <row r="148">
      <c r="A148" s="1" t="n"/>
      <c r="B148" s="1" t="n"/>
      <c r="C148" s="1" t="n"/>
      <c r="D148" s="1" t="n"/>
      <c r="E148" s="1" t="n"/>
      <c r="F148" s="1" t="n"/>
      <c r="G148" s="2" t="n"/>
      <c r="H148" s="1" t="n"/>
    </row>
    <row r="149">
      <c r="A149" s="1" t="n"/>
      <c r="B149" s="1" t="n"/>
      <c r="C149" s="1" t="n"/>
      <c r="D149" s="1" t="n"/>
      <c r="E149" s="1" t="n"/>
      <c r="F149" s="1" t="n"/>
      <c r="G149" s="2" t="n"/>
      <c r="H149" s="1" t="n"/>
    </row>
    <row r="150">
      <c r="A150" s="1" t="n"/>
      <c r="B150" s="1" t="n"/>
      <c r="C150" s="1" t="n"/>
      <c r="D150" s="1" t="n"/>
      <c r="E150" s="1" t="n"/>
      <c r="F150" s="1" t="n"/>
      <c r="G150" s="2" t="n"/>
      <c r="H150" s="1" t="n"/>
    </row>
    <row r="151">
      <c r="A151" s="1" t="n"/>
      <c r="B151" s="1" t="n"/>
      <c r="C151" s="1" t="n"/>
      <c r="D151" s="1" t="n"/>
      <c r="E151" s="1" t="n"/>
      <c r="F151" s="1" t="n"/>
      <c r="G151" s="2" t="n"/>
      <c r="H151" s="1" t="n"/>
    </row>
    <row r="152">
      <c r="A152" s="1" t="n"/>
      <c r="B152" s="1" t="n"/>
      <c r="C152" s="1" t="n"/>
      <c r="D152" s="1" t="n"/>
      <c r="E152" s="1" t="n"/>
      <c r="F152" s="1" t="n"/>
      <c r="G152" s="2" t="n"/>
      <c r="H152" s="1" t="n"/>
    </row>
    <row r="153">
      <c r="A153" s="1" t="n"/>
      <c r="B153" s="1" t="n"/>
      <c r="C153" s="1" t="n"/>
      <c r="D153" s="1" t="n"/>
      <c r="E153" s="1" t="n"/>
      <c r="F153" s="1" t="n"/>
      <c r="G153" s="2" t="n"/>
      <c r="H153" s="1" t="n"/>
    </row>
    <row r="154">
      <c r="A154" s="1" t="n"/>
      <c r="B154" s="1" t="n"/>
      <c r="C154" s="1" t="n"/>
      <c r="D154" s="1" t="n"/>
      <c r="E154" s="1" t="n"/>
      <c r="F154" s="1" t="n"/>
      <c r="G154" s="2" t="n"/>
      <c r="H154" s="1" t="n"/>
    </row>
    <row r="155">
      <c r="A155" s="1" t="n"/>
      <c r="B155" s="1" t="n"/>
      <c r="C155" s="1" t="n"/>
      <c r="D155" s="1" t="n"/>
      <c r="E155" s="1" t="n"/>
      <c r="F155" s="1" t="n"/>
      <c r="G155" s="2" t="n"/>
      <c r="H155" s="1" t="n"/>
    </row>
    <row r="156">
      <c r="A156" s="1" t="n"/>
      <c r="B156" s="1" t="n"/>
      <c r="C156" s="1" t="n"/>
      <c r="D156" s="1" t="n"/>
      <c r="E156" s="1" t="n"/>
      <c r="F156" s="1" t="n"/>
      <c r="G156" s="2" t="n"/>
      <c r="H156" s="1" t="n"/>
    </row>
    <row r="157">
      <c r="A157" s="1" t="n"/>
      <c r="B157" s="1" t="n"/>
      <c r="C157" s="1" t="n"/>
      <c r="D157" s="1" t="n"/>
      <c r="E157" s="1" t="n"/>
      <c r="F157" s="1" t="n"/>
      <c r="G157" s="2" t="n"/>
      <c r="H157" s="1" t="n"/>
    </row>
    <row r="158">
      <c r="A158" s="1" t="n"/>
      <c r="B158" s="1" t="n"/>
      <c r="C158" s="1" t="n"/>
      <c r="D158" s="1" t="n"/>
      <c r="E158" s="1" t="n"/>
      <c r="F158" s="1" t="n"/>
      <c r="G158" s="2" t="n"/>
      <c r="H158" s="1" t="n"/>
    </row>
    <row r="159">
      <c r="A159" s="1" t="n"/>
      <c r="B159" s="1" t="n"/>
      <c r="C159" s="1" t="n"/>
      <c r="D159" s="1" t="n"/>
      <c r="E159" s="1" t="n"/>
      <c r="F159" s="1" t="n"/>
      <c r="G159" s="2" t="n"/>
      <c r="H159" s="1" t="n"/>
    </row>
    <row r="160">
      <c r="A160" s="1" t="n"/>
      <c r="B160" s="1" t="n"/>
      <c r="C160" s="1" t="n"/>
      <c r="D160" s="1" t="n"/>
      <c r="E160" s="1" t="n"/>
      <c r="F160" s="1" t="n"/>
      <c r="G160" s="2" t="n"/>
      <c r="H160" s="1" t="n"/>
    </row>
    <row r="161">
      <c r="A161" s="1" t="n"/>
      <c r="B161" s="1" t="n"/>
      <c r="C161" s="1" t="n"/>
      <c r="D161" s="1" t="n"/>
      <c r="E161" s="1" t="n"/>
      <c r="F161" s="1" t="n"/>
      <c r="G161" s="2" t="n"/>
      <c r="H161" s="1" t="n"/>
    </row>
    <row r="162">
      <c r="A162" s="1" t="n"/>
      <c r="B162" s="1" t="n"/>
      <c r="C162" s="1" t="n"/>
      <c r="D162" s="1" t="n"/>
      <c r="E162" s="1" t="n"/>
      <c r="F162" s="1" t="n"/>
      <c r="G162" s="2" t="n"/>
      <c r="H162" s="1" t="n"/>
    </row>
    <row r="163">
      <c r="A163" s="1" t="n"/>
      <c r="B163" s="1" t="n"/>
      <c r="C163" s="1" t="n"/>
      <c r="D163" s="1" t="n"/>
      <c r="E163" s="1" t="n"/>
      <c r="F163" s="1" t="n"/>
      <c r="G163" s="2" t="n"/>
      <c r="H163" s="1" t="n"/>
    </row>
    <row r="164">
      <c r="A164" s="1" t="n"/>
      <c r="B164" s="1" t="n"/>
      <c r="C164" s="1" t="n"/>
      <c r="D164" s="1" t="n"/>
      <c r="E164" s="1" t="n"/>
      <c r="F164" s="1" t="n"/>
      <c r="G164" s="2" t="n"/>
      <c r="H164" s="1" t="n"/>
    </row>
    <row r="165">
      <c r="A165" s="1" t="n"/>
      <c r="B165" s="1" t="n"/>
      <c r="C165" s="1" t="n"/>
      <c r="D165" s="1" t="n"/>
      <c r="E165" s="1" t="n"/>
      <c r="F165" s="1" t="n"/>
      <c r="G165" s="2" t="n"/>
      <c r="H165" s="1" t="n"/>
    </row>
    <row r="166">
      <c r="A166" s="1" t="n"/>
      <c r="B166" s="1" t="n"/>
      <c r="C166" s="1" t="n"/>
      <c r="D166" s="1" t="n"/>
      <c r="E166" s="1" t="n"/>
      <c r="F166" s="1" t="n"/>
      <c r="G166" s="2" t="n"/>
      <c r="H166" s="1" t="n"/>
    </row>
    <row r="167">
      <c r="A167" s="1" t="n"/>
      <c r="B167" s="1" t="n"/>
      <c r="C167" s="1" t="n"/>
      <c r="D167" s="1" t="n"/>
      <c r="E167" s="1" t="n"/>
      <c r="F167" s="1" t="n"/>
      <c r="G167" s="2" t="n"/>
      <c r="H167" s="1" t="n"/>
    </row>
    <row r="168">
      <c r="A168" s="1" t="n"/>
      <c r="B168" s="1" t="n"/>
      <c r="C168" s="1" t="n"/>
      <c r="D168" s="1" t="n"/>
      <c r="E168" s="1" t="n"/>
      <c r="F168" s="1" t="n"/>
      <c r="G168" s="2" t="n"/>
      <c r="H168" s="1" t="n"/>
    </row>
    <row r="169">
      <c r="A169" s="1" t="n"/>
      <c r="B169" s="1" t="n"/>
      <c r="C169" s="1" t="n"/>
      <c r="D169" s="1" t="n"/>
      <c r="E169" s="1" t="n"/>
      <c r="F169" s="1" t="n"/>
      <c r="G169" s="2" t="n"/>
      <c r="H169" s="1" t="n"/>
    </row>
    <row r="170">
      <c r="A170" s="1" t="n"/>
      <c r="B170" s="1" t="n"/>
      <c r="C170" s="1" t="n"/>
      <c r="D170" s="1" t="n"/>
      <c r="E170" s="1" t="n"/>
      <c r="F170" s="1" t="n"/>
      <c r="G170" s="2" t="n"/>
      <c r="H170" s="1" t="n"/>
    </row>
    <row r="171">
      <c r="A171" s="1" t="n"/>
      <c r="B171" s="1" t="n"/>
      <c r="C171" s="1" t="n"/>
      <c r="D171" s="1" t="n"/>
      <c r="E171" s="1" t="n"/>
      <c r="F171" s="1" t="n"/>
      <c r="G171" s="2" t="n"/>
      <c r="H171" s="1" t="n"/>
    </row>
    <row r="172">
      <c r="A172" s="1" t="n"/>
      <c r="B172" s="1" t="n"/>
      <c r="C172" s="1" t="n"/>
      <c r="D172" s="1" t="n"/>
      <c r="E172" s="1" t="n"/>
      <c r="F172" s="1" t="n"/>
      <c r="G172" s="2" t="n"/>
      <c r="H172" s="1" t="n"/>
    </row>
    <row r="173">
      <c r="A173" s="1" t="n"/>
      <c r="B173" s="1" t="n"/>
      <c r="C173" s="1" t="n"/>
      <c r="D173" s="1" t="n"/>
      <c r="E173" s="1" t="n"/>
      <c r="F173" s="1" t="n"/>
      <c r="G173" s="2" t="n"/>
      <c r="H173" s="1" t="n"/>
    </row>
    <row r="174">
      <c r="A174" s="1" t="n"/>
      <c r="B174" s="1" t="n"/>
      <c r="C174" s="1" t="n"/>
      <c r="D174" s="1" t="n"/>
      <c r="E174" s="1" t="n"/>
      <c r="F174" s="1" t="n"/>
      <c r="G174" s="2" t="n"/>
      <c r="H174" s="1" t="n"/>
    </row>
    <row r="175">
      <c r="A175" s="1" t="n"/>
      <c r="B175" s="1" t="n"/>
      <c r="C175" s="1" t="n"/>
      <c r="D175" s="1" t="n"/>
      <c r="E175" s="1" t="n"/>
      <c r="F175" s="1" t="n"/>
      <c r="G175" s="2" t="n"/>
      <c r="H175" s="1" t="n"/>
    </row>
    <row r="176">
      <c r="A176" s="1" t="n"/>
      <c r="B176" s="1" t="n"/>
      <c r="C176" s="1" t="n"/>
      <c r="D176" s="1" t="n"/>
      <c r="E176" s="1" t="n"/>
      <c r="F176" s="1" t="n"/>
      <c r="G176" s="2" t="n"/>
      <c r="H176" s="1" t="n"/>
    </row>
    <row r="177">
      <c r="A177" s="1" t="n"/>
      <c r="B177" s="1" t="n"/>
      <c r="C177" s="1" t="n"/>
      <c r="D177" s="1" t="n"/>
      <c r="E177" s="1" t="n"/>
      <c r="F177" s="1" t="n"/>
      <c r="G177" s="2" t="n"/>
      <c r="H177" s="1" t="n"/>
    </row>
    <row r="178">
      <c r="A178" s="1" t="n"/>
      <c r="B178" s="1" t="n"/>
      <c r="C178" s="1" t="n"/>
      <c r="D178" s="1" t="n"/>
      <c r="E178" s="1" t="n"/>
      <c r="F178" s="1" t="n"/>
      <c r="G178" s="2" t="n"/>
      <c r="H178" s="1" t="n"/>
    </row>
    <row r="179">
      <c r="A179" s="1" t="n"/>
      <c r="B179" s="1" t="n"/>
      <c r="C179" s="1" t="n"/>
      <c r="D179" s="1" t="n"/>
      <c r="E179" s="1" t="n"/>
      <c r="F179" s="1" t="n"/>
      <c r="G179" s="2" t="n"/>
      <c r="H179" s="1" t="n"/>
    </row>
    <row r="180">
      <c r="A180" s="1" t="n"/>
      <c r="B180" s="1" t="n"/>
      <c r="C180" s="1" t="n"/>
      <c r="D180" s="1" t="n"/>
      <c r="E180" s="1" t="n"/>
      <c r="F180" s="1" t="n"/>
      <c r="G180" s="2" t="n"/>
      <c r="H180" s="1" t="n"/>
    </row>
    <row r="181">
      <c r="A181" s="1" t="n"/>
      <c r="B181" s="1" t="n"/>
      <c r="C181" s="1" t="n"/>
      <c r="D181" s="1" t="n"/>
      <c r="E181" s="1" t="n"/>
      <c r="F181" s="1" t="n"/>
      <c r="G181" s="2" t="n"/>
      <c r="H181" s="1" t="n"/>
    </row>
    <row r="182">
      <c r="A182" s="1" t="n"/>
      <c r="B182" s="1" t="n"/>
      <c r="C182" s="1" t="n"/>
      <c r="D182" s="1" t="n"/>
      <c r="E182" s="1" t="n"/>
      <c r="F182" s="1" t="n"/>
      <c r="G182" s="2" t="n"/>
      <c r="H182" s="1" t="n"/>
    </row>
    <row r="183">
      <c r="A183" s="1" t="n"/>
      <c r="B183" s="1" t="n"/>
      <c r="C183" s="1" t="n"/>
      <c r="D183" s="1" t="n"/>
      <c r="E183" s="1" t="n"/>
      <c r="F183" s="1" t="n"/>
      <c r="G183" s="2" t="n"/>
      <c r="H183" s="1" t="n"/>
    </row>
    <row r="184">
      <c r="A184" s="1" t="n"/>
      <c r="B184" s="1" t="n"/>
      <c r="C184" s="1" t="n"/>
      <c r="D184" s="1" t="n"/>
      <c r="E184" s="1" t="n"/>
      <c r="F184" s="1" t="n"/>
      <c r="G184" s="2" t="n"/>
      <c r="H184" s="1" t="n"/>
    </row>
    <row r="185">
      <c r="A185" s="1" t="n"/>
      <c r="B185" s="1" t="n"/>
      <c r="C185" s="1" t="n"/>
      <c r="D185" s="1" t="n"/>
      <c r="E185" s="1" t="n"/>
      <c r="F185" s="1" t="n"/>
      <c r="G185" s="2" t="n"/>
      <c r="H185" s="1" t="n"/>
    </row>
    <row r="186">
      <c r="A186" s="1" t="n"/>
      <c r="B186" s="1" t="n"/>
      <c r="C186" s="1" t="n"/>
      <c r="D186" s="1" t="n"/>
      <c r="E186" s="1" t="n"/>
      <c r="F186" s="1" t="n"/>
      <c r="G186" s="2" t="n"/>
      <c r="H186" s="1" t="n"/>
    </row>
    <row r="187">
      <c r="A187" s="1" t="n"/>
      <c r="B187" s="1" t="n"/>
      <c r="C187" s="1" t="n"/>
      <c r="D187" s="1" t="n"/>
      <c r="E187" s="1" t="n"/>
      <c r="F187" s="1" t="n"/>
      <c r="G187" s="2" t="n"/>
      <c r="H187" s="1" t="n"/>
    </row>
    <row r="188">
      <c r="A188" s="1" t="n"/>
      <c r="B188" s="1" t="n"/>
      <c r="C188" s="1" t="n"/>
      <c r="D188" s="1" t="n"/>
      <c r="E188" s="1" t="n"/>
      <c r="F188" s="1" t="n"/>
      <c r="G188" s="2" t="n"/>
      <c r="H188" s="1" t="n"/>
    </row>
    <row r="189">
      <c r="A189" s="1" t="n"/>
      <c r="B189" s="1" t="n"/>
      <c r="C189" s="1" t="n"/>
      <c r="D189" s="1" t="n"/>
      <c r="E189" s="1" t="n"/>
      <c r="F189" s="1" t="n"/>
      <c r="G189" s="2" t="n"/>
      <c r="H189" s="1" t="n"/>
    </row>
    <row r="190">
      <c r="A190" s="1" t="n"/>
      <c r="B190" s="1" t="n"/>
      <c r="C190" s="1" t="n"/>
      <c r="D190" s="1" t="n"/>
      <c r="E190" s="1" t="n"/>
      <c r="F190" s="1" t="n"/>
      <c r="G190" s="2" t="n"/>
      <c r="H190" s="1" t="n"/>
    </row>
    <row r="191">
      <c r="A191" s="1" t="n"/>
      <c r="B191" s="1" t="n"/>
      <c r="C191" s="1" t="n"/>
      <c r="D191" s="1" t="n"/>
      <c r="E191" s="1" t="n"/>
      <c r="F191" s="1" t="n"/>
      <c r="G191" s="2" t="n"/>
      <c r="H191" s="1" t="n"/>
    </row>
    <row r="192">
      <c r="A192" s="1" t="n"/>
      <c r="B192" s="1" t="n"/>
      <c r="C192" s="1" t="n"/>
      <c r="D192" s="1" t="n"/>
      <c r="E192" s="1" t="n"/>
      <c r="F192" s="1" t="n"/>
      <c r="G192" s="2" t="n"/>
      <c r="H192" s="1" t="n"/>
    </row>
    <row r="193">
      <c r="A193" s="1" t="n"/>
      <c r="B193" s="1" t="n"/>
      <c r="C193" s="1" t="n"/>
      <c r="D193" s="1" t="n"/>
      <c r="E193" s="1" t="n"/>
      <c r="F193" s="1" t="n"/>
      <c r="G193" s="2" t="n"/>
      <c r="H193" s="1" t="n"/>
    </row>
    <row r="194">
      <c r="A194" s="1" t="n"/>
      <c r="B194" s="1" t="n"/>
      <c r="C194" s="1" t="n"/>
      <c r="D194" s="1" t="n"/>
      <c r="E194" s="1" t="n"/>
      <c r="F194" s="1" t="n"/>
      <c r="G194" s="2" t="n"/>
      <c r="H194" s="1" t="n"/>
    </row>
    <row r="195">
      <c r="A195" s="1" t="n"/>
      <c r="B195" s="1" t="n"/>
      <c r="C195" s="1" t="n"/>
      <c r="D195" s="1" t="n"/>
      <c r="E195" s="1" t="n"/>
      <c r="F195" s="1" t="n"/>
      <c r="G195" s="2" t="n"/>
      <c r="H195" s="1" t="n"/>
    </row>
    <row r="196">
      <c r="A196" s="1" t="n"/>
      <c r="B196" s="1" t="n"/>
      <c r="C196" s="1" t="n"/>
      <c r="D196" s="1" t="n"/>
      <c r="E196" s="1" t="n"/>
      <c r="F196" s="1" t="n"/>
      <c r="G196" s="2" t="n"/>
      <c r="H196" s="1" t="n"/>
    </row>
    <row r="197">
      <c r="A197" s="1" t="n"/>
      <c r="B197" s="1" t="n"/>
      <c r="C197" s="1" t="n"/>
      <c r="D197" s="1" t="n"/>
      <c r="E197" s="1" t="n"/>
      <c r="F197" s="1" t="n"/>
      <c r="G197" s="2" t="n"/>
      <c r="H197" s="1" t="n"/>
    </row>
    <row r="198">
      <c r="A198" s="1" t="n"/>
      <c r="B198" s="1" t="n"/>
      <c r="C198" s="1" t="n"/>
      <c r="D198" s="1" t="n"/>
      <c r="E198" s="1" t="n"/>
      <c r="F198" s="1" t="n"/>
      <c r="G198" s="2" t="n"/>
      <c r="H198" s="1" t="n"/>
    </row>
    <row r="199">
      <c r="A199" s="1" t="n"/>
      <c r="B199" s="1" t="n"/>
      <c r="C199" s="1" t="n"/>
      <c r="D199" s="1" t="n"/>
      <c r="E199" s="1" t="n"/>
      <c r="F199" s="1" t="n"/>
      <c r="G199" s="2" t="n"/>
      <c r="H199" s="1" t="n"/>
    </row>
    <row r="200">
      <c r="A200" s="1" t="n"/>
      <c r="B200" s="1" t="n"/>
      <c r="C200" s="1" t="n"/>
      <c r="D200" s="1" t="n"/>
      <c r="E200" s="1" t="n"/>
      <c r="F200" s="1" t="n"/>
      <c r="G200" s="2" t="n"/>
      <c r="H200" s="1" t="n"/>
    </row>
  </sheetData>
  <conditionalFormatting sqref="A2:H48">
    <cfRule type="expression" priority="1" dxfId="16">
      <formula>MOD(ROW(),2)=0</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4.25"/>
  <cols>
    <col width="15" customWidth="1" min="1" max="1"/>
    <col width="16" customWidth="1" min="2" max="2"/>
    <col width="12" customWidth="1" min="3" max="3"/>
    <col width="20" customWidth="1" min="4" max="4"/>
    <col width="4" customWidth="1" min="5" max="5"/>
    <col width="24" customWidth="1" min="6" max="6"/>
    <col width="44" customWidth="1" min="7" max="7"/>
    <col width="4" customWidth="1" min="8" max="8"/>
    <col width="14" customWidth="1" min="9" max="9"/>
    <col width="46" customWidth="1" min="10" max="10"/>
  </cols>
  <sheetData>
    <row r="1" ht="14.25" customHeight="1">
      <c r="A1" s="18" t="inlineStr">
        <is>
          <t>Status</t>
        </is>
      </c>
      <c r="B1" s="18" t="inlineStr">
        <is>
          <t>Test Type</t>
        </is>
      </c>
      <c r="C1" s="18" t="inlineStr">
        <is>
          <t>Priority</t>
        </is>
      </c>
      <c r="D1" s="18" t="inlineStr">
        <is>
          <t>Area</t>
        </is>
      </c>
      <c r="E1" s="14" t="n"/>
      <c r="F1" s="18" t="inlineStr">
        <is>
          <t>Reference</t>
        </is>
      </c>
      <c r="G1" s="18" t="inlineStr">
        <is>
          <t>Location</t>
        </is>
      </c>
      <c r="H1" s="14" t="n"/>
      <c r="I1" s="18" t="inlineStr">
        <is>
          <t>Test Owner</t>
        </is>
      </c>
      <c r="J1" s="18" t="inlineStr">
        <is>
          <t>Responsibility</t>
        </is>
      </c>
    </row>
    <row r="2" ht="24" customHeight="1">
      <c r="A2" s="16" t="inlineStr">
        <is>
          <t>Not Run</t>
        </is>
      </c>
      <c r="B2" s="16" t="inlineStr">
        <is>
          <t>Unit</t>
        </is>
      </c>
      <c r="C2" s="16" t="inlineStr">
        <is>
          <t>Critical</t>
        </is>
      </c>
      <c r="D2" s="16" t="inlineStr">
        <is>
          <t>Authentication</t>
        </is>
      </c>
      <c r="E2" s="16" t="n"/>
      <c r="F2" s="16" t="inlineStr">
        <is>
          <t>Sprint 1 Test Plan</t>
        </is>
      </c>
      <c r="G2" s="16" t="inlineStr">
        <is>
          <t>docs/testing/sprint-1-test-plan.md</t>
        </is>
      </c>
      <c r="H2" s="16" t="n"/>
      <c r="I2" s="16" t="inlineStr">
        <is>
          <t>MD</t>
        </is>
      </c>
      <c r="J2" s="16" t="inlineStr">
        <is>
          <t>Authentication implementation tests plus core Student Profile API behaviour</t>
        </is>
      </c>
    </row>
    <row r="3" ht="24" customHeight="1">
      <c r="A3" s="16" t="inlineStr">
        <is>
          <t>Pass</t>
        </is>
      </c>
      <c r="B3" s="16" t="inlineStr">
        <is>
          <t>API</t>
        </is>
      </c>
      <c r="C3" s="16" t="inlineStr">
        <is>
          <t>High</t>
        </is>
      </c>
      <c r="D3" s="16" t="inlineStr">
        <is>
          <t>JWT</t>
        </is>
      </c>
      <c r="E3" s="16" t="n"/>
      <c r="F3" s="16" t="inlineStr">
        <is>
          <t>Sprint 1 Integration Plan</t>
        </is>
      </c>
      <c r="G3" s="16" t="inlineStr">
        <is>
          <t>docs/system-design/sprint-1-integration-plan.md</t>
        </is>
      </c>
      <c r="H3" s="16" t="n"/>
      <c r="I3" s="16" t="inlineStr">
        <is>
          <t>Joyee</t>
        </is>
      </c>
      <c r="J3" s="16" t="inlineStr">
        <is>
          <t>Frontend authentication/Profile tests and frontend secret exposure check</t>
        </is>
      </c>
    </row>
    <row r="4" ht="24" customHeight="1">
      <c r="A4" s="16" t="inlineStr">
        <is>
          <t>Fail</t>
        </is>
      </c>
      <c r="B4" s="16" t="inlineStr">
        <is>
          <t>Permission</t>
        </is>
      </c>
      <c r="C4" s="16" t="inlineStr">
        <is>
          <t>Medium</t>
        </is>
      </c>
      <c r="D4" s="16" t="inlineStr">
        <is>
          <t>Current User</t>
        </is>
      </c>
      <c r="E4" s="16" t="n"/>
      <c r="F4" s="16" t="inlineStr">
        <is>
          <t>REST API Design</t>
        </is>
      </c>
      <c r="G4" s="16" t="inlineStr">
        <is>
          <t>docs/system-design/rest-api-design.md</t>
        </is>
      </c>
      <c r="H4" s="16" t="n"/>
      <c r="I4" s="16" t="inlineStr">
        <is>
          <t>Jerald</t>
        </is>
      </c>
      <c r="J4" s="16" t="inlineStr">
        <is>
          <t>Backend Profile verification, ownership, related profile data, database, CORS, and integration support</t>
        </is>
      </c>
    </row>
    <row r="5" ht="14.25" customHeight="1">
      <c r="A5" s="16" t="inlineStr">
        <is>
          <t>Blocked</t>
        </is>
      </c>
      <c r="B5" s="16" t="inlineStr">
        <is>
          <t>Integration</t>
        </is>
      </c>
      <c r="C5" s="16" t="inlineStr">
        <is>
          <t>Low</t>
        </is>
      </c>
      <c r="D5" s="16" t="inlineStr">
        <is>
          <t>Student Profile</t>
        </is>
      </c>
      <c r="E5" s="16" t="n"/>
      <c r="F5" s="16" t="inlineStr">
        <is>
          <t>Security Architecture</t>
        </is>
      </c>
      <c r="G5" s="16" t="inlineStr">
        <is>
          <t>docs/system-design/security-architecture.md</t>
        </is>
      </c>
      <c r="H5" s="16" t="n"/>
      <c r="I5" s="16" t="inlineStr">
        <is>
          <t>Shared</t>
        </is>
      </c>
      <c r="J5" s="16" t="inlineStr">
        <is>
          <t>Cross-team security, persistence, and regression checks</t>
        </is>
      </c>
    </row>
    <row r="6" ht="14.25" customHeight="1">
      <c r="A6" s="16" t="n"/>
      <c r="B6" s="16" t="inlineStr">
        <is>
          <t>Manual</t>
        </is>
      </c>
      <c r="C6" s="16" t="n"/>
      <c r="D6" s="16" t="inlineStr">
        <is>
          <t>Ownership</t>
        </is>
      </c>
      <c r="E6" s="16" t="n"/>
      <c r="F6" s="16" t="inlineStr">
        <is>
          <t>Student Profile Data Design</t>
        </is>
      </c>
      <c r="G6" s="16" t="inlineStr">
        <is>
          <t>docs/system-design/student-profile-data-design.md</t>
        </is>
      </c>
      <c r="H6" s="16" t="n"/>
      <c r="I6" s="16" t="n"/>
      <c r="J6" s="16" t="n"/>
    </row>
    <row r="7" ht="14.25" customHeight="1">
      <c r="A7" s="16" t="n"/>
      <c r="B7" s="16" t="inlineStr">
        <is>
          <t>Regression</t>
        </is>
      </c>
      <c r="C7" s="16" t="n"/>
      <c r="D7" s="16" t="inlineStr">
        <is>
          <t>Skills</t>
        </is>
      </c>
      <c r="E7" s="16" t="n"/>
      <c r="F7" s="16" t="inlineStr">
        <is>
          <t>Auth API Testing</t>
        </is>
      </c>
      <c r="G7" s="16" t="inlineStr">
        <is>
          <t>backend/docs/AUTH_API_TESTING.md</t>
        </is>
      </c>
      <c r="H7" s="16" t="n"/>
      <c r="I7" s="16" t="n"/>
      <c r="J7" s="16" t="n"/>
    </row>
    <row r="8" ht="14.25" customHeight="1">
      <c r="A8" s="16" t="n"/>
      <c r="B8" s="16" t="inlineStr">
        <is>
          <t>Security</t>
        </is>
      </c>
      <c r="C8" s="16" t="n"/>
      <c r="D8" s="16" t="inlineStr">
        <is>
          <t>Interests</t>
        </is>
      </c>
      <c r="E8" s="16" t="n"/>
      <c r="F8" s="16" t="n"/>
      <c r="G8" s="16" t="n"/>
      <c r="H8" s="16" t="n"/>
      <c r="I8" s="16" t="n"/>
      <c r="J8" s="16" t="n"/>
    </row>
    <row r="9" ht="14.25" customHeight="1">
      <c r="A9" s="16" t="n"/>
      <c r="B9" s="16" t="inlineStr">
        <is>
          <t>Database</t>
        </is>
      </c>
      <c r="C9" s="16" t="n"/>
      <c r="D9" s="16" t="inlineStr">
        <is>
          <t>Education</t>
        </is>
      </c>
      <c r="E9" s="16" t="n"/>
      <c r="F9" s="21" t="inlineStr">
        <is>
          <t>Field Guidance</t>
        </is>
      </c>
      <c r="G9" s="21" t="inlineStr">
        <is>
          <t>Meaning</t>
        </is>
      </c>
      <c r="H9" s="16" t="n"/>
      <c r="I9" s="16" t="n"/>
      <c r="J9" s="16" t="n"/>
    </row>
    <row r="10" ht="14.25" customHeight="1">
      <c r="A10" s="16" t="n"/>
      <c r="B10" s="16" t="inlineStr">
        <is>
          <t>Validation</t>
        </is>
      </c>
      <c r="C10" s="16" t="n"/>
      <c r="D10" s="16" t="inlineStr">
        <is>
          <t>Experience</t>
        </is>
      </c>
      <c r="E10" s="16" t="n"/>
      <c r="F10" s="16" t="inlineStr">
        <is>
          <t>Test Owner</t>
        </is>
      </c>
      <c r="G10" s="16" t="inlineStr">
        <is>
          <t>Person responsible for ensuring the test is completed</t>
        </is>
      </c>
      <c r="H10" s="16" t="n"/>
      <c r="I10" s="16" t="n"/>
      <c r="J10" s="16" t="n"/>
    </row>
    <row r="11" ht="14.25" customHeight="1">
      <c r="A11" s="16" t="n"/>
      <c r="B11" s="16" t="n"/>
      <c r="C11" s="16" t="n"/>
      <c r="D11" s="16" t="inlineStr">
        <is>
          <t>Projects</t>
        </is>
      </c>
      <c r="E11" s="16" t="n"/>
      <c r="F11" s="16" t="inlineStr">
        <is>
          <t>Tester</t>
        </is>
      </c>
      <c r="G11" s="16" t="inlineStr">
        <is>
          <t>Person who actually executes the test and records the result</t>
        </is>
      </c>
      <c r="H11" s="16" t="n"/>
      <c r="I11" s="16" t="n"/>
      <c r="J11" s="16" t="n"/>
    </row>
    <row r="12" ht="14.25" customHeight="1">
      <c r="A12" s="16" t="n"/>
      <c r="B12" s="16" t="n"/>
      <c r="C12" s="16" t="n"/>
      <c r="D12" s="16" t="inlineStr">
        <is>
          <t>Career Goals</t>
        </is>
      </c>
      <c r="E12" s="16" t="n"/>
      <c r="F12" s="16" t="n"/>
      <c r="G12" s="16" t="n"/>
      <c r="H12" s="16" t="n"/>
      <c r="I12" s="16" t="n"/>
      <c r="J12" s="16" t="n"/>
    </row>
    <row r="13" ht="14.25" customHeight="1">
      <c r="A13" s="16" t="n"/>
      <c r="B13" s="16" t="n"/>
      <c r="C13" s="16" t="n"/>
      <c r="D13" s="16" t="inlineStr">
        <is>
          <t>Personality</t>
        </is>
      </c>
      <c r="E13" s="16" t="n"/>
      <c r="F13" s="16" t="n"/>
      <c r="G13" s="16" t="n"/>
      <c r="H13" s="16" t="n"/>
      <c r="I13" s="16" t="n"/>
      <c r="J13" s="16" t="n"/>
    </row>
    <row r="14" ht="14.25" customHeight="1">
      <c r="A14" s="16" t="n"/>
      <c r="B14" s="16" t="n"/>
      <c r="C14" s="16" t="n"/>
      <c r="D14" s="16" t="inlineStr">
        <is>
          <t>Frontend Auth</t>
        </is>
      </c>
      <c r="E14" s="16" t="n"/>
      <c r="F14" s="16" t="n"/>
      <c r="G14" s="16" t="n"/>
      <c r="H14" s="16" t="n"/>
      <c r="I14" s="16" t="n"/>
      <c r="J14" s="16" t="n"/>
    </row>
    <row r="15" ht="14.25" customHeight="1">
      <c r="A15" s="16" t="n"/>
      <c r="B15" s="16" t="n"/>
      <c r="C15" s="16" t="n"/>
      <c r="D15" s="16" t="inlineStr">
        <is>
          <t>Frontend Profile</t>
        </is>
      </c>
      <c r="E15" s="16" t="n"/>
      <c r="F15" s="16" t="n"/>
      <c r="G15" s="16" t="n"/>
      <c r="H15" s="16" t="n"/>
      <c r="I15" s="16" t="n"/>
      <c r="J15" s="16" t="n"/>
    </row>
    <row r="16" ht="14.25" customHeight="1">
      <c r="A16" s="16" t="n"/>
      <c r="B16" s="16" t="n"/>
      <c r="C16" s="16" t="n"/>
      <c r="D16" s="16" t="inlineStr">
        <is>
          <t>Database</t>
        </is>
      </c>
      <c r="E16" s="16" t="n"/>
      <c r="F16" s="16" t="n"/>
      <c r="G16" s="16" t="n"/>
      <c r="H16" s="16" t="n"/>
      <c r="I16" s="16" t="n"/>
      <c r="J16" s="16" t="n"/>
    </row>
    <row r="17" ht="14.25" customHeight="1">
      <c r="A17" s="16" t="n"/>
      <c r="B17" s="16" t="n"/>
      <c r="C17" s="16" t="n"/>
      <c r="D17" s="16" t="inlineStr">
        <is>
          <t>Security</t>
        </is>
      </c>
      <c r="E17" s="16" t="n"/>
      <c r="F17" s="16" t="n"/>
      <c r="G17" s="16" t="n"/>
      <c r="H17" s="16" t="n"/>
      <c r="I17" s="16" t="n"/>
      <c r="J17" s="16" t="n"/>
    </row>
    <row r="18" ht="14.25" customHeight="1">
      <c r="A18" s="16" t="n"/>
      <c r="B18" s="16" t="n"/>
      <c r="C18" s="16" t="n"/>
      <c r="D18" s="16" t="inlineStr">
        <is>
          <t>Regression</t>
        </is>
      </c>
      <c r="E18" s="16" t="n"/>
      <c r="F18" s="16" t="n"/>
      <c r="G18" s="16" t="n"/>
      <c r="H18" s="16" t="n"/>
      <c r="I18" s="16" t="n"/>
      <c r="J18" s="16" t="n"/>
    </row>
    <row r="19">
      <c r="A19" s="1" t="n"/>
      <c r="B19" s="1" t="n"/>
      <c r="C19" s="1" t="n"/>
      <c r="D19" s="1" t="n"/>
      <c r="E19" s="1" t="n"/>
      <c r="F19" s="1" t="n"/>
      <c r="G19" s="1" t="n"/>
    </row>
    <row r="20">
      <c r="A20" s="1" t="n"/>
      <c r="B20" s="1" t="n"/>
      <c r="C20" s="1" t="n"/>
      <c r="D20" s="1" t="n"/>
      <c r="E20" s="1" t="n"/>
      <c r="F20" s="1" t="n"/>
      <c r="G20" s="1" t="n"/>
    </row>
    <row r="21">
      <c r="A21" s="1" t="n"/>
      <c r="B21" s="1" t="n"/>
      <c r="C21" s="1" t="n"/>
      <c r="D21" s="1" t="n"/>
      <c r="E21" s="1" t="n"/>
      <c r="F21" s="1" t="n"/>
      <c r="G21" s="1" t="n"/>
    </row>
    <row r="22">
      <c r="A22" s="1" t="n"/>
      <c r="B22" s="1" t="n"/>
      <c r="C22" s="1" t="n"/>
      <c r="D22" s="1" t="n"/>
      <c r="E22" s="1" t="n"/>
      <c r="F22" s="1" t="n"/>
      <c r="G22" s="1" t="n"/>
    </row>
    <row r="23">
      <c r="A23" s="1" t="n"/>
      <c r="B23" s="1" t="n"/>
      <c r="C23" s="1" t="n"/>
      <c r="D23" s="1" t="n"/>
      <c r="E23" s="1" t="n"/>
      <c r="F23" s="1" t="n"/>
      <c r="G23" s="1" t="n"/>
    </row>
    <row r="24">
      <c r="A24" s="1" t="n"/>
      <c r="B24" s="1" t="n"/>
      <c r="C24" s="1" t="n"/>
      <c r="D24" s="1" t="n"/>
      <c r="E24" s="1" t="n"/>
      <c r="F24" s="1" t="n"/>
      <c r="G24" s="1" t="n"/>
    </row>
    <row r="25">
      <c r="A25" s="1" t="n"/>
      <c r="B25" s="1" t="n"/>
      <c r="C25" s="1" t="n"/>
      <c r="D25" s="1" t="n"/>
      <c r="E25" s="1" t="n"/>
      <c r="F25" s="1" t="n"/>
      <c r="G25" s="1" t="n"/>
    </row>
  </sheetData>
  <conditionalFormatting sqref="A2:D18">
    <cfRule type="expression" priority="1" dxfId="16">
      <formula>MOD(ROW(),2)=0</formula>
    </cfRule>
  </conditionalFormatting>
  <conditionalFormatting sqref="F2:G18">
    <cfRule type="expression" priority="2" dxfId="16">
      <formula>MOD(ROW(),2)=0</formula>
    </cfRule>
  </conditionalFormatting>
  <conditionalFormatting sqref="I2:J18">
    <cfRule type="expression" priority="3" dxfId="16">
      <formula>MOD(ROW(),2)=0</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2026-09-26T09:54:14Z</dcterms:created>
  <dcterms:modified xsi:type="dcterms:W3CDTF">2026-09-26T09:54:14Z</dcterms:modified>
  <cp:lastModifiedBy>Administrator</cp:lastModifiedBy>
</cp:coreProperties>
</file>