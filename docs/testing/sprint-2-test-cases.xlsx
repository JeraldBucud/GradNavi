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0587b50f7d4a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cc8eeab51754644"/>
    <x:sheet xmlns:r="http://schemas.openxmlformats.org/officeDocument/2006/relationships" name="Test Cases" sheetId="2" r:id="Rf3959ded92584f43"/>
    <x:sheet xmlns:r="http://schemas.openxmlformats.org/officeDocument/2006/relationships" name="Evidence Index" sheetId="3" r:id="R969f73700d5e4b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2"/>
      <x:color rgb="FFFFFFFF"/>
      <x:name val="Carlito"/>
    </x:font>
    <x:font>
      <x:b/>
      <x:sz val="11"/>
      <x:color rgb="FF1F1F1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38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1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/>
    <x:xf numFmtId="0" fontId="2" fillId="2" borderId="4" xfId="0" applyNumberFormat="1" applyFont="1" applyFill="1" applyBorder="1" applyAlignment="1">
      <x:alignment horizontal="center" vertical="center"/>
    </x:xf>
    <x:xf numFmtId="0" fontId="3" fillId="0" borderId="5" xfId="0" applyNumberFormat="1" applyFont="1" applyFill="1" applyBorder="1"/>
    <x:xf numFmtId="0" fontId="0" fillId="0" borderId="6" xfId="0" applyNumberFormat="1" applyFont="1" applyFill="1" applyBorder="1"/>
    <x:xf numFmtId="0" fontId="3" fillId="0" borderId="6" xfId="0" applyNumberFormat="1" applyFont="1" applyFill="1" applyBorder="1"/>
    <x:xf numFmtId="0" fontId="0" fillId="0" borderId="7" xfId="0" applyNumberFormat="1" applyFont="1" applyFill="1" applyBorder="1"/>
    <x:xf numFmtId="0" fontId="3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2" fillId="2" borderId="11" xfId="0" applyNumberFormat="1" applyFont="1" applyFill="1" applyBorder="1" applyAlignment="1">
      <x:alignment horizontal="center" vertical="center"/>
    </x:xf>
    <x:xf numFmtId="0" fontId="2" fillId="2" borderId="12" xfId="0" applyNumberFormat="1" applyFont="1" applyFill="1" applyBorder="1" applyAlignment="1">
      <x:alignment horizontal="center" vertical="center"/>
    </x:xf>
    <x:xf numFmtId="0" fontId="0" fillId="0" borderId="12" xfId="0" applyNumberFormat="1" applyFont="1" applyFill="1" applyBorder="1"/>
    <x:xf numFmtId="0" fontId="2" fillId="2" borderId="13" xfId="0" applyNumberFormat="1" applyFont="1" applyFill="1" applyBorder="1" applyAlignment="1">
      <x:alignment horizontal="center" vertical="center"/>
    </x:xf>
    <x:xf numFmtId="0" fontId="3" fillId="0" borderId="14" xfId="0" applyNumberFormat="1" applyFont="1" applyFill="1" applyBorder="1"/>
    <x:xf numFmtId="0" fontId="0" fillId="0" borderId="15" xfId="0" applyNumberFormat="1" applyFont="1" applyFill="1" applyBorder="1"/>
    <x:xf numFmtId="0" fontId="3" fillId="0" borderId="15" xfId="0" applyNumberFormat="1" applyFont="1" applyFill="1" applyBorder="1"/>
    <x:xf numFmtId="0" fontId="0" fillId="0" borderId="16" xfId="0" applyNumberFormat="1" applyFont="1" applyFill="1" applyBorder="1"/>
    <x:xf numFmtId="0" fontId="3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left"/>
    </x:xf>
    <x:xf numFmtId="0" fontId="4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5" fillId="3" borderId="11" xfId="0" applyNumberFormat="1" applyFont="1" applyFill="1" applyBorder="1" applyAlignment="1">
      <x:alignment horizontal="center" vertical="center" wrapText="1"/>
    </x:xf>
    <x:xf numFmtId="0" fontId="5" fillId="3" borderId="12" xfId="0" applyNumberFormat="1" applyFont="1" applyFill="1" applyBorder="1" applyAlignment="1">
      <x:alignment horizontal="center" vertical="center" wrapText="1"/>
    </x:xf>
    <x:xf numFmtId="0" fontId="5" fillId="3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wrapText="1"/>
    </x:xf>
    <x:xf numFmtId="0" fontId="0" fillId="4" borderId="1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15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5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4" borderId="6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3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3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3" fillId="0" borderId="17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5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4" borderId="15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0" xfId="0" applyNumberFormat="1" applyFont="1" applyFill="1" applyBorder="1" applyAlignment="1">
      <x:alignment horizontal="center" vertical="center" wrapText="1"/>
    </x:xf>
    <x:xf numFmtId="0" fontId="2" fillId="2" borderId="21" xfId="0" applyNumberFormat="1" applyFont="1" applyFill="1" applyBorder="1" applyAlignment="1">
      <x:alignment horizontal="center" vertical="center" wrapText="1"/>
    </x:xf>
    <x:xf numFmtId="0" fontId="2" fillId="2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2" fillId="2" borderId="29" xfId="0" applyNumberFormat="1" applyFont="1" applyFill="1" applyBorder="1" applyAlignment="1">
      <x:alignment horizontal="center" vertical="center" wrapText="1"/>
    </x:xf>
    <x:xf numFmtId="0" fontId="2" fillId="2" borderId="30" xfId="0" applyNumberFormat="1" applyFont="1" applyFill="1" applyBorder="1" applyAlignment="1">
      <x:alignment horizontal="center" vertical="center" wrapText="1"/>
    </x:xf>
    <x:xf numFmtId="0" fontId="2" fillId="2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8" xfId="0" applyNumberFormat="1" applyFont="1" applyFill="1" applyBorder="1"/>
    <x:xf numFmtId="0" fontId="2" fillId="2" borderId="11" xfId="0" applyNumberFormat="1" applyFont="1" applyFill="1" applyBorder="1" applyAlignment="1">
      <x:alignment horizontal="center" vertical="center" wrapText="1"/>
    </x:xf>
    <x:xf numFmtId="0" fontId="2" fillId="2" borderId="12" xfId="0" applyNumberFormat="1" applyFont="1" applyFill="1" applyBorder="1" applyAlignment="1">
      <x:alignment horizontal="center" vertical="center" wrapText="1"/>
    </x:xf>
    <x:xf numFmtId="0" fontId="2" fillId="2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</x:font>
      <x:fill>
        <x:patternFill patternType="solid">
          <x:bgColor rgb="FFE2F0D9"/>
        </x:patternFill>
      </x:fill>
    </x:dxf>
    <x:dxf>
      <x:font>
        <x:b/>
      </x:font>
      <x:fill>
        <x:patternFill patternType="solid">
          <x:bgColor rgb="FFFCE4D6"/>
        </x:patternFill>
      </x:fill>
    </x:dxf>
    <x:dxf>
      <x:font>
        <x:b/>
      </x:font>
      <x:fill>
        <x:patternFill patternType="solid">
          <x:bgColor rgb="FFFFF2CC"/>
        </x:patternFill>
      </x:fill>
    </x:dxf>
    <x:dxf>
      <x:font>
        <x:b/>
      </x:font>
      <x:fill>
        <x:patternFill patternType="solid">
          <x:bgColor rgb="FFD9EAF7"/>
        </x:patternFill>
      </x:fill>
    </x:dxf>
    <x:dxf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ae0448fbca4416" /><Relationship Type="http://schemas.openxmlformats.org/officeDocument/2006/relationships/theme" Target="/xl/theme/theme1.xml" Id="R74019025871f4cdd" /><Relationship Type="http://schemas.openxmlformats.org/officeDocument/2006/relationships/sharedStrings" Target="/xl/sharedStrings.xml" Id="R98289a90ea254b65" /><Relationship Type="http://schemas.openxmlformats.org/officeDocument/2006/relationships/worksheet" Target="/xl/worksheets/sheet1.xml" Id="R9cc8eeab51754644" /><Relationship Type="http://schemas.openxmlformats.org/officeDocument/2006/relationships/worksheet" Target="/xl/worksheets/sheet2.xml" Id="Rf3959ded92584f43" /><Relationship Type="http://schemas.openxmlformats.org/officeDocument/2006/relationships/worksheet" Target="/xl/worksheets/sheet3.xml" Id="R969f73700d5e4bd1" /></Relationships>
</file>

<file path=xl/tables/table1.xml><?xml version="1.0" encoding="utf-8"?>
<x:table xmlns:x="http://schemas.openxmlformats.org/spreadsheetml/2006/main" id="1" name="Sprint2TestCases" displayName="Sprint2TestCases" ref="A1:T81" headerRowCount="1" totalsRowCount="0" totalsRowShown="0">
  <x:tableColumns count="20">
    <x:tableColumn id="1" name="Test ID"/>
    <x:tableColumn id="2" name="WBS"/>
    <x:tableColumn id="3" name="Requirement"/>
    <x:tableColumn id="4" name="Test Type"/>
    <x:tableColumn id="5" name="Priority"/>
    <x:tableColumn id="6" name="Area"/>
    <x:tableColumn id="7" name="Test Case"/>
    <x:tableColumn id="8" name="Preconditions"/>
    <x:tableColumn id="9" name="Steps"/>
    <x:tableColumn id="10" name="Expected Result"/>
    <x:tableColumn id="11" name="Test Owner"/>
    <x:tableColumn id="12" name="Status"/>
    <x:tableColumn id="13" name="Actual Result"/>
    <x:tableColumn id="14" name="Tester"/>
    <x:tableColumn id="15" name="Evidence ID"/>
    <x:tableColumn id="16" name="Evidence Reference"/>
    <x:tableColumn id="17" name="Blocked Dependency"/>
    <x:tableColumn id="18" name="Defect Reference"/>
    <x:tableColumn id="19" name="Automation"/>
    <x:tableColumn id="2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c019d290e5e46a8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4" hidden="0" customWidth="1"/>
    <x:col min="3" max="3" width="45" hidden="0" customWidth="1"/>
    <x:col min="4" max="4" width="24" hidden="0" customWidth="1"/>
    <x:col min="5" max="5" width="12" hidden="0" customWidth="1"/>
    <x:col min="6" max="6" width="4" hidden="0" customWidth="1"/>
    <x:col min="7" max="7" width="18" hidden="0" customWidth="1"/>
    <x:col min="8" max="8" width="12" hidden="0" customWidth="1"/>
  </x:cols>
  <x:sheetData>
    <x:row r="1" ht="28" customHeight="1">
      <x:c r="A1" s="5" t="str">
        <x:v>GradNavi Sprint 2 Test Dashboard</x:v>
      </x:c>
      <x:c r="B1" s="5"/>
      <x:c r="C1" s="5"/>
      <x:c r="D1" s="5"/>
      <x:c r="E1" s="5"/>
      <x:c r="F1" s="5"/>
      <x:c r="G1" s="5"/>
      <x:c r="H1" s="5"/>
    </x:row>
    <x:row r="2">
      <x:c r="A2" s="82"/>
      <x:c r="B2" s="82"/>
      <x:c r="C2" s="82"/>
      <x:c r="D2" s="82"/>
      <x:c r="E2" s="82"/>
      <x:c r="F2" s="82"/>
      <x:c r="G2" s="82"/>
      <x:c r="H2" s="82"/>
    </x:row>
    <x:row r="3">
      <x:c r="A3" s="18" t="str">
        <x:v>Metric</x:v>
      </x:c>
      <x:c r="B3" s="19" t="str">
        <x:v>Count</x:v>
      </x:c>
      <x:c r="C3" s="83"/>
      <x:c r="D3" s="19" t="str">
        <x:v>Priority</x:v>
      </x:c>
      <x:c r="E3" s="19" t="str">
        <x:v>Count</x:v>
      </x:c>
      <x:c r="F3" s="83"/>
      <x:c r="G3" s="19" t="str">
        <x:v>Owner</x:v>
      </x:c>
      <x:c r="H3" s="21" t="str">
        <x:v>Count</x:v>
      </x:c>
    </x:row>
    <x:row r="4">
      <x:c r="A4" s="84" t="str">
        <x:v>Total Cases</x:v>
      </x:c>
      <x:c r="B4" s="85" t="n">
        <x:f>COUNTA('Test Cases'!A2:A81)</x:f>
        <x:v>80</x:v>
      </x:c>
      <x:c r="C4" s="85"/>
      <x:c r="D4" s="86" t="str">
        <x:v>Critical</x:v>
      </x:c>
      <x:c r="E4" s="85" t="n">
        <x:f>COUNTIF('Test Cases'!E2:E81,"Critical")</x:f>
        <x:v>29</x:v>
      </x:c>
      <x:c r="F4" s="85"/>
      <x:c r="G4" s="86" t="str">
        <x:v>Jerald</x:v>
      </x:c>
      <x:c r="H4" s="87" t="n">
        <x:f>COUNTIF('Test Cases'!K2:K81,"Jerald")</x:f>
        <x:v>28</x:v>
      </x:c>
    </x:row>
    <x:row r="5">
      <x:c r="A5" s="84" t="str">
        <x:v>Pass</x:v>
      </x:c>
      <x:c r="B5" s="85" t="n">
        <x:f>COUNTIF('Test Cases'!L2:L81,"Pass")</x:f>
        <x:v>28</x:v>
      </x:c>
      <x:c r="C5" s="85"/>
      <x:c r="D5" s="86" t="str">
        <x:v>High</x:v>
      </x:c>
      <x:c r="E5" s="85" t="n">
        <x:f>COUNTIF('Test Cases'!E2:E81,"High")</x:f>
        <x:v>40</x:v>
      </x:c>
      <x:c r="F5" s="85"/>
      <x:c r="G5" s="86" t="str">
        <x:v>MD</x:v>
      </x:c>
      <x:c r="H5" s="87" t="n">
        <x:f>COUNTIF('Test Cases'!K2:K81,"MD")</x:f>
        <x:v>18</x:v>
      </x:c>
    </x:row>
    <x:row r="6">
      <x:c r="A6" s="84" t="str">
        <x:v>Fail</x:v>
      </x:c>
      <x:c r="B6" s="85" t="n">
        <x:f>COUNTIF('Test Cases'!L2:L81,"Fail")</x:f>
        <x:v>0</x:v>
      </x:c>
      <x:c r="C6" s="85"/>
      <x:c r="D6" s="86" t="str">
        <x:v>Medium</x:v>
      </x:c>
      <x:c r="E6" s="85" t="n">
        <x:f>COUNTIF('Test Cases'!E2:E81,"Medium")</x:f>
        <x:v>11</x:v>
      </x:c>
      <x:c r="F6" s="85"/>
      <x:c r="G6" s="86" t="str">
        <x:v>Joyee</x:v>
      </x:c>
      <x:c r="H6" s="87" t="n">
        <x:f>COUNTIF('Test Cases'!K2:K81,"Joyee")</x:f>
        <x:v>16</x:v>
      </x:c>
    </x:row>
    <x:row r="7">
      <x:c r="A7" s="84" t="str">
        <x:v>Blocked</x:v>
      </x:c>
      <x:c r="B7" s="85" t="n">
        <x:f>COUNTIF('Test Cases'!L2:L81,"Blocked")</x:f>
        <x:v>42</x:v>
      </x:c>
      <x:c r="C7" s="85"/>
      <x:c r="D7" s="86" t="str">
        <x:v>Low</x:v>
      </x:c>
      <x:c r="E7" s="85" t="n">
        <x:f>COUNTIF('Test Cases'!E2:E81,"Low")</x:f>
        <x:v>0</x:v>
      </x:c>
      <x:c r="F7" s="85"/>
      <x:c r="G7" s="86" t="str">
        <x:v>All Members</x:v>
      </x:c>
      <x:c r="H7" s="87" t="n">
        <x:f>COUNTIF('Test Cases'!K2:K81,"All Members")</x:f>
        <x:v>16</x:v>
      </x:c>
    </x:row>
    <x:row r="8">
      <x:c r="A8" s="84" t="str">
        <x:v>Retest</x:v>
      </x:c>
      <x:c r="B8" s="85" t="n">
        <x:f>COUNTIF('Test Cases'!L2:L81,"Retest")</x:f>
        <x:v>0</x:v>
      </x:c>
      <x:c r="C8" s="85"/>
      <x:c r="D8" s="85"/>
      <x:c r="E8" s="85"/>
      <x:c r="F8" s="85"/>
      <x:c r="G8" s="86" t="str">
        <x:v>Shared</x:v>
      </x:c>
      <x:c r="H8" s="87" t="n">
        <x:f>COUNTIF('Test Cases'!K2:K81,"Shared")</x:f>
        <x:v>2</x:v>
      </x:c>
    </x:row>
    <x:row r="9">
      <x:c r="A9" s="88" t="str">
        <x:v>Not Run</x:v>
      </x:c>
      <x:c r="B9" s="89" t="n">
        <x:f>COUNTIF('Test Cases'!L2:L81,"Not Run")</x:f>
        <x:v>10</x:v>
      </x:c>
      <x:c r="C9" s="89"/>
      <x:c r="D9" s="89"/>
      <x:c r="E9" s="89"/>
      <x:c r="F9" s="89"/>
      <x:c r="G9" s="89"/>
      <x:c r="H9" s="90"/>
    </x:row>
    <x:row r="10">
      <x:c r="A10" s="82"/>
      <x:c r="B10" s="82"/>
      <x:c r="C10" s="82"/>
      <x:c r="D10" s="82"/>
      <x:c r="E10" s="82"/>
      <x:c r="F10" s="82"/>
      <x:c r="G10" s="82"/>
      <x:c r="H10" s="82"/>
    </x:row>
    <x:row r="11">
      <x:c r="A11" s="42" t="str">
        <x:v>Sprint 2 Integration Gate</x:v>
      </x:c>
      <x:c r="B11" s="42"/>
      <x:c r="C11" s="42"/>
      <x:c r="D11" s="42"/>
      <x:c r="E11" s="42"/>
      <x:c r="F11" s="42"/>
      <x:c r="G11" s="42"/>
      <x:c r="H11" s="42"/>
    </x:row>
    <x:row r="12">
      <x:c r="A12" s="58" t="str">
        <x:v>Required predecessor</x:v>
      </x:c>
      <x:c r="B12" s="59" t="str">
        <x:v>Owner</x:v>
      </x:c>
      <x:c r="C12" s="59" t="str">
        <x:v>Current state on feature/sprint-2</x:v>
      </x:c>
      <x:c r="D12" s="60" t="str">
        <x:v>Gate for WBS 5.9</x:v>
      </x:c>
      <x:c r="E12" s="82"/>
      <x:c r="F12" s="82"/>
      <x:c r="G12" s="82"/>
      <x:c r="H12" s="82"/>
    </x:row>
    <x:row r="13">
      <x:c r="A13" s="91" t="str">
        <x:v>WBS 5.4 Career Recommendation API</x:v>
      </x:c>
      <x:c r="B13" s="92" t="str">
        <x:v>MD</x:v>
      </x:c>
      <x:c r="C13" s="93" t="str">
        <x:v>Not present. careers/views.py is still the Django placeholder.</x:v>
      </x:c>
      <x:c r="D13" s="94" t="str">
        <x:v>Required</x:v>
      </x:c>
      <x:c r="E13" s="82"/>
      <x:c r="F13" s="82"/>
      <x:c r="G13" s="82"/>
      <x:c r="H13" s="82"/>
    </x:row>
    <x:row r="14">
      <x:c r="A14" s="91" t="str">
        <x:v>WBS 5.5 Skill Gap and Readiness</x:v>
      </x:c>
      <x:c r="B14" s="92" t="str">
        <x:v>Jerald</x:v>
      </x:c>
      <x:c r="C14" s="95" t="str">
        <x:v>Merged in feature/sprint-2. Implementation and design are present.</x:v>
      </x:c>
      <x:c r="D14" s="94" t="str">
        <x:v>Required</x:v>
      </x:c>
      <x:c r="E14" s="82"/>
      <x:c r="F14" s="82"/>
      <x:c r="G14" s="82"/>
      <x:c r="H14" s="82"/>
    </x:row>
    <x:row r="15">
      <x:c r="A15" s="91" t="str">
        <x:v>WBS 5.7 Learning Suggestions and Roadmap API</x:v>
      </x:c>
      <x:c r="B15" s="92" t="str">
        <x:v>MD</x:v>
      </x:c>
      <x:c r="C15" s="93" t="str">
        <x:v>Not present in the shared Sprint 2 branch at this checkpoint.</x:v>
      </x:c>
      <x:c r="D15" s="94" t="str">
        <x:v>Required</x:v>
      </x:c>
      <x:c r="E15" s="82"/>
      <x:c r="F15" s="82"/>
      <x:c r="G15" s="82"/>
      <x:c r="H15" s="82"/>
    </x:row>
    <x:row r="16">
      <x:c r="A16" s="91" t="str">
        <x:v>WBS 5.8 Learning Roadmap Interface</x:v>
      </x:c>
      <x:c r="B16" s="92" t="str">
        <x:v>Joyee</x:v>
      </x:c>
      <x:c r="C16" s="93" t="str">
        <x:v>Not present in the shared Sprint 2 branch at this checkpoint.</x:v>
      </x:c>
      <x:c r="D16" s="94" t="str">
        <x:v>Required</x:v>
      </x:c>
      <x:c r="E16" s="82"/>
      <x:c r="F16" s="82"/>
      <x:c r="G16" s="82"/>
      <x:c r="H16" s="82"/>
    </x:row>
    <x:row r="17">
      <x:c r="A17" s="96" t="str">
        <x:v>WBS 5.6 Recommendation and Readiness Interface</x:v>
      </x:c>
      <x:c r="B17" s="97" t="str">
        <x:v>Joyee</x:v>
      </x:c>
      <x:c r="C17" s="98" t="str">
        <x:v>Not present. Required for the integrated UI flow.</x:v>
      </x:c>
      <x:c r="D17" s="99" t="str">
        <x:v>Required for UI flow</x:v>
      </x:c>
      <x:c r="E17" s="82"/>
      <x:c r="F17" s="82"/>
      <x:c r="G17" s="82"/>
      <x:c r="H17" s="82"/>
    </x:row>
    <x:row r="18">
      <x:c r="A18" s="82"/>
      <x:c r="B18" s="82"/>
      <x:c r="C18" s="82"/>
      <x:c r="D18" s="82"/>
      <x:c r="E18" s="82"/>
      <x:c r="F18" s="82"/>
      <x:c r="G18" s="82"/>
      <x:c r="H18" s="82"/>
    </x:row>
    <x:row r="19">
      <x:c r="A19" s="100" t="str">
        <x:v>Repository verification basis</x:v>
      </x:c>
      <x:c r="B19" s="100"/>
      <x:c r="C19" s="100"/>
      <x:c r="D19" s="100"/>
      <x:c r="E19" s="100"/>
      <x:c r="F19" s="100"/>
      <x:c r="G19" s="100"/>
      <x:c r="H19" s="100"/>
    </x:row>
    <x:row r="20">
      <x:c r="A20" s="101" t="str">
        <x:v>WBS</x:v>
      </x:c>
      <x:c r="B20" s="101" t="str">
        <x:v>docs/project-management/work-breakdown-structure.md</x:v>
      </x:c>
      <x:c r="C20" s="101" t="str"/>
      <x:c r="D20" s="101" t="str"/>
      <x:c r="E20" s="101" t="str"/>
      <x:c r="F20" s="101" t="str"/>
      <x:c r="G20" s="101" t="str"/>
      <x:c r="H20" s="101" t="str"/>
    </x:row>
    <x:row r="21">
      <x:c r="A21" s="101" t="str">
        <x:v>Recommendation design</x:v>
      </x:c>
      <x:c r="B21" s="101" t="str">
        <x:v>docs/system-design/recommendation-scoring-design.md</x:v>
      </x:c>
      <x:c r="C21" s="101" t="str"/>
      <x:c r="D21" s="101" t="str"/>
      <x:c r="E21" s="101" t="str"/>
      <x:c r="F21" s="101" t="str"/>
      <x:c r="G21" s="101" t="str"/>
      <x:c r="H21" s="101" t="str"/>
    </x:row>
    <x:row r="22">
      <x:c r="A22" s="101" t="str">
        <x:v>Readiness design</x:v>
      </x:c>
      <x:c r="B22" s="101" t="str">
        <x:v>docs/system-design/readiness_scoring_design.md</x:v>
      </x:c>
      <x:c r="C22" s="101" t="str"/>
      <x:c r="D22" s="101" t="str"/>
      <x:c r="E22" s="101" t="str"/>
      <x:c r="F22" s="101" t="str"/>
      <x:c r="G22" s="101" t="str"/>
      <x:c r="H22" s="101" t="str"/>
    </x:row>
    <x:row r="23">
      <x:c r="A23" s="101" t="str">
        <x:v>Current services</x:v>
      </x:c>
      <x:c r="B23" s="101" t="str">
        <x:v>backend/careers/services/recommendation_scoring.py and readiness_scoring.py</x:v>
      </x:c>
      <x:c r="C23" s="101" t="str"/>
      <x:c r="D23" s="101" t="str"/>
      <x:c r="E23" s="101" t="str"/>
      <x:c r="F23" s="101" t="str"/>
      <x:c r="G23" s="101" t="str"/>
      <x:c r="H23" s="101" t="str"/>
    </x:row>
    <x:row r="24">
      <x:c r="A24" s="101" t="str">
        <x:v>Current API checkpoint</x:v>
      </x:c>
      <x:c r="B24" s="101" t="str">
        <x:v>backend/careers/views.py contains the default Django placeholder</x:v>
      </x:c>
      <x:c r="C24" s="101" t="str"/>
      <x:c r="D24" s="101" t="str"/>
      <x:c r="E24" s="101" t="str"/>
      <x:c r="F24" s="101" t="str"/>
      <x:c r="G24" s="101" t="str"/>
      <x:c r="H24" s="101" t="str"/>
    </x:row>
  </x:sheetData>
  <x:mergeCells>
    <x:mergeCell ref="A1:H1"/>
    <x:mergeCell ref="A11:H11"/>
    <x:mergeCell ref="A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8" hidden="0" customWidth="1"/>
    <x:col min="3" max="3" width="28" hidden="0" customWidth="1"/>
    <x:col min="4" max="4" width="16" hidden="0" customWidth="1"/>
    <x:col min="5" max="5" width="11" hidden="0" customWidth="1"/>
    <x:col min="6" max="6" width="28" hidden="0" customWidth="1"/>
    <x:col min="7" max="7" width="42" hidden="0" customWidth="1"/>
    <x:col min="8" max="8" width="34" hidden="0" customWidth="1"/>
    <x:col min="9" max="9" width="30" hidden="0" customWidth="1"/>
    <x:col min="10" max="10" width="38" hidden="0" customWidth="1"/>
    <x:col min="11" max="11" width="14" hidden="0" customWidth="1"/>
    <x:col min="12" max="12" width="12" hidden="0" customWidth="1"/>
    <x:col min="13" max="13" width="44" hidden="0" customWidth="1"/>
    <x:col min="14" max="14" width="14" hidden="0" customWidth="1"/>
    <x:col min="15" max="15" width="14" hidden="0" customWidth="1"/>
    <x:col min="16" max="16" width="28" hidden="0" customWidth="1"/>
    <x:col min="17" max="17" width="38" hidden="0" customWidth="1"/>
    <x:col min="18" max="18" width="20" hidden="0" customWidth="1"/>
    <x:col min="19" max="19" width="18" hidden="0" customWidth="1"/>
    <x:col min="20" max="20" width="32" hidden="0" customWidth="1"/>
  </x:cols>
  <x:sheetData>
    <x:row r="1" ht="36" customHeight="1">
      <x:c r="A1" s="128" t="str">
        <x:v>Test ID</x:v>
      </x:c>
      <x:c r="B1" s="129" t="str">
        <x:v>WBS</x:v>
      </x:c>
      <x:c r="C1" s="129" t="str">
        <x:v>Requirement</x:v>
      </x:c>
      <x:c r="D1" s="129" t="str">
        <x:v>Test Type</x:v>
      </x:c>
      <x:c r="E1" s="129" t="str">
        <x:v>Priority</x:v>
      </x:c>
      <x:c r="F1" s="129" t="str">
        <x:v>Area</x:v>
      </x:c>
      <x:c r="G1" s="129" t="str">
        <x:v>Test Case</x:v>
      </x:c>
      <x:c r="H1" s="129" t="str">
        <x:v>Preconditions</x:v>
      </x:c>
      <x:c r="I1" s="129" t="str">
        <x:v>Steps</x:v>
      </x:c>
      <x:c r="J1" s="129" t="str">
        <x:v>Expected Result</x:v>
      </x:c>
      <x:c r="K1" s="129" t="str">
        <x:v>Test Owner</x:v>
      </x:c>
      <x:c r="L1" s="129" t="str">
        <x:v>Status</x:v>
      </x:c>
      <x:c r="M1" s="129" t="str">
        <x:v>Actual Result</x:v>
      </x:c>
      <x:c r="N1" s="129" t="str">
        <x:v>Tester</x:v>
      </x:c>
      <x:c r="O1" s="129" t="str">
        <x:v>Evidence ID</x:v>
      </x:c>
      <x:c r="P1" s="129" t="str">
        <x:v>Evidence Reference</x:v>
      </x:c>
      <x:c r="Q1" s="129" t="str">
        <x:v>Blocked Dependency</x:v>
      </x:c>
      <x:c r="R1" s="129" t="str">
        <x:v>Defect Reference</x:v>
      </x:c>
      <x:c r="S1" s="129" t="str">
        <x:v>Automation</x:v>
      </x:c>
      <x:c r="T1" s="130" t="str">
        <x:v>Notes</x:v>
      </x:c>
    </x:row>
    <x:row r="2">
      <x:c r="A2" s="158" t="str">
        <x:v>S2-DATA-01</x:v>
      </x:c>
      <x:c r="B2" s="159" t="str">
        <x:v>5.2</x:v>
      </x:c>
      <x:c r="C2" s="159" t="str">
        <x:v>FR-03, FR-05</x:v>
      </x:c>
      <x:c r="D2" s="159" t="str">
        <x:v>Database</x:v>
      </x:c>
      <x:c r="E2" s="159" t="str">
        <x:v>Critical</x:v>
      </x:c>
      <x:c r="F2" s="159" t="str">
        <x:v>Reference Data</x:v>
      </x:c>
      <x:c r="G2" s="159" t="str">
        <x:v>Career reference data is available</x:v>
      </x:c>
      <x:c r="H2" s="159" t="str">
        <x:v>Dataset 1.0 loaded</x:v>
      </x:c>
      <x:c r="I2" s="159" t="str">
        <x:v>Query active Career records</x:v>
      </x:c>
      <x:c r="J2" s="159" t="str">
        <x:v>Active Career records are available</x:v>
      </x:c>
      <x:c r="K2" s="159" t="str">
        <x:v>Jerald</x:v>
      </x:c>
      <x:c r="L2" s="159" t="str">
        <x:v>Pass</x:v>
      </x:c>
      <x:c r="M2" s="159" t="str">
        <x:v>Dataset validation reported 36 active Careers</x:v>
      </x:c>
      <x:c r="N2" s="159" t="str"/>
      <x:c r="O2" s="159" t="str"/>
      <x:c r="P2" s="159" t="str"/>
      <x:c r="Q2" s="159" t="str"/>
      <x:c r="R2" s="159" t="str"/>
      <x:c r="S2" s="159" t="str">
        <x:v>Automated/Script</x:v>
      </x:c>
      <x:c r="T2" s="160" t="str"/>
    </x:row>
    <x:row r="3">
      <x:c r="A3" s="158" t="str">
        <x:v>S2-DATA-02</x:v>
      </x:c>
      <x:c r="B3" s="159" t="str">
        <x:v>5.2</x:v>
      </x:c>
      <x:c r="C3" s="159" t="str">
        <x:v>FR-03, FR-05</x:v>
      </x:c>
      <x:c r="D3" s="159" t="str">
        <x:v>Database</x:v>
      </x:c>
      <x:c r="E3" s="159" t="str">
        <x:v>Critical</x:v>
      </x:c>
      <x:c r="F3" s="159" t="str">
        <x:v>Reference Data</x:v>
      </x:c>
      <x:c r="G3" s="159" t="str">
        <x:v>Canonical Skill reference data is available</x:v>
      </x:c>
      <x:c r="H3" s="159" t="str">
        <x:v>Dataset 1.0 loaded</x:v>
      </x:c>
      <x:c r="I3" s="159" t="str">
        <x:v>Query Skills used by CareerSkill evidence</x:v>
      </x:c>
      <x:c r="J3" s="159" t="str">
        <x:v>Canonical Skills resolve through CareerSkill relationships</x:v>
      </x:c>
      <x:c r="K3" s="159" t="str">
        <x:v>Jerald</x:v>
      </x:c>
      <x:c r="L3" s="159" t="str">
        <x:v>Pass</x:v>
      </x:c>
      <x:c r="M3" s="159" t="str">
        <x:v>Canonical Skill IDs and names loaded</x:v>
      </x:c>
      <x:c r="N3" s="159" t="str"/>
      <x:c r="O3" s="159" t="str"/>
      <x:c r="P3" s="159" t="str"/>
      <x:c r="Q3" s="159" t="str"/>
      <x:c r="R3" s="159" t="str"/>
      <x:c r="S3" s="159" t="str">
        <x:v>Automated/Script</x:v>
      </x:c>
      <x:c r="T3" s="160" t="str"/>
    </x:row>
    <x:row r="4">
      <x:c r="A4" s="158" t="str">
        <x:v>S2-DATA-03</x:v>
      </x:c>
      <x:c r="B4" s="159" t="str">
        <x:v>5.2</x:v>
      </x:c>
      <x:c r="C4" s="159" t="str">
        <x:v>FR-03, FR-05</x:v>
      </x:c>
      <x:c r="D4" s="159" t="str">
        <x:v>Database</x:v>
      </x:c>
      <x:c r="E4" s="159" t="str">
        <x:v>High</x:v>
      </x:c>
      <x:c r="F4" s="159" t="str">
        <x:v>Reference Data</x:v>
      </x:c>
      <x:c r="G4" s="159" t="str">
        <x:v>CareerSkill evidence loads from active datasets</x:v>
      </x:c>
      <x:c r="H4" s="159" t="str">
        <x:v>Reference datasets loaded</x:v>
      </x:c>
      <x:c r="I4" s="159" t="str">
        <x:v>Load eligible evidence through scoring loaders</x:v>
      </x:c>
      <x:c r="J4" s="159" t="str">
        <x:v>Only eligible active source-backed evidence is returned</x:v>
      </x:c>
      <x:c r="K4" s="159" t="str">
        <x:v>Jerald</x:v>
      </x:c>
      <x:c r="L4" s="159" t="str">
        <x:v>Pass</x:v>
      </x:c>
      <x:c r="M4" s="159" t="str">
        <x:v>Eligibility filters passed automated tests</x:v>
      </x:c>
      <x:c r="N4" s="159" t="str"/>
      <x:c r="O4" s="159" t="str"/>
      <x:c r="P4" s="159" t="str"/>
      <x:c r="Q4" s="159" t="str"/>
      <x:c r="R4" s="159" t="str"/>
      <x:c r="S4" s="159" t="str">
        <x:v>Automated</x:v>
      </x:c>
      <x:c r="T4" s="160" t="str"/>
    </x:row>
    <x:row r="5">
      <x:c r="A5" s="158" t="str">
        <x:v>S2-DATA-04</x:v>
      </x:c>
      <x:c r="B5" s="159" t="str">
        <x:v>5.2</x:v>
      </x:c>
      <x:c r="C5" s="159" t="str">
        <x:v>NFR-08</x:v>
      </x:c>
      <x:c r="D5" s="159" t="str">
        <x:v>Database</x:v>
      </x:c>
      <x:c r="E5" s="159" t="str">
        <x:v>High</x:v>
      </x:c>
      <x:c r="F5" s="159" t="str">
        <x:v>Reference Data</x:v>
      </x:c>
      <x:c r="G5" s="159" t="str">
        <x:v>Duplicate readiness evidence does not silently double count</x:v>
      </x:c>
      <x:c r="H5" s="159" t="str">
        <x:v>Dataset loaded</x:v>
      </x:c>
      <x:c r="I5" s="159" t="str">
        <x:v>Check duplicate CareerSkill readiness requirements</x:v>
      </x:c>
      <x:c r="J5" s="159" t="str">
        <x:v>No duplicate readiness requirements</x:v>
      </x:c>
      <x:c r="K5" s="159" t="str">
        <x:v>Jerald</x:v>
      </x:c>
      <x:c r="L5" s="159" t="str">
        <x:v>Pass</x:v>
      </x:c>
      <x:c r="M5" s="159" t="str">
        <x:v>0 Careers with duplicate readiness requirements</x:v>
      </x:c>
      <x:c r="N5" s="159" t="str"/>
      <x:c r="O5" s="159" t="str"/>
      <x:c r="P5" s="159" t="str"/>
      <x:c r="Q5" s="159" t="str"/>
      <x:c r="R5" s="159" t="str"/>
      <x:c r="S5" s="159" t="str">
        <x:v>Automated/Script</x:v>
      </x:c>
      <x:c r="T5" s="160" t="str"/>
    </x:row>
    <x:row r="6">
      <x:c r="A6" s="158" t="str">
        <x:v>S2-DATA-05</x:v>
      </x:c>
      <x:c r="B6" s="159" t="str">
        <x:v>5.2</x:v>
      </x:c>
      <x:c r="C6" s="159" t="str">
        <x:v>FR-04</x:v>
      </x:c>
      <x:c r="D6" s="159" t="str">
        <x:v>Database</x:v>
      </x:c>
      <x:c r="E6" s="159" t="str">
        <x:v>High</x:v>
      </x:c>
      <x:c r="F6" s="159" t="str">
        <x:v>Reference Data</x:v>
      </x:c>
      <x:c r="G6" s="159" t="str">
        <x:v>O*NET and ESCO evidence roles stay separated</x:v>
      </x:c>
      <x:c r="H6" s="159" t="str">
        <x:v>Reference data loaded</x:v>
      </x:c>
      <x:c r="I6" s="159" t="str">
        <x:v>Inspect numerical and explanation loaders</x:v>
      </x:c>
      <x:c r="J6" s="159" t="str">
        <x:v>Numerical and explanation evidence keep intended roles</x:v>
      </x:c>
      <x:c r="K6" s="159" t="str">
        <x:v>Jerald</x:v>
      </x:c>
      <x:c r="L6" s="159" t="str">
        <x:v>Pass</x:v>
      </x:c>
      <x:c r="M6" s="159" t="str">
        <x:v>WBS 5.3 evidence separation tests passed</x:v>
      </x:c>
      <x:c r="N6" s="159" t="str"/>
      <x:c r="O6" s="159" t="str"/>
      <x:c r="P6" s="159" t="str"/>
      <x:c r="Q6" s="159" t="str"/>
      <x:c r="R6" s="159" t="str"/>
      <x:c r="S6" s="159" t="str">
        <x:v>Automated</x:v>
      </x:c>
      <x:c r="T6" s="160" t="str"/>
    </x:row>
    <x:row r="7">
      <x:c r="A7" s="158" t="str">
        <x:v>S2-DATA-06</x:v>
      </x:c>
      <x:c r="B7" s="159" t="str">
        <x:v>5.2</x:v>
      </x:c>
      <x:c r="C7" s="159" t="str">
        <x:v>NFR-08</x:v>
      </x:c>
      <x:c r="D7" s="159" t="str">
        <x:v>Database</x:v>
      </x:c>
      <x:c r="E7" s="159" t="str">
        <x:v>High</x:v>
      </x:c>
      <x:c r="F7" s="159" t="str">
        <x:v>Reference Data</x:v>
      </x:c>
      <x:c r="G7" s="159" t="str">
        <x:v>Read-only validation does not modify Dataset 1.0</x:v>
      </x:c>
      <x:c r="H7" s="159" t="str">
        <x:v>Baseline counts captured</x:v>
      </x:c>
      <x:c r="I7" s="159" t="str">
        <x:v>Run Dataset validation and compare counts</x:v>
      </x:c>
      <x:c r="J7" s="159" t="str">
        <x:v>Database counts remain unchanged</x:v>
      </x:c>
      <x:c r="K7" s="159" t="str">
        <x:v>Jerald</x:v>
      </x:c>
      <x:c r="L7" s="159" t="str">
        <x:v>Pass</x:v>
      </x:c>
      <x:c r="M7" s="159" t="str">
        <x:v>WBS 5.5 validation confirmed unchanged counts</x:v>
      </x:c>
      <x:c r="N7" s="159" t="str"/>
      <x:c r="O7" s="159" t="str"/>
      <x:c r="P7" s="159" t="str"/>
      <x:c r="Q7" s="159" t="str"/>
      <x:c r="R7" s="159" t="str"/>
      <x:c r="S7" s="159" t="str">
        <x:v>Automated/Script</x:v>
      </x:c>
      <x:c r="T7" s="160" t="str"/>
    </x:row>
    <x:row r="8">
      <x:c r="A8" s="158" t="str">
        <x:v>S2-DATA-07</x:v>
      </x:c>
      <x:c r="B8" s="159" t="str">
        <x:v>5.2</x:v>
      </x:c>
      <x:c r="C8" s="159" t="str">
        <x:v>NFR-07</x:v>
      </x:c>
      <x:c r="D8" s="159" t="str">
        <x:v>Regression</x:v>
      </x:c>
      <x:c r="E8" s="159" t="str">
        <x:v>Medium</x:v>
      </x:c>
      <x:c r="F8" s="159" t="str">
        <x:v>Reference Data</x:v>
      </x:c>
      <x:c r="G8" s="159" t="str">
        <x:v>Reference importer is repeatable</x:v>
      </x:c>
      <x:c r="H8" s="159" t="str">
        <x:v>Disposable test database available</x:v>
      </x:c>
      <x:c r="I8" s="159" t="str">
        <x:v>Run importer twice and compare rows</x:v>
      </x:c>
      <x:c r="J8" s="159" t="str">
        <x:v>Second import creates no unintended duplicates</x:v>
      </x:c>
      <x:c r="K8" s="159" t="str">
        <x:v>Shared</x:v>
      </x:c>
      <x:c r="L8" s="159" t="str">
        <x:v>Not Run</x:v>
      </x:c>
      <x:c r="M8" s="159" t="str"/>
      <x:c r="N8" s="159" t="str"/>
      <x:c r="O8" s="159" t="str"/>
      <x:c r="P8" s="159" t="str"/>
      <x:c r="Q8" s="159" t="str"/>
      <x:c r="R8" s="159" t="str"/>
      <x:c r="S8" s="159" t="str">
        <x:v>Automated/Manual</x:v>
      </x:c>
      <x:c r="T8" s="160" t="str"/>
    </x:row>
    <x:row r="9">
      <x:c r="A9" s="158" t="str">
        <x:v>S2-DATA-08</x:v>
      </x:c>
      <x:c r="B9" s="159" t="str">
        <x:v>5.2</x:v>
      </x:c>
      <x:c r="C9" s="159" t="str">
        <x:v>NFR-06</x:v>
      </x:c>
      <x:c r="D9" s="159" t="str">
        <x:v>Security</x:v>
      </x:c>
      <x:c r="E9" s="159" t="str">
        <x:v>Medium</x:v>
      </x:c>
      <x:c r="F9" s="159" t="str">
        <x:v>Reference Data</x:v>
      </x:c>
      <x:c r="G9" s="159" t="str">
        <x:v>Student flow does not modify shared reference data</x:v>
      </x:c>
      <x:c r="H9" s="159" t="str">
        <x:v>Authenticated Student available</x:v>
      </x:c>
      <x:c r="I9" s="159" t="str">
        <x:v>Use Student flow then recheck shared records</x:v>
      </x:c>
      <x:c r="J9" s="159" t="str">
        <x:v>Shared Career and Skill records remain unchanged</x:v>
      </x:c>
      <x:c r="K9" s="159" t="str">
        <x:v>Shared</x:v>
      </x:c>
      <x:c r="L9" s="159" t="str">
        <x:v>Not Run</x:v>
      </x:c>
      <x:c r="M9" s="159" t="str"/>
      <x:c r="N9" s="159" t="str"/>
      <x:c r="O9" s="159" t="str"/>
      <x:c r="P9" s="159" t="str"/>
      <x:c r="Q9" s="159" t="str"/>
      <x:c r="R9" s="159" t="str"/>
      <x:c r="S9" s="159" t="str">
        <x:v>Manual</x:v>
      </x:c>
      <x:c r="T9" s="160" t="str"/>
    </x:row>
    <x:row r="10">
      <x:c r="A10" s="158" t="str">
        <x:v>S2-REC-01</x:v>
      </x:c>
      <x:c r="B10" s="159" t="str">
        <x:v>5.3</x:v>
      </x:c>
      <x:c r="C10" s="159" t="str">
        <x:v>FR-03, FR-04, NFR-08, NFR-09</x:v>
      </x:c>
      <x:c r="D10" s="159" t="str">
        <x:v>Unit</x:v>
      </x:c>
      <x:c r="E10" s="159" t="str">
        <x:v>Critical</x:v>
      </x:c>
      <x:c r="F10" s="159" t="str">
        <x:v>Recommendation Engine</x:v>
      </x:c>
      <x:c r="G10" s="159" t="str">
        <x:v>Full Skill match returns 100.00</x:v>
      </x:c>
      <x:c r="H10" s="159" t="str">
        <x:v>WBS 5.3 service available</x:v>
      </x:c>
      <x:c r="I10" s="159" t="str">
        <x:v>Run automated fixture</x:v>
      </x:c>
      <x:c r="J10" s="159" t="str">
        <x:v>Full weighted match produces 100.00</x:v>
      </x:c>
      <x:c r="K10" s="159" t="str">
        <x:v>Jerald</x:v>
      </x:c>
      <x:c r="L10" s="159" t="str">
        <x:v>Pass</x:v>
      </x:c>
      <x:c r="M10" s="159" t="str">
        <x:v>Covered by WBS 5.3 automated tests</x:v>
      </x:c>
      <x:c r="N10" s="159" t="str"/>
      <x:c r="O10" s="159" t="str"/>
      <x:c r="P10" s="159" t="str"/>
      <x:c r="Q10" s="159" t="str"/>
      <x:c r="R10" s="159" t="str"/>
      <x:c r="S10" s="159" t="str">
        <x:v>Automated</x:v>
      </x:c>
      <x:c r="T10" s="160" t="str"/>
    </x:row>
    <x:row r="11">
      <x:c r="A11" s="158" t="str">
        <x:v>S2-REC-02</x:v>
      </x:c>
      <x:c r="B11" s="159" t="str">
        <x:v>5.3</x:v>
      </x:c>
      <x:c r="C11" s="159" t="str">
        <x:v>FR-03, FR-04, NFR-08, NFR-09</x:v>
      </x:c>
      <x:c r="D11" s="159" t="str">
        <x:v>Unit</x:v>
      </x:c>
      <x:c r="E11" s="159" t="str">
        <x:v>Critical</x:v>
      </x:c>
      <x:c r="F11" s="159" t="str">
        <x:v>Recommendation Engine</x:v>
      </x:c>
      <x:c r="G11" s="159" t="str">
        <x:v>Partial Skill match uses Importance weighting</x:v>
      </x:c>
      <x:c r="H11" s="159" t="str">
        <x:v>WBS 5.3 service available</x:v>
      </x:c>
      <x:c r="I11" s="159" t="str">
        <x:v>Run automated fixture</x:v>
      </x:c>
      <x:c r="J11" s="159" t="str">
        <x:v>Score matches approved weighted ratio</x:v>
      </x:c>
      <x:c r="K11" s="159" t="str">
        <x:v>Jerald</x:v>
      </x:c>
      <x:c r="L11" s="159" t="str">
        <x:v>Pass</x:v>
      </x:c>
      <x:c r="M11" s="159" t="str">
        <x:v>Covered by WBS 5.3 automated tests</x:v>
      </x:c>
      <x:c r="N11" s="159" t="str"/>
      <x:c r="O11" s="159" t="str"/>
      <x:c r="P11" s="159" t="str"/>
      <x:c r="Q11" s="159" t="str"/>
      <x:c r="R11" s="159" t="str"/>
      <x:c r="S11" s="159" t="str">
        <x:v>Automated</x:v>
      </x:c>
      <x:c r="T11" s="160" t="str"/>
    </x:row>
    <x:row r="12">
      <x:c r="A12" s="158" t="str">
        <x:v>S2-REC-03</x:v>
      </x:c>
      <x:c r="B12" s="159" t="str">
        <x:v>5.3</x:v>
      </x:c>
      <x:c r="C12" s="159" t="str">
        <x:v>FR-03, FR-04, NFR-08, NFR-09</x:v>
      </x:c>
      <x:c r="D12" s="159" t="str">
        <x:v>Unit</x:v>
      </x:c>
      <x:c r="E12" s="159" t="str">
        <x:v>Critical</x:v>
      </x:c>
      <x:c r="F12" s="159" t="str">
        <x:v>Recommendation Engine</x:v>
      </x:c>
      <x:c r="G12" s="159" t="str">
        <x:v>No matching Skills returns scored zero</x:v>
      </x:c>
      <x:c r="H12" s="159" t="str">
        <x:v>WBS 5.3 service available</x:v>
      </x:c>
      <x:c r="I12" s="159" t="str">
        <x:v>Run automated fixture</x:v>
      </x:c>
      <x:c r="J12" s="159" t="str">
        <x:v>Documented unrelated Skills produce 0.00</x:v>
      </x:c>
      <x:c r="K12" s="159" t="str">
        <x:v>Jerald</x:v>
      </x:c>
      <x:c r="L12" s="159" t="str">
        <x:v>Pass</x:v>
      </x:c>
      <x:c r="M12" s="159" t="str">
        <x:v>Covered by WBS 5.3 automated tests</x:v>
      </x:c>
      <x:c r="N12" s="159" t="str"/>
      <x:c r="O12" s="159" t="str"/>
      <x:c r="P12" s="159" t="str"/>
      <x:c r="Q12" s="159" t="str"/>
      <x:c r="R12" s="159" t="str"/>
      <x:c r="S12" s="159" t="str">
        <x:v>Automated</x:v>
      </x:c>
      <x:c r="T12" s="160" t="str"/>
    </x:row>
    <x:row r="13">
      <x:c r="A13" s="158" t="str">
        <x:v>S2-REC-04</x:v>
      </x:c>
      <x:c r="B13" s="159" t="str">
        <x:v>5.3</x:v>
      </x:c>
      <x:c r="C13" s="159" t="str">
        <x:v>FR-03, FR-04, NFR-08, NFR-09</x:v>
      </x:c>
      <x:c r="D13" s="159" t="str">
        <x:v>Unit</x:v>
      </x:c>
      <x:c r="E13" s="159" t="str">
        <x:v>Critical</x:v>
      </x:c>
      <x:c r="F13" s="159" t="str">
        <x:v>Recommendation Engine</x:v>
      </x:c>
      <x:c r="G13" s="159" t="str">
        <x:v>Empty Student Skill profile is controlled</x:v>
      </x:c>
      <x:c r="H13" s="159" t="str">
        <x:v>WBS 5.3 service available</x:v>
      </x:c>
      <x:c r="I13" s="159" t="str">
        <x:v>Run automated fixture</x:v>
      </x:c>
      <x:c r="J13" s="159" t="str">
        <x:v>Null score with insufficient_profile</x:v>
      </x:c>
      <x:c r="K13" s="159" t="str">
        <x:v>Jerald</x:v>
      </x:c>
      <x:c r="L13" s="159" t="str">
        <x:v>Pass</x:v>
      </x:c>
      <x:c r="M13" s="159" t="str">
        <x:v>Covered by WBS 5.3 automated tests</x:v>
      </x:c>
      <x:c r="N13" s="159" t="str"/>
      <x:c r="O13" s="159" t="str"/>
      <x:c r="P13" s="159" t="str"/>
      <x:c r="Q13" s="159" t="str"/>
      <x:c r="R13" s="159" t="str"/>
      <x:c r="S13" s="159" t="str">
        <x:v>Automated</x:v>
      </x:c>
      <x:c r="T13" s="160" t="str"/>
    </x:row>
    <x:row r="14">
      <x:c r="A14" s="158" t="str">
        <x:v>S2-REC-05</x:v>
      </x:c>
      <x:c r="B14" s="159" t="str">
        <x:v>5.3</x:v>
      </x:c>
      <x:c r="C14" s="159" t="str">
        <x:v>FR-03, FR-04, NFR-08, NFR-09</x:v>
      </x:c>
      <x:c r="D14" s="159" t="str">
        <x:v>Unit</x:v>
      </x:c>
      <x:c r="E14" s="159" t="str">
        <x:v>High</x:v>
      </x:c>
      <x:c r="F14" s="159" t="str">
        <x:v>Recommendation Engine</x:v>
      </x:c>
      <x:c r="G14" s="159" t="str">
        <x:v>Career without numerical evidence is controlled</x:v>
      </x:c>
      <x:c r="H14" s="159" t="str">
        <x:v>WBS 5.3 service available</x:v>
      </x:c>
      <x:c r="I14" s="159" t="str">
        <x:v>Run automated fixture</x:v>
      </x:c>
      <x:c r="J14" s="159" t="str">
        <x:v>Null score with insufficient_evidence</x:v>
      </x:c>
      <x:c r="K14" s="159" t="str">
        <x:v>Jerald</x:v>
      </x:c>
      <x:c r="L14" s="159" t="str">
        <x:v>Pass</x:v>
      </x:c>
      <x:c r="M14" s="159" t="str">
        <x:v>Covered by WBS 5.3 automated tests</x:v>
      </x:c>
      <x:c r="N14" s="159" t="str"/>
      <x:c r="O14" s="159" t="str"/>
      <x:c r="P14" s="159" t="str"/>
      <x:c r="Q14" s="159" t="str"/>
      <x:c r="R14" s="159" t="str"/>
      <x:c r="S14" s="159" t="str">
        <x:v>Automated</x:v>
      </x:c>
      <x:c r="T14" s="160" t="str"/>
    </x:row>
    <x:row r="15">
      <x:c r="A15" s="158" t="str">
        <x:v>S2-REC-06</x:v>
      </x:c>
      <x:c r="B15" s="159" t="str">
        <x:v>5.3</x:v>
      </x:c>
      <x:c r="C15" s="159" t="str">
        <x:v>FR-03, FR-04, NFR-08, NFR-09</x:v>
      </x:c>
      <x:c r="D15" s="159" t="str">
        <x:v>Unit</x:v>
      </x:c>
      <x:c r="E15" s="159" t="str">
        <x:v>High</x:v>
      </x:c>
      <x:c r="F15" s="159" t="str">
        <x:v>Recommendation Engine</x:v>
      </x:c>
      <x:c r="G15" s="159" t="str">
        <x:v>Duplicate Student Skill IDs do not double count</x:v>
      </x:c>
      <x:c r="H15" s="159" t="str">
        <x:v>WBS 5.3 service available</x:v>
      </x:c>
      <x:c r="I15" s="159" t="str">
        <x:v>Run automated fixture</x:v>
      </x:c>
      <x:c r="J15" s="159" t="str">
        <x:v>Each canonical Skill counts once</x:v>
      </x:c>
      <x:c r="K15" s="159" t="str">
        <x:v>Jerald</x:v>
      </x:c>
      <x:c r="L15" s="159" t="str">
        <x:v>Pass</x:v>
      </x:c>
      <x:c r="M15" s="159" t="str">
        <x:v>Covered by WBS 5.3 automated tests</x:v>
      </x:c>
      <x:c r="N15" s="159" t="str"/>
      <x:c r="O15" s="159" t="str"/>
      <x:c r="P15" s="159" t="str"/>
      <x:c r="Q15" s="159" t="str"/>
      <x:c r="R15" s="159" t="str"/>
      <x:c r="S15" s="159" t="str">
        <x:v>Automated</x:v>
      </x:c>
      <x:c r="T15" s="160" t="str"/>
    </x:row>
    <x:row r="16">
      <x:c r="A16" s="158" t="str">
        <x:v>S2-REC-07</x:v>
      </x:c>
      <x:c r="B16" s="159" t="str">
        <x:v>5.3</x:v>
      </x:c>
      <x:c r="C16" s="159" t="str">
        <x:v>FR-03, FR-04, NFR-08, NFR-09</x:v>
      </x:c>
      <x:c r="D16" s="159" t="str">
        <x:v>Unit</x:v>
      </x:c>
      <x:c r="E16" s="159" t="str">
        <x:v>High</x:v>
      </x:c>
      <x:c r="F16" s="159" t="str">
        <x:v>Recommendation Engine</x:v>
      </x:c>
      <x:c r="G16" s="159" t="str">
        <x:v>Duplicate CareerSkill evidence is rejected</x:v>
      </x:c>
      <x:c r="H16" s="159" t="str">
        <x:v>WBS 5.3 service available</x:v>
      </x:c>
      <x:c r="I16" s="159" t="str">
        <x:v>Run automated fixture</x:v>
      </x:c>
      <x:c r="J16" s="159" t="str">
        <x:v>Duplicate evidence cannot increase weight</x:v>
      </x:c>
      <x:c r="K16" s="159" t="str">
        <x:v>Jerald</x:v>
      </x:c>
      <x:c r="L16" s="159" t="str">
        <x:v>Pass</x:v>
      </x:c>
      <x:c r="M16" s="159" t="str">
        <x:v>Covered by WBS 5.3 automated tests</x:v>
      </x:c>
      <x:c r="N16" s="159" t="str"/>
      <x:c r="O16" s="159" t="str"/>
      <x:c r="P16" s="159" t="str"/>
      <x:c r="Q16" s="159" t="str"/>
      <x:c r="R16" s="159" t="str"/>
      <x:c r="S16" s="159" t="str">
        <x:v>Automated</x:v>
      </x:c>
      <x:c r="T16" s="160" t="str"/>
    </x:row>
    <x:row r="17">
      <x:c r="A17" s="158" t="str">
        <x:v>S2-REC-08</x:v>
      </x:c>
      <x:c r="B17" s="159" t="str">
        <x:v>5.3</x:v>
      </x:c>
      <x:c r="C17" s="159" t="str">
        <x:v>FR-03, FR-04, NFR-08, NFR-09</x:v>
      </x:c>
      <x:c r="D17" s="159" t="str">
        <x:v>Unit</x:v>
      </x:c>
      <x:c r="E17" s="159" t="str">
        <x:v>High</x:v>
      </x:c>
      <x:c r="F17" s="159" t="str">
        <x:v>Recommendation Engine</x:v>
      </x:c>
      <x:c r="G17" s="159" t="str">
        <x:v>Recommendation ranking is deterministic</x:v>
      </x:c>
      <x:c r="H17" s="159" t="str">
        <x:v>WBS 5.3 service available</x:v>
      </x:c>
      <x:c r="I17" s="159" t="str">
        <x:v>Run automated fixture</x:v>
      </x:c>
      <x:c r="J17" s="159" t="str">
        <x:v>Same inputs produce same order</x:v>
      </x:c>
      <x:c r="K17" s="159" t="str">
        <x:v>Jerald</x:v>
      </x:c>
      <x:c r="L17" s="159" t="str">
        <x:v>Pass</x:v>
      </x:c>
      <x:c r="M17" s="159" t="str">
        <x:v>Covered by WBS 5.3 automated tests</x:v>
      </x:c>
      <x:c r="N17" s="159" t="str"/>
      <x:c r="O17" s="159" t="str"/>
      <x:c r="P17" s="159" t="str"/>
      <x:c r="Q17" s="159" t="str"/>
      <x:c r="R17" s="159" t="str"/>
      <x:c r="S17" s="159" t="str">
        <x:v>Automated</x:v>
      </x:c>
      <x:c r="T17" s="160" t="str"/>
    </x:row>
    <x:row r="18">
      <x:c r="A18" s="158" t="str">
        <x:v>S2-REC-09</x:v>
      </x:c>
      <x:c r="B18" s="159" t="str">
        <x:v>5.3</x:v>
      </x:c>
      <x:c r="C18" s="159" t="str">
        <x:v>FR-03, FR-04, NFR-08, NFR-09</x:v>
      </x:c>
      <x:c r="D18" s="159" t="str">
        <x:v>Unit</x:v>
      </x:c>
      <x:c r="E18" s="159" t="str">
        <x:v>High</x:v>
      </x:c>
      <x:c r="F18" s="159" t="str">
        <x:v>Recommendation Engine</x:v>
      </x:c>
      <x:c r="G18" s="159" t="str">
        <x:v>Tie handling follows stable rule</x:v>
      </x:c>
      <x:c r="H18" s="159" t="str">
        <x:v>WBS 5.3 service available</x:v>
      </x:c>
      <x:c r="I18" s="159" t="str">
        <x:v>Run automated fixture</x:v>
      </x:c>
      <x:c r="J18" s="159" t="str">
        <x:v>Equal ratios resolve by stable rule</x:v>
      </x:c>
      <x:c r="K18" s="159" t="str">
        <x:v>Jerald</x:v>
      </x:c>
      <x:c r="L18" s="159" t="str">
        <x:v>Pass</x:v>
      </x:c>
      <x:c r="M18" s="159" t="str">
        <x:v>Covered by WBS 5.3 automated tests</x:v>
      </x:c>
      <x:c r="N18" s="159" t="str"/>
      <x:c r="O18" s="159" t="str"/>
      <x:c r="P18" s="159" t="str"/>
      <x:c r="Q18" s="159" t="str"/>
      <x:c r="R18" s="159" t="str"/>
      <x:c r="S18" s="159" t="str">
        <x:v>Automated</x:v>
      </x:c>
      <x:c r="T18" s="160" t="str"/>
    </x:row>
    <x:row r="19">
      <x:c r="A19" s="158" t="str">
        <x:v>S2-REC-10</x:v>
      </x:c>
      <x:c r="B19" s="159" t="str">
        <x:v>5.3</x:v>
      </x:c>
      <x:c r="C19" s="159" t="str">
        <x:v>FR-03, FR-04, NFR-08, NFR-09</x:v>
      </x:c>
      <x:c r="D19" s="159" t="str">
        <x:v>Unit</x:v>
      </x:c>
      <x:c r="E19" s="159" t="str">
        <x:v>Medium</x:v>
      </x:c>
      <x:c r="F19" s="159" t="str">
        <x:v>Recommendation Engine</x:v>
      </x:c>
      <x:c r="G19" s="159" t="str">
        <x:v>Explanation evidence does not modify numerical rank</x:v>
      </x:c>
      <x:c r="H19" s="159" t="str">
        <x:v>WBS 5.3 service available</x:v>
      </x:c>
      <x:c r="I19" s="159" t="str">
        <x:v>Run automated fixture</x:v>
      </x:c>
      <x:c r="J19" s="159" t="str">
        <x:v>Explanation enriches result only</x:v>
      </x:c>
      <x:c r="K19" s="159" t="str">
        <x:v>Jerald</x:v>
      </x:c>
      <x:c r="L19" s="159" t="str">
        <x:v>Pass</x:v>
      </x:c>
      <x:c r="M19" s="159" t="str">
        <x:v>Covered by WBS 5.3 automated tests</x:v>
      </x:c>
      <x:c r="N19" s="159" t="str"/>
      <x:c r="O19" s="159" t="str"/>
      <x:c r="P19" s="159" t="str"/>
      <x:c r="Q19" s="159" t="str"/>
      <x:c r="R19" s="159" t="str"/>
      <x:c r="S19" s="159" t="str">
        <x:v>Automated</x:v>
      </x:c>
      <x:c r="T19" s="160" t="str"/>
    </x:row>
    <x:row r="20">
      <x:c r="A20" s="158" t="str">
        <x:v>S2-API-01</x:v>
      </x:c>
      <x:c r="B20" s="159" t="str">
        <x:v>5.4</x:v>
      </x:c>
      <x:c r="C20" s="159" t="str">
        <x:v>FR-03, FR-04, NFR-05, NFR-06, NFR-08</x:v>
      </x:c>
      <x:c r="D20" s="159" t="str">
        <x:v>API</x:v>
      </x:c>
      <x:c r="E20" s="159" t="str">
        <x:v>Critical</x:v>
      </x:c>
      <x:c r="F20" s="159" t="str">
        <x:v>Career Recommendation API</x:v>
      </x:c>
      <x:c r="G20" s="159" t="str">
        <x:v>Authenticated Student receives recommendations</x:v>
      </x:c>
      <x:c r="H20" s="159" t="str">
        <x:v>WBS 5.4 merged</x:v>
      </x:c>
      <x:c r="I20" s="159" t="str">
        <x:v>Call merged endpoint</x:v>
      </x:c>
      <x:c r="J20" s="159" t="str">
        <x:v>Structured ranked results returned</x:v>
      </x:c>
      <x:c r="K20" s="159" t="str">
        <x:v>MD</x:v>
      </x:c>
      <x:c r="L20" s="159" t="str">
        <x:v>Blocked</x:v>
      </x:c>
      <x:c r="M20" s="159" t="str"/>
      <x:c r="N20" s="159" t="str"/>
      <x:c r="O20" s="159" t="str"/>
      <x:c r="P20" s="159" t="str"/>
      <x:c r="Q20" s="159" t="str">
        <x:v>WBS 5.4 merged Career Recommendation API required</x:v>
      </x:c>
      <x:c r="R20" s="159" t="str"/>
      <x:c r="S20" s="159" t="str">
        <x:v>Automated/Manual</x:v>
      </x:c>
      <x:c r="T20" s="160" t="str"/>
    </x:row>
    <x:row r="21">
      <x:c r="A21" s="158" t="str">
        <x:v>S2-API-02</x:v>
      </x:c>
      <x:c r="B21" s="159" t="str">
        <x:v>5.4</x:v>
      </x:c>
      <x:c r="C21" s="159" t="str">
        <x:v>FR-03, FR-04, NFR-05, NFR-06, NFR-08</x:v>
      </x:c>
      <x:c r="D21" s="159" t="str">
        <x:v>API</x:v>
      </x:c>
      <x:c r="E21" s="159" t="str">
        <x:v>Critical</x:v>
      </x:c>
      <x:c r="F21" s="159" t="str">
        <x:v>Career Recommendation API</x:v>
      </x:c>
      <x:c r="G21" s="159" t="str">
        <x:v>Unauthenticated request is rejected</x:v>
      </x:c>
      <x:c r="H21" s="159" t="str">
        <x:v>WBS 5.4 merged</x:v>
      </x:c>
      <x:c r="I21" s="159" t="str">
        <x:v>Call merged endpoint</x:v>
      </x:c>
      <x:c r="J21" s="159" t="str">
        <x:v>Protected endpoint response returned</x:v>
      </x:c>
      <x:c r="K21" s="159" t="str">
        <x:v>MD</x:v>
      </x:c>
      <x:c r="L21" s="159" t="str">
        <x:v>Blocked</x:v>
      </x:c>
      <x:c r="M21" s="159" t="str"/>
      <x:c r="N21" s="159" t="str"/>
      <x:c r="O21" s="159" t="str"/>
      <x:c r="P21" s="159" t="str"/>
      <x:c r="Q21" s="159" t="str">
        <x:v>WBS 5.4 merged Career Recommendation API required</x:v>
      </x:c>
      <x:c r="R21" s="159" t="str"/>
      <x:c r="S21" s="159" t="str">
        <x:v>Automated/Manual</x:v>
      </x:c>
      <x:c r="T21" s="160" t="str"/>
    </x:row>
    <x:row r="22">
      <x:c r="A22" s="158" t="str">
        <x:v>S2-API-03</x:v>
      </x:c>
      <x:c r="B22" s="159" t="str">
        <x:v>5.4</x:v>
      </x:c>
      <x:c r="C22" s="159" t="str">
        <x:v>FR-03, FR-04, NFR-05, NFR-06, NFR-08</x:v>
      </x:c>
      <x:c r="D22" s="159" t="str">
        <x:v>API</x:v>
      </x:c>
      <x:c r="E22" s="159" t="str">
        <x:v>Critical</x:v>
      </x:c>
      <x:c r="F22" s="159" t="str">
        <x:v>Career Recommendation API</x:v>
      </x:c>
      <x:c r="G22" s="159" t="str">
        <x:v>API uses authenticated Student Profile</x:v>
      </x:c>
      <x:c r="H22" s="159" t="str">
        <x:v>WBS 5.4 merged</x:v>
      </x:c>
      <x:c r="I22" s="159" t="str">
        <x:v>Call merged endpoint</x:v>
      </x:c>
      <x:c r="J22" s="159" t="str">
        <x:v>Student A data only</x:v>
      </x:c>
      <x:c r="K22" s="159" t="str">
        <x:v>MD</x:v>
      </x:c>
      <x:c r="L22" s="159" t="str">
        <x:v>Blocked</x:v>
      </x:c>
      <x:c r="M22" s="159" t="str"/>
      <x:c r="N22" s="159" t="str"/>
      <x:c r="O22" s="159" t="str"/>
      <x:c r="P22" s="159" t="str"/>
      <x:c r="Q22" s="159" t="str">
        <x:v>WBS 5.4 merged Career Recommendation API required</x:v>
      </x:c>
      <x:c r="R22" s="159" t="str"/>
      <x:c r="S22" s="159" t="str">
        <x:v>Automated/Manual</x:v>
      </x:c>
      <x:c r="T22" s="160" t="str"/>
    </x:row>
    <x:row r="23">
      <x:c r="A23" s="158" t="str">
        <x:v>S2-API-04</x:v>
      </x:c>
      <x:c r="B23" s="159" t="str">
        <x:v>5.4</x:v>
      </x:c>
      <x:c r="C23" s="159" t="str">
        <x:v>FR-03, FR-04, NFR-05, NFR-06, NFR-08</x:v>
      </x:c>
      <x:c r="D23" s="159" t="str">
        <x:v>API</x:v>
      </x:c>
      <x:c r="E23" s="159" t="str">
        <x:v>Critical</x:v>
      </x:c>
      <x:c r="F23" s="159" t="str">
        <x:v>Career Recommendation API</x:v>
      </x:c>
      <x:c r="G23" s="159" t="str">
        <x:v>API preserves service ranking order</x:v>
      </x:c>
      <x:c r="H23" s="159" t="str">
        <x:v>WBS 5.4 merged</x:v>
      </x:c>
      <x:c r="I23" s="159" t="str">
        <x:v>Call merged endpoint</x:v>
      </x:c>
      <x:c r="J23" s="159" t="str">
        <x:v>Serialized order matches service</x:v>
      </x:c>
      <x:c r="K23" s="159" t="str">
        <x:v>MD</x:v>
      </x:c>
      <x:c r="L23" s="159" t="str">
        <x:v>Blocked</x:v>
      </x:c>
      <x:c r="M23" s="159" t="str"/>
      <x:c r="N23" s="159" t="str"/>
      <x:c r="O23" s="159" t="str"/>
      <x:c r="P23" s="159" t="str"/>
      <x:c r="Q23" s="159" t="str">
        <x:v>WBS 5.4 merged Career Recommendation API required</x:v>
      </x:c>
      <x:c r="R23" s="159" t="str"/>
      <x:c r="S23" s="159" t="str">
        <x:v>Automated/Manual</x:v>
      </x:c>
      <x:c r="T23" s="160" t="str"/>
    </x:row>
    <x:row r="24">
      <x:c r="A24" s="158" t="str">
        <x:v>S2-API-05</x:v>
      </x:c>
      <x:c r="B24" s="159" t="str">
        <x:v>5.4</x:v>
      </x:c>
      <x:c r="C24" s="159" t="str">
        <x:v>FR-03, FR-04, NFR-05, NFR-06, NFR-08</x:v>
      </x:c>
      <x:c r="D24" s="159" t="str">
        <x:v>API</x:v>
      </x:c>
      <x:c r="E24" s="159" t="str">
        <x:v>Critical</x:v>
      </x:c>
      <x:c r="F24" s="159" t="str">
        <x:v>Career Recommendation API</x:v>
      </x:c>
      <x:c r="G24" s="159" t="str">
        <x:v>API serializes score and rank</x:v>
      </x:c>
      <x:c r="H24" s="159" t="str">
        <x:v>WBS 5.4 merged</x:v>
      </x:c>
      <x:c r="I24" s="159" t="str">
        <x:v>Call merged endpoint</x:v>
      </x:c>
      <x:c r="J24" s="159" t="str">
        <x:v>Fields match service result</x:v>
      </x:c>
      <x:c r="K24" s="159" t="str">
        <x:v>MD</x:v>
      </x:c>
      <x:c r="L24" s="159" t="str">
        <x:v>Blocked</x:v>
      </x:c>
      <x:c r="M24" s="159" t="str"/>
      <x:c r="N24" s="159" t="str"/>
      <x:c r="O24" s="159" t="str"/>
      <x:c r="P24" s="159" t="str"/>
      <x:c r="Q24" s="159" t="str">
        <x:v>WBS 5.4 merged Career Recommendation API required</x:v>
      </x:c>
      <x:c r="R24" s="159" t="str"/>
      <x:c r="S24" s="159" t="str">
        <x:v>Automated/Manual</x:v>
      </x:c>
      <x:c r="T24" s="160" t="str"/>
    </x:row>
    <x:row r="25">
      <x:c r="A25" s="158" t="str">
        <x:v>S2-API-06</x:v>
      </x:c>
      <x:c r="B25" s="159" t="str">
        <x:v>5.4</x:v>
      </x:c>
      <x:c r="C25" s="159" t="str">
        <x:v>FR-03, FR-04, NFR-05, NFR-06, NFR-08</x:v>
      </x:c>
      <x:c r="D25" s="159" t="str">
        <x:v>API</x:v>
      </x:c>
      <x:c r="E25" s="159" t="str">
        <x:v>High</x:v>
      </x:c>
      <x:c r="F25" s="159" t="str">
        <x:v>Career Recommendation API</x:v>
      </x:c>
      <x:c r="G25" s="159" t="str">
        <x:v>API serializes explanation</x:v>
      </x:c>
      <x:c r="H25" s="159" t="str">
        <x:v>WBS 5.4 merged</x:v>
      </x:c>
      <x:c r="I25" s="159" t="str">
        <x:v>Call merged endpoint</x:v>
      </x:c>
      <x:c r="J25" s="159" t="str">
        <x:v>Approved explanation fields returned</x:v>
      </x:c>
      <x:c r="K25" s="159" t="str">
        <x:v>MD</x:v>
      </x:c>
      <x:c r="L25" s="159" t="str">
        <x:v>Blocked</x:v>
      </x:c>
      <x:c r="M25" s="159" t="str"/>
      <x:c r="N25" s="159" t="str"/>
      <x:c r="O25" s="159" t="str"/>
      <x:c r="P25" s="159" t="str"/>
      <x:c r="Q25" s="159" t="str">
        <x:v>WBS 5.4 merged Career Recommendation API required</x:v>
      </x:c>
      <x:c r="R25" s="159" t="str"/>
      <x:c r="S25" s="159" t="str">
        <x:v>Automated/Manual</x:v>
      </x:c>
      <x:c r="T25" s="160" t="str"/>
    </x:row>
    <x:row r="26">
      <x:c r="A26" s="158" t="str">
        <x:v>S2-API-07</x:v>
      </x:c>
      <x:c r="B26" s="159" t="str">
        <x:v>5.4</x:v>
      </x:c>
      <x:c r="C26" s="159" t="str">
        <x:v>FR-03, FR-04, NFR-05, NFR-06, NFR-08</x:v>
      </x:c>
      <x:c r="D26" s="159" t="str">
        <x:v>API</x:v>
      </x:c>
      <x:c r="E26" s="159" t="str">
        <x:v>High</x:v>
      </x:c>
      <x:c r="F26" s="159" t="str">
        <x:v>Career Recommendation API</x:v>
      </x:c>
      <x:c r="G26" s="159" t="str">
        <x:v>Empty Student Skill profile is controlled</x:v>
      </x:c>
      <x:c r="H26" s="159" t="str">
        <x:v>WBS 5.4 merged</x:v>
      </x:c>
      <x:c r="I26" s="159" t="str">
        <x:v>Call merged endpoint</x:v>
      </x:c>
      <x:c r="J26" s="159" t="str">
        <x:v>Controlled insufficient-profile response</x:v>
      </x:c>
      <x:c r="K26" s="159" t="str">
        <x:v>MD</x:v>
      </x:c>
      <x:c r="L26" s="159" t="str">
        <x:v>Blocked</x:v>
      </x:c>
      <x:c r="M26" s="159" t="str"/>
      <x:c r="N26" s="159" t="str"/>
      <x:c r="O26" s="159" t="str"/>
      <x:c r="P26" s="159" t="str"/>
      <x:c r="Q26" s="159" t="str">
        <x:v>WBS 5.4 merged Career Recommendation API required</x:v>
      </x:c>
      <x:c r="R26" s="159" t="str"/>
      <x:c r="S26" s="159" t="str">
        <x:v>Automated/Manual</x:v>
      </x:c>
      <x:c r="T26" s="160" t="str"/>
    </x:row>
    <x:row r="27">
      <x:c r="A27" s="158" t="str">
        <x:v>S2-API-08</x:v>
      </x:c>
      <x:c r="B27" s="159" t="str">
        <x:v>5.4</x:v>
      </x:c>
      <x:c r="C27" s="159" t="str">
        <x:v>FR-03, FR-04, NFR-05, NFR-06, NFR-08</x:v>
      </x:c>
      <x:c r="D27" s="159" t="str">
        <x:v>API</x:v>
      </x:c>
      <x:c r="E27" s="159" t="str">
        <x:v>High</x:v>
      </x:c>
      <x:c r="F27" s="159" t="str">
        <x:v>Career Recommendation API</x:v>
      </x:c>
      <x:c r="G27" s="159" t="str">
        <x:v>Invalid request uses approved error structure</x:v>
      </x:c>
      <x:c r="H27" s="159" t="str">
        <x:v>WBS 5.4 merged</x:v>
      </x:c>
      <x:c r="I27" s="159" t="str">
        <x:v>Call merged endpoint</x:v>
      </x:c>
      <x:c r="J27" s="159" t="str">
        <x:v>REST error conventions followed</x:v>
      </x:c>
      <x:c r="K27" s="159" t="str">
        <x:v>MD</x:v>
      </x:c>
      <x:c r="L27" s="159" t="str">
        <x:v>Blocked</x:v>
      </x:c>
      <x:c r="M27" s="159" t="str"/>
      <x:c r="N27" s="159" t="str"/>
      <x:c r="O27" s="159" t="str"/>
      <x:c r="P27" s="159" t="str"/>
      <x:c r="Q27" s="159" t="str">
        <x:v>WBS 5.4 merged Career Recommendation API required</x:v>
      </x:c>
      <x:c r="R27" s="159" t="str"/>
      <x:c r="S27" s="159" t="str">
        <x:v>Automated/Manual</x:v>
      </x:c>
      <x:c r="T27" s="160" t="str"/>
    </x:row>
    <x:row r="28">
      <x:c r="A28" s="158" t="str">
        <x:v>S2-API-09</x:v>
      </x:c>
      <x:c r="B28" s="159" t="str">
        <x:v>5.4</x:v>
      </x:c>
      <x:c r="C28" s="159" t="str">
        <x:v>FR-03, FR-04, NFR-05, NFR-06, NFR-08</x:v>
      </x:c>
      <x:c r="D28" s="159" t="str">
        <x:v>API</x:v>
      </x:c>
      <x:c r="E28" s="159" t="str">
        <x:v>High</x:v>
      </x:c>
      <x:c r="F28" s="159" t="str">
        <x:v>Career Recommendation API</x:v>
      </x:c>
      <x:c r="G28" s="159" t="str">
        <x:v>Repeated unchanged API request is stable</x:v>
      </x:c>
      <x:c r="H28" s="159" t="str">
        <x:v>WBS 5.4 merged</x:v>
      </x:c>
      <x:c r="I28" s="159" t="str">
        <x:v>Call merged endpoint</x:v>
      </x:c>
      <x:c r="J28" s="159" t="str">
        <x:v>Scores/ranks/statuses identical</x:v>
      </x:c>
      <x:c r="K28" s="159" t="str">
        <x:v>MD</x:v>
      </x:c>
      <x:c r="L28" s="159" t="str">
        <x:v>Blocked</x:v>
      </x:c>
      <x:c r="M28" s="159" t="str"/>
      <x:c r="N28" s="159" t="str"/>
      <x:c r="O28" s="159" t="str"/>
      <x:c r="P28" s="159" t="str"/>
      <x:c r="Q28" s="159" t="str">
        <x:v>WBS 5.4 merged Career Recommendation API required</x:v>
      </x:c>
      <x:c r="R28" s="159" t="str"/>
      <x:c r="S28" s="159" t="str">
        <x:v>Automated/Manual</x:v>
      </x:c>
      <x:c r="T28" s="160" t="str"/>
    </x:row>
    <x:row r="29">
      <x:c r="A29" s="158" t="str">
        <x:v>S2-API-10</x:v>
      </x:c>
      <x:c r="B29" s="159" t="str">
        <x:v>5.4</x:v>
      </x:c>
      <x:c r="C29" s="159" t="str">
        <x:v>FR-03, FR-04, NFR-05, NFR-06, NFR-08</x:v>
      </x:c>
      <x:c r="D29" s="159" t="str">
        <x:v>API</x:v>
      </x:c>
      <x:c r="E29" s="159" t="str">
        <x:v>Medium</x:v>
      </x:c>
      <x:c r="F29" s="159" t="str">
        <x:v>Career Recommendation API</x:v>
      </x:c>
      <x:c r="G29" s="159" t="str">
        <x:v>Another Student's profile data is not exposed</x:v>
      </x:c>
      <x:c r="H29" s="159" t="str">
        <x:v>WBS 5.4 merged</x:v>
      </x:c>
      <x:c r="I29" s="159" t="str">
        <x:v>Call merged endpoint</x:v>
      </x:c>
      <x:c r="J29" s="159" t="str">
        <x:v>No Student B private data appears</x:v>
      </x:c>
      <x:c r="K29" s="159" t="str">
        <x:v>MD</x:v>
      </x:c>
      <x:c r="L29" s="159" t="str">
        <x:v>Blocked</x:v>
      </x:c>
      <x:c r="M29" s="159" t="str"/>
      <x:c r="N29" s="159" t="str"/>
      <x:c r="O29" s="159" t="str"/>
      <x:c r="P29" s="159" t="str"/>
      <x:c r="Q29" s="159" t="str">
        <x:v>WBS 5.4 merged Career Recommendation API required</x:v>
      </x:c>
      <x:c r="R29" s="159" t="str"/>
      <x:c r="S29" s="159" t="str">
        <x:v>Automated/Manual</x:v>
      </x:c>
      <x:c r="T29" s="160" t="str"/>
    </x:row>
    <x:row r="30">
      <x:c r="A30" s="158" t="str">
        <x:v>S2-READ-01</x:v>
      </x:c>
      <x:c r="B30" s="159" t="str">
        <x:v>5.5</x:v>
      </x:c>
      <x:c r="C30" s="159" t="str">
        <x:v>FR-05, FR-06, NFR-08, NFR-09</x:v>
      </x:c>
      <x:c r="D30" s="159" t="str">
        <x:v>Unit/Database</x:v>
      </x:c>
      <x:c r="E30" s="159" t="str">
        <x:v>Critical</x:v>
      </x:c>
      <x:c r="F30" s="159" t="str">
        <x:v>Skill Gap and Readiness</x:v>
      </x:c>
      <x:c r="G30" s="159" t="str">
        <x:v>Foundational maps to 25</x:v>
      </x:c>
      <x:c r="H30" s="159" t="str">
        <x:v>WBS 5.5 service available</x:v>
      </x:c>
      <x:c r="I30" s="159" t="str">
        <x:v>Run automated test or validation</x:v>
      </x:c>
      <x:c r="J30" s="159" t="str">
        <x:v>Mapped value is 25</x:v>
      </x:c>
      <x:c r="K30" s="159" t="str">
        <x:v>Jerald</x:v>
      </x:c>
      <x:c r="L30" s="159" t="str">
        <x:v>Pass</x:v>
      </x:c>
      <x:c r="M30" s="159" t="str">
        <x:v>Covered by 39 WBS 5.5 tests and Dataset validation</x:v>
      </x:c>
      <x:c r="N30" s="159" t="str"/>
      <x:c r="O30" s="159" t="str"/>
      <x:c r="P30" s="159" t="str"/>
      <x:c r="Q30" s="159" t="str"/>
      <x:c r="R30" s="159" t="str"/>
      <x:c r="S30" s="159" t="str">
        <x:v>Automated/Script</x:v>
      </x:c>
      <x:c r="T30" s="160" t="str"/>
    </x:row>
    <x:row r="31">
      <x:c r="A31" s="158" t="str">
        <x:v>S2-READ-02</x:v>
      </x:c>
      <x:c r="B31" s="159" t="str">
        <x:v>5.5</x:v>
      </x:c>
      <x:c r="C31" s="159" t="str">
        <x:v>FR-05, FR-06, NFR-08, NFR-09</x:v>
      </x:c>
      <x:c r="D31" s="159" t="str">
        <x:v>Unit/Database</x:v>
      </x:c>
      <x:c r="E31" s="159" t="str">
        <x:v>Critical</x:v>
      </x:c>
      <x:c r="F31" s="159" t="str">
        <x:v>Skill Gap and Readiness</x:v>
      </x:c>
      <x:c r="G31" s="159" t="str">
        <x:v>Developing maps to 50</x:v>
      </x:c>
      <x:c r="H31" s="159" t="str">
        <x:v>WBS 5.5 service available</x:v>
      </x:c>
      <x:c r="I31" s="159" t="str">
        <x:v>Run automated test or validation</x:v>
      </x:c>
      <x:c r="J31" s="159" t="str">
        <x:v>Mapped value is 50</x:v>
      </x:c>
      <x:c r="K31" s="159" t="str">
        <x:v>Jerald</x:v>
      </x:c>
      <x:c r="L31" s="159" t="str">
        <x:v>Pass</x:v>
      </x:c>
      <x:c r="M31" s="159" t="str">
        <x:v>Covered by 39 WBS 5.5 tests and Dataset validation</x:v>
      </x:c>
      <x:c r="N31" s="159" t="str"/>
      <x:c r="O31" s="159" t="str"/>
      <x:c r="P31" s="159" t="str"/>
      <x:c r="Q31" s="159" t="str"/>
      <x:c r="R31" s="159" t="str"/>
      <x:c r="S31" s="159" t="str">
        <x:v>Automated/Script</x:v>
      </x:c>
      <x:c r="T31" s="160" t="str"/>
    </x:row>
    <x:row r="32">
      <x:c r="A32" s="158" t="str">
        <x:v>S2-READ-03</x:v>
      </x:c>
      <x:c r="B32" s="159" t="str">
        <x:v>5.5</x:v>
      </x:c>
      <x:c r="C32" s="159" t="str">
        <x:v>FR-05, FR-06, NFR-08, NFR-09</x:v>
      </x:c>
      <x:c r="D32" s="159" t="str">
        <x:v>Unit/Database</x:v>
      </x:c>
      <x:c r="E32" s="159" t="str">
        <x:v>Critical</x:v>
      </x:c>
      <x:c r="F32" s="159" t="str">
        <x:v>Skill Gap and Readiness</x:v>
      </x:c>
      <x:c r="G32" s="159" t="str">
        <x:v>Proficient maps to 75</x:v>
      </x:c>
      <x:c r="H32" s="159" t="str">
        <x:v>WBS 5.5 service available</x:v>
      </x:c>
      <x:c r="I32" s="159" t="str">
        <x:v>Run automated test or validation</x:v>
      </x:c>
      <x:c r="J32" s="159" t="str">
        <x:v>Mapped value is 75</x:v>
      </x:c>
      <x:c r="K32" s="159" t="str">
        <x:v>Jerald</x:v>
      </x:c>
      <x:c r="L32" s="159" t="str">
        <x:v>Pass</x:v>
      </x:c>
      <x:c r="M32" s="159" t="str">
        <x:v>Covered by 39 WBS 5.5 tests and Dataset validation</x:v>
      </x:c>
      <x:c r="N32" s="159" t="str"/>
      <x:c r="O32" s="159" t="str"/>
      <x:c r="P32" s="159" t="str"/>
      <x:c r="Q32" s="159" t="str"/>
      <x:c r="R32" s="159" t="str"/>
      <x:c r="S32" s="159" t="str">
        <x:v>Automated/Script</x:v>
      </x:c>
      <x:c r="T32" s="160" t="str"/>
    </x:row>
    <x:row r="33">
      <x:c r="A33" s="158" t="str">
        <x:v>S2-READ-04</x:v>
      </x:c>
      <x:c r="B33" s="159" t="str">
        <x:v>5.5</x:v>
      </x:c>
      <x:c r="C33" s="159" t="str">
        <x:v>FR-05, FR-06, NFR-08, NFR-09</x:v>
      </x:c>
      <x:c r="D33" s="159" t="str">
        <x:v>Unit/Database</x:v>
      </x:c>
      <x:c r="E33" s="159" t="str">
        <x:v>Critical</x:v>
      </x:c>
      <x:c r="F33" s="159" t="str">
        <x:v>Skill Gap and Readiness</x:v>
      </x:c>
      <x:c r="G33" s="159" t="str">
        <x:v>Advanced maps to 100</x:v>
      </x:c>
      <x:c r="H33" s="159" t="str">
        <x:v>WBS 5.5 service available</x:v>
      </x:c>
      <x:c r="I33" s="159" t="str">
        <x:v>Run automated test or validation</x:v>
      </x:c>
      <x:c r="J33" s="159" t="str">
        <x:v>Mapped value is 100</x:v>
      </x:c>
      <x:c r="K33" s="159" t="str">
        <x:v>Jerald</x:v>
      </x:c>
      <x:c r="L33" s="159" t="str">
        <x:v>Pass</x:v>
      </x:c>
      <x:c r="M33" s="159" t="str">
        <x:v>Covered by 39 WBS 5.5 tests and Dataset validation</x:v>
      </x:c>
      <x:c r="N33" s="159" t="str"/>
      <x:c r="O33" s="159" t="str"/>
      <x:c r="P33" s="159" t="str"/>
      <x:c r="Q33" s="159" t="str"/>
      <x:c r="R33" s="159" t="str"/>
      <x:c r="S33" s="159" t="str">
        <x:v>Automated/Script</x:v>
      </x:c>
      <x:c r="T33" s="160" t="str"/>
    </x:row>
    <x:row r="34">
      <x:c r="A34" s="158" t="str">
        <x:v>S2-READ-05</x:v>
      </x:c>
      <x:c r="B34" s="159" t="str">
        <x:v>5.5</x:v>
      </x:c>
      <x:c r="C34" s="159" t="str">
        <x:v>FR-05, FR-06, NFR-08, NFR-09</x:v>
      </x:c>
      <x:c r="D34" s="159" t="str">
        <x:v>Unit/Database</x:v>
      </x:c>
      <x:c r="E34" s="159" t="str">
        <x:v>Critical</x:v>
      </x:c>
      <x:c r="F34" s="159" t="str">
        <x:v>Skill Gap and Readiness</x:v>
      </x:c>
      <x:c r="G34" s="159" t="str">
        <x:v>Missing Skill maps to zero and missing</x:v>
      </x:c>
      <x:c r="H34" s="159" t="str">
        <x:v>WBS 5.5 service available</x:v>
      </x:c>
      <x:c r="I34" s="159" t="str">
        <x:v>Run automated test or validation</x:v>
      </x:c>
      <x:c r="J34" s="159" t="str">
        <x:v>Zero score and full gap</x:v>
      </x:c>
      <x:c r="K34" s="159" t="str">
        <x:v>Jerald</x:v>
      </x:c>
      <x:c r="L34" s="159" t="str">
        <x:v>Pass</x:v>
      </x:c>
      <x:c r="M34" s="159" t="str">
        <x:v>Covered by 39 WBS 5.5 tests and Dataset validation</x:v>
      </x:c>
      <x:c r="N34" s="159" t="str"/>
      <x:c r="O34" s="159" t="str"/>
      <x:c r="P34" s="159" t="str"/>
      <x:c r="Q34" s="159" t="str"/>
      <x:c r="R34" s="159" t="str"/>
      <x:c r="S34" s="159" t="str">
        <x:v>Automated/Script</x:v>
      </x:c>
      <x:c r="T34" s="160" t="str"/>
    </x:row>
    <x:row r="35">
      <x:c r="A35" s="158" t="str">
        <x:v>S2-READ-06</x:v>
      </x:c>
      <x:c r="B35" s="159" t="str">
        <x:v>5.5</x:v>
      </x:c>
      <x:c r="C35" s="159" t="str">
        <x:v>FR-05, FR-06, NFR-08, NFR-09</x:v>
      </x:c>
      <x:c r="D35" s="159" t="str">
        <x:v>Unit/Database</x:v>
      </x:c>
      <x:c r="E35" s="159" t="str">
        <x:v>High</x:v>
      </x:c>
      <x:c r="F35" s="159" t="str">
        <x:v>Skill Gap and Readiness</x:v>
      </x:c>
      <x:c r="G35" s="159" t="str">
        <x:v>Below requirement receives partial attainment</x:v>
      </x:c>
      <x:c r="H35" s="159" t="str">
        <x:v>WBS 5.5 service available</x:v>
      </x:c>
      <x:c r="I35" s="159" t="str">
        <x:v>Run automated test or validation</x:v>
      </x:c>
      <x:c r="J35" s="159" t="str">
        <x:v>Partial attainment and below status</x:v>
      </x:c>
      <x:c r="K35" s="159" t="str">
        <x:v>Jerald</x:v>
      </x:c>
      <x:c r="L35" s="159" t="str">
        <x:v>Pass</x:v>
      </x:c>
      <x:c r="M35" s="159" t="str">
        <x:v>Covered by 39 WBS 5.5 tests and Dataset validation</x:v>
      </x:c>
      <x:c r="N35" s="159" t="str"/>
      <x:c r="O35" s="159" t="str"/>
      <x:c r="P35" s="159" t="str"/>
      <x:c r="Q35" s="159" t="str"/>
      <x:c r="R35" s="159" t="str"/>
      <x:c r="S35" s="159" t="str">
        <x:v>Automated/Script</x:v>
      </x:c>
      <x:c r="T35" s="160" t="str"/>
    </x:row>
    <x:row r="36">
      <x:c r="A36" s="158" t="str">
        <x:v>S2-READ-07</x:v>
      </x:c>
      <x:c r="B36" s="159" t="str">
        <x:v>5.5</x:v>
      </x:c>
      <x:c r="C36" s="159" t="str">
        <x:v>FR-05, FR-06, NFR-08, NFR-09</x:v>
      </x:c>
      <x:c r="D36" s="159" t="str">
        <x:v>Unit/Database</x:v>
      </x:c>
      <x:c r="E36" s="159" t="str">
        <x:v>High</x:v>
      </x:c>
      <x:c r="F36" s="159" t="str">
        <x:v>Skill Gap and Readiness</x:v>
      </x:c>
      <x:c r="G36" s="159" t="str">
        <x:v>Meets requirement is capped at full</x:v>
      </x:c>
      <x:c r="H36" s="159" t="str">
        <x:v>WBS 5.5 service available</x:v>
      </x:c>
      <x:c r="I36" s="159" t="str">
        <x:v>Run automated test or validation</x:v>
      </x:c>
      <x:c r="J36" s="159" t="str">
        <x:v>Attainment 1.00 and meets status</x:v>
      </x:c>
      <x:c r="K36" s="159" t="str">
        <x:v>Jerald</x:v>
      </x:c>
      <x:c r="L36" s="159" t="str">
        <x:v>Pass</x:v>
      </x:c>
      <x:c r="M36" s="159" t="str">
        <x:v>Covered by 39 WBS 5.5 tests and Dataset validation</x:v>
      </x:c>
      <x:c r="N36" s="159" t="str"/>
      <x:c r="O36" s="159" t="str"/>
      <x:c r="P36" s="159" t="str"/>
      <x:c r="Q36" s="159" t="str"/>
      <x:c r="R36" s="159" t="str"/>
      <x:c r="S36" s="159" t="str">
        <x:v>Automated/Script</x:v>
      </x:c>
      <x:c r="T36" s="160" t="str"/>
    </x:row>
    <x:row r="37">
      <x:c r="A37" s="158" t="str">
        <x:v>S2-READ-08</x:v>
      </x:c>
      <x:c r="B37" s="159" t="str">
        <x:v>5.5</x:v>
      </x:c>
      <x:c r="C37" s="159" t="str">
        <x:v>FR-05, FR-06, NFR-08, NFR-09</x:v>
      </x:c>
      <x:c r="D37" s="159" t="str">
        <x:v>Unit/Database</x:v>
      </x:c>
      <x:c r="E37" s="159" t="str">
        <x:v>High</x:v>
      </x:c>
      <x:c r="F37" s="159" t="str">
        <x:v>Skill Gap and Readiness</x:v>
      </x:c>
      <x:c r="G37" s="159" t="str">
        <x:v>Career readiness uses Importance weighting</x:v>
      </x:c>
      <x:c r="H37" s="159" t="str">
        <x:v>WBS 5.5 service available</x:v>
      </x:c>
      <x:c r="I37" s="159" t="str">
        <x:v>Run automated test or validation</x:v>
      </x:c>
      <x:c r="J37" s="159" t="str">
        <x:v>Score matches weighted formula</x:v>
      </x:c>
      <x:c r="K37" s="159" t="str">
        <x:v>Jerald</x:v>
      </x:c>
      <x:c r="L37" s="159" t="str">
        <x:v>Pass</x:v>
      </x:c>
      <x:c r="M37" s="159" t="str">
        <x:v>Covered by 39 WBS 5.5 tests and Dataset validation</x:v>
      </x:c>
      <x:c r="N37" s="159" t="str"/>
      <x:c r="O37" s="159" t="str"/>
      <x:c r="P37" s="159" t="str"/>
      <x:c r="Q37" s="159" t="str"/>
      <x:c r="R37" s="159" t="str"/>
      <x:c r="S37" s="159" t="str">
        <x:v>Automated/Script</x:v>
      </x:c>
      <x:c r="T37" s="160" t="str"/>
    </x:row>
    <x:row r="38">
      <x:c r="A38" s="158" t="str">
        <x:v>S2-READ-09</x:v>
      </x:c>
      <x:c r="B38" s="159" t="str">
        <x:v>5.5</x:v>
      </x:c>
      <x:c r="C38" s="159" t="str">
        <x:v>FR-05, FR-06, NFR-08, NFR-09</x:v>
      </x:c>
      <x:c r="D38" s="159" t="str">
        <x:v>Unit/Database</x:v>
      </x:c>
      <x:c r="E38" s="159" t="str">
        <x:v>High</x:v>
      </x:c>
      <x:c r="F38" s="159" t="str">
        <x:v>Skill Gap and Readiness</x:v>
      </x:c>
      <x:c r="G38" s="159" t="str">
        <x:v>Empty profile returns insufficient_profile</x:v>
      </x:c>
      <x:c r="H38" s="159" t="str">
        <x:v>WBS 5.5 service available</x:v>
      </x:c>
      <x:c r="I38" s="159" t="str">
        <x:v>Run automated test or validation</x:v>
      </x:c>
      <x:c r="J38" s="159" t="str">
        <x:v>Null readiness score</x:v>
      </x:c>
      <x:c r="K38" s="159" t="str">
        <x:v>Jerald</x:v>
      </x:c>
      <x:c r="L38" s="159" t="str">
        <x:v>Pass</x:v>
      </x:c>
      <x:c r="M38" s="159" t="str">
        <x:v>Covered by 39 WBS 5.5 tests and Dataset validation</x:v>
      </x:c>
      <x:c r="N38" s="159" t="str"/>
      <x:c r="O38" s="159" t="str"/>
      <x:c r="P38" s="159" t="str"/>
      <x:c r="Q38" s="159" t="str"/>
      <x:c r="R38" s="159" t="str"/>
      <x:c r="S38" s="159" t="str">
        <x:v>Automated/Script</x:v>
      </x:c>
      <x:c r="T38" s="160" t="str"/>
    </x:row>
    <x:row r="39">
      <x:c r="A39" s="158" t="str">
        <x:v>S2-READ-10</x:v>
      </x:c>
      <x:c r="B39" s="159" t="str">
        <x:v>5.5</x:v>
      </x:c>
      <x:c r="C39" s="159" t="str">
        <x:v>FR-05, FR-06, NFR-08, NFR-09</x:v>
      </x:c>
      <x:c r="D39" s="159" t="str">
        <x:v>Unit/Database</x:v>
      </x:c>
      <x:c r="E39" s="159" t="str">
        <x:v>High</x:v>
      </x:c>
      <x:c r="F39" s="159" t="str">
        <x:v>Skill Gap and Readiness</x:v>
      </x:c>
      <x:c r="G39" s="159" t="str">
        <x:v>Career without readiness evidence is controlled</x:v>
      </x:c>
      <x:c r="H39" s="159" t="str">
        <x:v>WBS 5.5 service available</x:v>
      </x:c>
      <x:c r="I39" s="159" t="str">
        <x:v>Run automated test or validation</x:v>
      </x:c>
      <x:c r="J39" s="159" t="str">
        <x:v>Null score with insufficient_evidence</x:v>
      </x:c>
      <x:c r="K39" s="159" t="str">
        <x:v>Jerald</x:v>
      </x:c>
      <x:c r="L39" s="159" t="str">
        <x:v>Pass</x:v>
      </x:c>
      <x:c r="M39" s="159" t="str">
        <x:v>Covered by 39 WBS 5.5 tests and Dataset validation</x:v>
      </x:c>
      <x:c r="N39" s="159" t="str"/>
      <x:c r="O39" s="159" t="str"/>
      <x:c r="P39" s="159" t="str"/>
      <x:c r="Q39" s="159" t="str"/>
      <x:c r="R39" s="159" t="str"/>
      <x:c r="S39" s="159" t="str">
        <x:v>Automated/Script</x:v>
      </x:c>
      <x:c r="T39" s="160" t="str"/>
    </x:row>
    <x:row r="40">
      <x:c r="A40" s="158" t="str">
        <x:v>S2-READ-11</x:v>
      </x:c>
      <x:c r="B40" s="159" t="str">
        <x:v>5.5</x:v>
      </x:c>
      <x:c r="C40" s="159" t="str">
        <x:v>FR-05, FR-06, NFR-08, NFR-09</x:v>
      </x:c>
      <x:c r="D40" s="159" t="str">
        <x:v>Unit/Database</x:v>
      </x:c>
      <x:c r="E40" s="159" t="str">
        <x:v>High</x:v>
      </x:c>
      <x:c r="F40" s="159" t="str">
        <x:v>Skill Gap and Readiness</x:v>
      </x:c>
      <x:c r="G40" s="159" t="str">
        <x:v>Skill Gap ordering is deterministic</x:v>
      </x:c>
      <x:c r="H40" s="159" t="str">
        <x:v>WBS 5.5 service available</x:v>
      </x:c>
      <x:c r="I40" s="159" t="str">
        <x:v>Run automated test or validation</x:v>
      </x:c>
      <x:c r="J40" s="159" t="str">
        <x:v>Approved ordering used</x:v>
      </x:c>
      <x:c r="K40" s="159" t="str">
        <x:v>Jerald</x:v>
      </x:c>
      <x:c r="L40" s="159" t="str">
        <x:v>Pass</x:v>
      </x:c>
      <x:c r="M40" s="159" t="str">
        <x:v>Covered by 39 WBS 5.5 tests and Dataset validation</x:v>
      </x:c>
      <x:c r="N40" s="159" t="str"/>
      <x:c r="O40" s="159" t="str"/>
      <x:c r="P40" s="159" t="str"/>
      <x:c r="Q40" s="159" t="str"/>
      <x:c r="R40" s="159" t="str"/>
      <x:c r="S40" s="159" t="str">
        <x:v>Automated/Script</x:v>
      </x:c>
      <x:c r="T40" s="160" t="str"/>
    </x:row>
    <x:row r="41">
      <x:c r="A41" s="158" t="str">
        <x:v>S2-READ-12</x:v>
      </x:c>
      <x:c r="B41" s="159" t="str">
        <x:v>5.5</x:v>
      </x:c>
      <x:c r="C41" s="159" t="str">
        <x:v>FR-05, FR-06, NFR-08, NFR-09</x:v>
      </x:c>
      <x:c r="D41" s="159" t="str">
        <x:v>Unit/Database</x:v>
      </x:c>
      <x:c r="E41" s="159" t="str">
        <x:v>Medium</x:v>
      </x:c>
      <x:c r="F41" s="159" t="str">
        <x:v>Skill Gap and Readiness</x:v>
      </x:c>
      <x:c r="G41" s="159" t="str">
        <x:v>Dataset 1.0 readiness validation is non-destructive</x:v>
      </x:c>
      <x:c r="H41" s="159" t="str">
        <x:v>WBS 5.5 service available</x:v>
      </x:c>
      <x:c r="I41" s="159" t="str">
        <x:v>Run automated test or validation</x:v>
      </x:c>
      <x:c r="J41" s="159" t="str">
        <x:v>1,849 requirements, formula match, DB unchanged</x:v>
      </x:c>
      <x:c r="K41" s="159" t="str">
        <x:v>Jerald</x:v>
      </x:c>
      <x:c r="L41" s="159" t="str">
        <x:v>Pass</x:v>
      </x:c>
      <x:c r="M41" s="159" t="str">
        <x:v>Covered by 39 WBS 5.5 tests and Dataset validation</x:v>
      </x:c>
      <x:c r="N41" s="159" t="str"/>
      <x:c r="O41" s="159" t="str"/>
      <x:c r="P41" s="159" t="str"/>
      <x:c r="Q41" s="159" t="str"/>
      <x:c r="R41" s="159" t="str"/>
      <x:c r="S41" s="159" t="str">
        <x:v>Automated/Script</x:v>
      </x:c>
      <x:c r="T41" s="160" t="str"/>
    </x:row>
    <x:row r="42">
      <x:c r="A42" s="158" t="str">
        <x:v>S2-UI-01</x:v>
      </x:c>
      <x:c r="B42" s="159" t="str">
        <x:v>5.6</x:v>
      </x:c>
      <x:c r="C42" s="159" t="str">
        <x:v>FR-03, FR-04, FR-05, FR-06, NFR-01, NFR-02, NFR-10</x:v>
      </x:c>
      <x:c r="D42" s="159" t="str">
        <x:v>Frontend</x:v>
      </x:c>
      <x:c r="E42" s="159" t="str">
        <x:v>Critical</x:v>
      </x:c>
      <x:c r="F42" s="159" t="str">
        <x:v>Recommendation and Readiness UI</x:v>
      </x:c>
      <x:c r="G42" s="159" t="str">
        <x:v>Recommendation list loads from API</x:v>
      </x:c>
      <x:c r="H42" s="159" t="str">
        <x:v>WBS 5.6 integrated</x:v>
      </x:c>
      <x:c r="I42" s="159" t="str">
        <x:v>Execute frontend scenario</x:v>
      </x:c>
      <x:c r="J42" s="159" t="str">
        <x:v>Ranked list appears</x:v>
      </x:c>
      <x:c r="K42" s="159" t="str">
        <x:v>Joyee</x:v>
      </x:c>
      <x:c r="L42" s="159" t="str">
        <x:v>Blocked</x:v>
      </x:c>
      <x:c r="M42" s="159" t="str"/>
      <x:c r="N42" s="159" t="str"/>
      <x:c r="O42" s="159" t="str"/>
      <x:c r="P42" s="159" t="str"/>
      <x:c r="Q42" s="159" t="str">
        <x:v>WBS 5.6 and backend integration required</x:v>
      </x:c>
      <x:c r="R42" s="159" t="str"/>
      <x:c r="S42" s="159" t="str">
        <x:v>Manual/Frontend</x:v>
      </x:c>
      <x:c r="T42" s="160" t="str"/>
    </x:row>
    <x:row r="43">
      <x:c r="A43" s="158" t="str">
        <x:v>S2-UI-02</x:v>
      </x:c>
      <x:c r="B43" s="159" t="str">
        <x:v>5.6</x:v>
      </x:c>
      <x:c r="C43" s="159" t="str">
        <x:v>FR-03, FR-04, FR-05, FR-06, NFR-01, NFR-02, NFR-10</x:v>
      </x:c>
      <x:c r="D43" s="159" t="str">
        <x:v>Frontend</x:v>
      </x:c>
      <x:c r="E43" s="159" t="str">
        <x:v>Critical</x:v>
      </x:c>
      <x:c r="F43" s="159" t="str">
        <x:v>Recommendation and Readiness UI</x:v>
      </x:c>
      <x:c r="G43" s="159" t="str">
        <x:v>Frontend preserves API rank order</x:v>
      </x:c>
      <x:c r="H43" s="159" t="str">
        <x:v>WBS 5.6 integrated</x:v>
      </x:c>
      <x:c r="I43" s="159" t="str">
        <x:v>Execute frontend scenario</x:v>
      </x:c>
      <x:c r="J43" s="159" t="str">
        <x:v>Display order matches API</x:v>
      </x:c>
      <x:c r="K43" s="159" t="str">
        <x:v>Joyee</x:v>
      </x:c>
      <x:c r="L43" s="159" t="str">
        <x:v>Blocked</x:v>
      </x:c>
      <x:c r="M43" s="159" t="str"/>
      <x:c r="N43" s="159" t="str"/>
      <x:c r="O43" s="159" t="str"/>
      <x:c r="P43" s="159" t="str"/>
      <x:c r="Q43" s="159" t="str">
        <x:v>WBS 5.6 and backend integration required</x:v>
      </x:c>
      <x:c r="R43" s="159" t="str"/>
      <x:c r="S43" s="159" t="str">
        <x:v>Manual/Frontend</x:v>
      </x:c>
      <x:c r="T43" s="160" t="str"/>
    </x:row>
    <x:row r="44">
      <x:c r="A44" s="158" t="str">
        <x:v>S2-UI-03</x:v>
      </x:c>
      <x:c r="B44" s="159" t="str">
        <x:v>5.6</x:v>
      </x:c>
      <x:c r="C44" s="159" t="str">
        <x:v>FR-03, FR-04, FR-05, FR-06, NFR-01, NFR-02, NFR-10</x:v>
      </x:c>
      <x:c r="D44" s="159" t="str">
        <x:v>Frontend</x:v>
      </x:c>
      <x:c r="E44" s="159" t="str">
        <x:v>Critical</x:v>
      </x:c>
      <x:c r="F44" s="159" t="str">
        <x:v>Recommendation and Readiness UI</x:v>
      </x:c>
      <x:c r="G44" s="159" t="str">
        <x:v>Score and explanation display</x:v>
      </x:c>
      <x:c r="H44" s="159" t="str">
        <x:v>WBS 5.6 integrated</x:v>
      </x:c>
      <x:c r="I44" s="159" t="str">
        <x:v>Execute frontend scenario</x:v>
      </x:c>
      <x:c r="J44" s="159" t="str">
        <x:v>Approved factors visible</x:v>
      </x:c>
      <x:c r="K44" s="159" t="str">
        <x:v>Joyee</x:v>
      </x:c>
      <x:c r="L44" s="159" t="str">
        <x:v>Blocked</x:v>
      </x:c>
      <x:c r="M44" s="159" t="str"/>
      <x:c r="N44" s="159" t="str"/>
      <x:c r="O44" s="159" t="str"/>
      <x:c r="P44" s="159" t="str"/>
      <x:c r="Q44" s="159" t="str">
        <x:v>WBS 5.6 and backend integration required</x:v>
      </x:c>
      <x:c r="R44" s="159" t="str"/>
      <x:c r="S44" s="159" t="str">
        <x:v>Manual/Frontend</x:v>
      </x:c>
      <x:c r="T44" s="160" t="str"/>
    </x:row>
    <x:row r="45">
      <x:c r="A45" s="158" t="str">
        <x:v>S2-UI-04</x:v>
      </x:c>
      <x:c r="B45" s="159" t="str">
        <x:v>5.6</x:v>
      </x:c>
      <x:c r="C45" s="159" t="str">
        <x:v>FR-03, FR-04, FR-05, FR-06, NFR-01, NFR-02, NFR-10</x:v>
      </x:c>
      <x:c r="D45" s="159" t="str">
        <x:v>Frontend</x:v>
      </x:c>
      <x:c r="E45" s="159" t="str">
        <x:v>High</x:v>
      </x:c>
      <x:c r="F45" s="159" t="str">
        <x:v>Recommendation and Readiness UI</x:v>
      </x:c>
      <x:c r="G45" s="159" t="str">
        <x:v>Career selection loads readiness</x:v>
      </x:c>
      <x:c r="H45" s="159" t="str">
        <x:v>WBS 5.6 integrated</x:v>
      </x:c>
      <x:c r="I45" s="159" t="str">
        <x:v>Execute frontend scenario</x:v>
      </x:c>
      <x:c r="J45" s="159" t="str">
        <x:v>Selected Career readiness appears</x:v>
      </x:c>
      <x:c r="K45" s="159" t="str">
        <x:v>Joyee</x:v>
      </x:c>
      <x:c r="L45" s="159" t="str">
        <x:v>Blocked</x:v>
      </x:c>
      <x:c r="M45" s="159" t="str"/>
      <x:c r="N45" s="159" t="str"/>
      <x:c r="O45" s="159" t="str"/>
      <x:c r="P45" s="159" t="str"/>
      <x:c r="Q45" s="159" t="str">
        <x:v>WBS 5.6 and backend integration required</x:v>
      </x:c>
      <x:c r="R45" s="159" t="str"/>
      <x:c r="S45" s="159" t="str">
        <x:v>Manual/Frontend</x:v>
      </x:c>
      <x:c r="T45" s="160" t="str"/>
    </x:row>
    <x:row r="46">
      <x:c r="A46" s="158" t="str">
        <x:v>S2-UI-05</x:v>
      </x:c>
      <x:c r="B46" s="159" t="str">
        <x:v>5.6</x:v>
      </x:c>
      <x:c r="C46" s="159" t="str">
        <x:v>FR-03, FR-04, FR-05, FR-06, NFR-01, NFR-02, NFR-10</x:v>
      </x:c>
      <x:c r="D46" s="159" t="str">
        <x:v>Frontend</x:v>
      </x:c>
      <x:c r="E46" s="159" t="str">
        <x:v>High</x:v>
      </x:c>
      <x:c r="F46" s="159" t="str">
        <x:v>Recommendation and Readiness UI</x:v>
      </x:c>
      <x:c r="G46" s="159" t="str">
        <x:v>Readiness and recommendation scores are distinct</x:v>
      </x:c>
      <x:c r="H46" s="159" t="str">
        <x:v>WBS 5.6 integrated</x:v>
      </x:c>
      <x:c r="I46" s="159" t="str">
        <x:v>Execute frontend scenario</x:v>
      </x:c>
      <x:c r="J46" s="159" t="str">
        <x:v>Both metrics clearly separated</x:v>
      </x:c>
      <x:c r="K46" s="159" t="str">
        <x:v>Joyee</x:v>
      </x:c>
      <x:c r="L46" s="159" t="str">
        <x:v>Blocked</x:v>
      </x:c>
      <x:c r="M46" s="159" t="str"/>
      <x:c r="N46" s="159" t="str"/>
      <x:c r="O46" s="159" t="str"/>
      <x:c r="P46" s="159" t="str"/>
      <x:c r="Q46" s="159" t="str">
        <x:v>WBS 5.6 and backend integration required</x:v>
      </x:c>
      <x:c r="R46" s="159" t="str"/>
      <x:c r="S46" s="159" t="str">
        <x:v>Manual/Frontend</x:v>
      </x:c>
      <x:c r="T46" s="160" t="str"/>
    </x:row>
    <x:row r="47">
      <x:c r="A47" s="158" t="str">
        <x:v>S2-UI-06</x:v>
      </x:c>
      <x:c r="B47" s="159" t="str">
        <x:v>5.6</x:v>
      </x:c>
      <x:c r="C47" s="159" t="str">
        <x:v>FR-03, FR-04, FR-05, FR-06, NFR-01, NFR-02, NFR-10</x:v>
      </x:c>
      <x:c r="D47" s="159" t="str">
        <x:v>Frontend</x:v>
      </x:c>
      <x:c r="E47" s="159" t="str">
        <x:v>High</x:v>
      </x:c>
      <x:c r="F47" s="159" t="str">
        <x:v>Recommendation and Readiness UI</x:v>
      </x:c>
      <x:c r="G47" s="159" t="str">
        <x:v>Missing and below Skills are distinguishable</x:v>
      </x:c>
      <x:c r="H47" s="159" t="str">
        <x:v>WBS 5.6 integrated</x:v>
      </x:c>
      <x:c r="I47" s="159" t="str">
        <x:v>Execute frontend scenario</x:v>
      </x:c>
      <x:c r="J47" s="159" t="str">
        <x:v>UI differentiates statuses</x:v>
      </x:c>
      <x:c r="K47" s="159" t="str">
        <x:v>Joyee</x:v>
      </x:c>
      <x:c r="L47" s="159" t="str">
        <x:v>Blocked</x:v>
      </x:c>
      <x:c r="M47" s="159" t="str"/>
      <x:c r="N47" s="159" t="str"/>
      <x:c r="O47" s="159" t="str"/>
      <x:c r="P47" s="159" t="str"/>
      <x:c r="Q47" s="159" t="str">
        <x:v>WBS 5.6 and backend integration required</x:v>
      </x:c>
      <x:c r="R47" s="159" t="str"/>
      <x:c r="S47" s="159" t="str">
        <x:v>Manual/Frontend</x:v>
      </x:c>
      <x:c r="T47" s="160" t="str"/>
    </x:row>
    <x:row r="48">
      <x:c r="A48" s="158" t="str">
        <x:v>S2-UI-07</x:v>
      </x:c>
      <x:c r="B48" s="159" t="str">
        <x:v>5.6</x:v>
      </x:c>
      <x:c r="C48" s="159" t="str">
        <x:v>FR-03, FR-04, FR-05, FR-06, NFR-01, NFR-02, NFR-10</x:v>
      </x:c>
      <x:c r="D48" s="159" t="str">
        <x:v>Frontend</x:v>
      </x:c>
      <x:c r="E48" s="159" t="str">
        <x:v>High</x:v>
      </x:c>
      <x:c r="F48" s="159" t="str">
        <x:v>Recommendation and Readiness UI</x:v>
      </x:c>
      <x:c r="G48" s="159" t="str">
        <x:v>Insufficient-profile state is understandable</x:v>
      </x:c>
      <x:c r="H48" s="159" t="str">
        <x:v>WBS 5.6 integrated</x:v>
      </x:c>
      <x:c r="I48" s="159" t="str">
        <x:v>Execute frontend scenario</x:v>
      </x:c>
      <x:c r="J48" s="159" t="str">
        <x:v>Controlled empty guidance</x:v>
      </x:c>
      <x:c r="K48" s="159" t="str">
        <x:v>Joyee</x:v>
      </x:c>
      <x:c r="L48" s="159" t="str">
        <x:v>Blocked</x:v>
      </x:c>
      <x:c r="M48" s="159" t="str"/>
      <x:c r="N48" s="159" t="str"/>
      <x:c r="O48" s="159" t="str"/>
      <x:c r="P48" s="159" t="str"/>
      <x:c r="Q48" s="159" t="str">
        <x:v>WBS 5.6 and backend integration required</x:v>
      </x:c>
      <x:c r="R48" s="159" t="str"/>
      <x:c r="S48" s="159" t="str">
        <x:v>Manual/Frontend</x:v>
      </x:c>
      <x:c r="T48" s="160" t="str"/>
    </x:row>
    <x:row r="49">
      <x:c r="A49" s="158" t="str">
        <x:v>S2-UI-08</x:v>
      </x:c>
      <x:c r="B49" s="159" t="str">
        <x:v>5.6</x:v>
      </x:c>
      <x:c r="C49" s="159" t="str">
        <x:v>FR-03, FR-04, FR-05, FR-06, NFR-01, NFR-02, NFR-10</x:v>
      </x:c>
      <x:c r="D49" s="159" t="str">
        <x:v>Frontend</x:v>
      </x:c>
      <x:c r="E49" s="159" t="str">
        <x:v>High</x:v>
      </x:c>
      <x:c r="F49" s="159" t="str">
        <x:v>Recommendation and Readiness UI</x:v>
      </x:c>
      <x:c r="G49" s="159" t="str">
        <x:v>Insufficient-evidence state is understandable</x:v>
      </x:c>
      <x:c r="H49" s="159" t="str">
        <x:v>WBS 5.6 integrated</x:v>
      </x:c>
      <x:c r="I49" s="159" t="str">
        <x:v>Execute frontend scenario</x:v>
      </x:c>
      <x:c r="J49" s="159" t="str">
        <x:v>Controlled evidence state</x:v>
      </x:c>
      <x:c r="K49" s="159" t="str">
        <x:v>Joyee</x:v>
      </x:c>
      <x:c r="L49" s="159" t="str">
        <x:v>Blocked</x:v>
      </x:c>
      <x:c r="M49" s="159" t="str"/>
      <x:c r="N49" s="159" t="str"/>
      <x:c r="O49" s="159" t="str"/>
      <x:c r="P49" s="159" t="str"/>
      <x:c r="Q49" s="159" t="str">
        <x:v>WBS 5.6 and backend integration required</x:v>
      </x:c>
      <x:c r="R49" s="159" t="str"/>
      <x:c r="S49" s="159" t="str">
        <x:v>Manual/Frontend</x:v>
      </x:c>
      <x:c r="T49" s="160" t="str"/>
    </x:row>
    <x:row r="50">
      <x:c r="A50" s="158" t="str">
        <x:v>S2-UI-09</x:v>
      </x:c>
      <x:c r="B50" s="159" t="str">
        <x:v>5.6</x:v>
      </x:c>
      <x:c r="C50" s="159" t="str">
        <x:v>FR-03, FR-04, FR-05, FR-06, NFR-01, NFR-02, NFR-10</x:v>
      </x:c>
      <x:c r="D50" s="159" t="str">
        <x:v>Frontend</x:v>
      </x:c>
      <x:c r="E50" s="159" t="str">
        <x:v>High</x:v>
      </x:c>
      <x:c r="F50" s="159" t="str">
        <x:v>Recommendation and Readiness UI</x:v>
      </x:c>
      <x:c r="G50" s="159" t="str">
        <x:v>Loading and API error states are controlled</x:v>
      </x:c>
      <x:c r="H50" s="159" t="str">
        <x:v>WBS 5.6 integrated</x:v>
      </x:c>
      <x:c r="I50" s="159" t="str">
        <x:v>Execute frontend scenario</x:v>
      </x:c>
      <x:c r="J50" s="159" t="str">
        <x:v>No false data shown</x:v>
      </x:c>
      <x:c r="K50" s="159" t="str">
        <x:v>Joyee</x:v>
      </x:c>
      <x:c r="L50" s="159" t="str">
        <x:v>Blocked</x:v>
      </x:c>
      <x:c r="M50" s="159" t="str"/>
      <x:c r="N50" s="159" t="str"/>
      <x:c r="O50" s="159" t="str"/>
      <x:c r="P50" s="159" t="str"/>
      <x:c r="Q50" s="159" t="str">
        <x:v>WBS 5.6 and backend integration required</x:v>
      </x:c>
      <x:c r="R50" s="159" t="str"/>
      <x:c r="S50" s="159" t="str">
        <x:v>Manual/Frontend</x:v>
      </x:c>
      <x:c r="T50" s="160" t="str"/>
    </x:row>
    <x:row r="51">
      <x:c r="A51" s="158" t="str">
        <x:v>S2-UI-10</x:v>
      </x:c>
      <x:c r="B51" s="159" t="str">
        <x:v>5.6</x:v>
      </x:c>
      <x:c r="C51" s="159" t="str">
        <x:v>FR-03, FR-04, FR-05, FR-06, NFR-01, NFR-02, NFR-10</x:v>
      </x:c>
      <x:c r="D51" s="159" t="str">
        <x:v>Frontend</x:v>
      </x:c>
      <x:c r="E51" s="159" t="str">
        <x:v>Medium</x:v>
      </x:c>
      <x:c r="F51" s="159" t="str">
        <x:v>Recommendation and Readiness UI</x:v>
      </x:c>
      <x:c r="G51" s="159" t="str">
        <x:v>Responsive and keyboard behaviour is acceptable</x:v>
      </x:c>
      <x:c r="H51" s="159" t="str">
        <x:v>WBS 5.6 integrated</x:v>
      </x:c>
      <x:c r="I51" s="159" t="str">
        <x:v>Execute frontend scenario</x:v>
      </x:c>
      <x:c r="J51" s="159" t="str">
        <x:v>Core flow remains usable</x:v>
      </x:c>
      <x:c r="K51" s="159" t="str">
        <x:v>Joyee</x:v>
      </x:c>
      <x:c r="L51" s="159" t="str">
        <x:v>Blocked</x:v>
      </x:c>
      <x:c r="M51" s="159" t="str"/>
      <x:c r="N51" s="159" t="str"/>
      <x:c r="O51" s="159" t="str"/>
      <x:c r="P51" s="159" t="str"/>
      <x:c r="Q51" s="159" t="str">
        <x:v>WBS 5.6 and backend integration required</x:v>
      </x:c>
      <x:c r="R51" s="159" t="str"/>
      <x:c r="S51" s="159" t="str">
        <x:v>Manual/Frontend</x:v>
      </x:c>
      <x:c r="T51" s="160" t="str"/>
    </x:row>
    <x:row r="52">
      <x:c r="A52" s="158" t="str">
        <x:v>S2-LEARN-01</x:v>
      </x:c>
      <x:c r="B52" s="159" t="str">
        <x:v>5.7</x:v>
      </x:c>
      <x:c r="C52" s="159" t="str">
        <x:v>FR-11, FR-12, NFR-08, NFR-09</x:v>
      </x:c>
      <x:c r="D52" s="159" t="str">
        <x:v>API</x:v>
      </x:c>
      <x:c r="E52" s="159" t="str">
        <x:v>Critical</x:v>
      </x:c>
      <x:c r="F52" s="159" t="str">
        <x:v>Learning Suggestions API</x:v>
      </x:c>
      <x:c r="G52" s="159" t="str">
        <x:v>Learning API accepts unresolved gaps</x:v>
      </x:c>
      <x:c r="H52" s="159" t="str">
        <x:v>WBS 5.7 merged</x:v>
      </x:c>
      <x:c r="I52" s="159" t="str">
        <x:v>Execute learning API scenario</x:v>
      </x:c>
      <x:c r="J52" s="159" t="str">
        <x:v>Structured suggestions returned</x:v>
      </x:c>
      <x:c r="K52" s="159" t="str">
        <x:v>MD</x:v>
      </x:c>
      <x:c r="L52" s="159" t="str">
        <x:v>Blocked</x:v>
      </x:c>
      <x:c r="M52" s="159" t="str"/>
      <x:c r="N52" s="159" t="str"/>
      <x:c r="O52" s="159" t="str"/>
      <x:c r="P52" s="159" t="str"/>
      <x:c r="Q52" s="159" t="str">
        <x:v>WBS 5.7 merged API required</x:v>
      </x:c>
      <x:c r="R52" s="159" t="str"/>
      <x:c r="S52" s="159" t="str">
        <x:v>Automated/Manual</x:v>
      </x:c>
      <x:c r="T52" s="160" t="str"/>
    </x:row>
    <x:row r="53">
      <x:c r="A53" s="158" t="str">
        <x:v>S2-LEARN-02</x:v>
      </x:c>
      <x:c r="B53" s="159" t="str">
        <x:v>5.7</x:v>
      </x:c>
      <x:c r="C53" s="159" t="str">
        <x:v>FR-11, FR-12, NFR-08, NFR-09</x:v>
      </x:c>
      <x:c r="D53" s="159" t="str">
        <x:v>API</x:v>
      </x:c>
      <x:c r="E53" s="159" t="str">
        <x:v>Critical</x:v>
      </x:c>
      <x:c r="F53" s="159" t="str">
        <x:v>Learning Suggestions API</x:v>
      </x:c>
      <x:c r="G53" s="159" t="str">
        <x:v>Missing Skills receive relevant suggestions</x:v>
      </x:c>
      <x:c r="H53" s="159" t="str">
        <x:v>WBS 5.7 merged</x:v>
      </x:c>
      <x:c r="I53" s="159" t="str">
        <x:v>Execute learning API scenario</x:v>
      </x:c>
      <x:c r="J53" s="159" t="str">
        <x:v>Suggestions map to missing Skills</x:v>
      </x:c>
      <x:c r="K53" s="159" t="str">
        <x:v>MD</x:v>
      </x:c>
      <x:c r="L53" s="159" t="str">
        <x:v>Blocked</x:v>
      </x:c>
      <x:c r="M53" s="159" t="str"/>
      <x:c r="N53" s="159" t="str"/>
      <x:c r="O53" s="159" t="str"/>
      <x:c r="P53" s="159" t="str"/>
      <x:c r="Q53" s="159" t="str">
        <x:v>WBS 5.7 merged API required</x:v>
      </x:c>
      <x:c r="R53" s="159" t="str"/>
      <x:c r="S53" s="159" t="str">
        <x:v>Automated/Manual</x:v>
      </x:c>
      <x:c r="T53" s="160" t="str"/>
    </x:row>
    <x:row r="54">
      <x:c r="A54" s="158" t="str">
        <x:v>S2-LEARN-03</x:v>
      </x:c>
      <x:c r="B54" s="159" t="str">
        <x:v>5.7</x:v>
      </x:c>
      <x:c r="C54" s="159" t="str">
        <x:v>FR-11, FR-12, NFR-08, NFR-09</x:v>
      </x:c>
      <x:c r="D54" s="159" t="str">
        <x:v>API</x:v>
      </x:c>
      <x:c r="E54" s="159" t="str">
        <x:v>Critical</x:v>
      </x:c>
      <x:c r="F54" s="159" t="str">
        <x:v>Learning Suggestions API</x:v>
      </x:c>
      <x:c r="G54" s="159" t="str">
        <x:v>Below-requirement Skills receive relevant suggestions</x:v>
      </x:c>
      <x:c r="H54" s="159" t="str">
        <x:v>WBS 5.7 merged</x:v>
      </x:c>
      <x:c r="I54" s="159" t="str">
        <x:v>Execute learning API scenario</x:v>
      </x:c>
      <x:c r="J54" s="159" t="str">
        <x:v>Suggestions map to partial gaps</x:v>
      </x:c>
      <x:c r="K54" s="159" t="str">
        <x:v>MD</x:v>
      </x:c>
      <x:c r="L54" s="159" t="str">
        <x:v>Blocked</x:v>
      </x:c>
      <x:c r="M54" s="159" t="str"/>
      <x:c r="N54" s="159" t="str"/>
      <x:c r="O54" s="159" t="str"/>
      <x:c r="P54" s="159" t="str"/>
      <x:c r="Q54" s="159" t="str">
        <x:v>WBS 5.7 merged API required</x:v>
      </x:c>
      <x:c r="R54" s="159" t="str"/>
      <x:c r="S54" s="159" t="str">
        <x:v>Automated/Manual</x:v>
      </x:c>
      <x:c r="T54" s="160" t="str"/>
    </x:row>
    <x:row r="55">
      <x:c r="A55" s="158" t="str">
        <x:v>S2-LEARN-04</x:v>
      </x:c>
      <x:c r="B55" s="159" t="str">
        <x:v>5.7</x:v>
      </x:c>
      <x:c r="C55" s="159" t="str">
        <x:v>FR-11, FR-12, NFR-08, NFR-09</x:v>
      </x:c>
      <x:c r="D55" s="159" t="str">
        <x:v>API</x:v>
      </x:c>
      <x:c r="E55" s="159" t="str">
        <x:v>High</x:v>
      </x:c>
      <x:c r="F55" s="159" t="str">
        <x:v>Learning Suggestions API</x:v>
      </x:c>
      <x:c r="G55" s="159" t="str">
        <x:v>Met requirements are not prioritised</x:v>
      </x:c>
      <x:c r="H55" s="159" t="str">
        <x:v>WBS 5.7 merged</x:v>
      </x:c>
      <x:c r="I55" s="159" t="str">
        <x:v>Execute learning API scenario</x:v>
      </x:c>
      <x:c r="J55" s="159" t="str">
        <x:v>Met Skills excluded from unresolved priorities</x:v>
      </x:c>
      <x:c r="K55" s="159" t="str">
        <x:v>MD</x:v>
      </x:c>
      <x:c r="L55" s="159" t="str">
        <x:v>Blocked</x:v>
      </x:c>
      <x:c r="M55" s="159" t="str"/>
      <x:c r="N55" s="159" t="str"/>
      <x:c r="O55" s="159" t="str"/>
      <x:c r="P55" s="159" t="str"/>
      <x:c r="Q55" s="159" t="str">
        <x:v>WBS 5.7 merged API required</x:v>
      </x:c>
      <x:c r="R55" s="159" t="str"/>
      <x:c r="S55" s="159" t="str">
        <x:v>Automated/Manual</x:v>
      </x:c>
      <x:c r="T55" s="160" t="str"/>
    </x:row>
    <x:row r="56">
      <x:c r="A56" s="158" t="str">
        <x:v>S2-LEARN-05</x:v>
      </x:c>
      <x:c r="B56" s="159" t="str">
        <x:v>5.7</x:v>
      </x:c>
      <x:c r="C56" s="159" t="str">
        <x:v>FR-11, FR-12, NFR-08, NFR-09</x:v>
      </x:c>
      <x:c r="D56" s="159" t="str">
        <x:v>API</x:v>
      </x:c>
      <x:c r="E56" s="159" t="str">
        <x:v>High</x:v>
      </x:c>
      <x:c r="F56" s="159" t="str">
        <x:v>Learning Suggestions API</x:v>
      </x:c>
      <x:c r="G56" s="159" t="str">
        <x:v>Selected Career context is preserved</x:v>
      </x:c>
      <x:c r="H56" s="159" t="str">
        <x:v>WBS 5.7 merged</x:v>
      </x:c>
      <x:c r="I56" s="159" t="str">
        <x:v>Execute learning API scenario</x:v>
      </x:c>
      <x:c r="J56" s="159" t="str">
        <x:v>Suggestions stay linked to selected Career</x:v>
      </x:c>
      <x:c r="K56" s="159" t="str">
        <x:v>MD</x:v>
      </x:c>
      <x:c r="L56" s="159" t="str">
        <x:v>Blocked</x:v>
      </x:c>
      <x:c r="M56" s="159" t="str"/>
      <x:c r="N56" s="159" t="str"/>
      <x:c r="O56" s="159" t="str"/>
      <x:c r="P56" s="159" t="str"/>
      <x:c r="Q56" s="159" t="str">
        <x:v>WBS 5.7 merged API required</x:v>
      </x:c>
      <x:c r="R56" s="159" t="str"/>
      <x:c r="S56" s="159" t="str">
        <x:v>Automated/Manual</x:v>
      </x:c>
      <x:c r="T56" s="160" t="str"/>
    </x:row>
    <x:row r="57">
      <x:c r="A57" s="158" t="str">
        <x:v>S2-LEARN-06</x:v>
      </x:c>
      <x:c r="B57" s="159" t="str">
        <x:v>5.7</x:v>
      </x:c>
      <x:c r="C57" s="159" t="str">
        <x:v>FR-11, FR-12, NFR-08, NFR-09</x:v>
      </x:c>
      <x:c r="D57" s="159" t="str">
        <x:v>API</x:v>
      </x:c>
      <x:c r="E57" s="159" t="str">
        <x:v>High</x:v>
      </x:c>
      <x:c r="F57" s="159" t="str">
        <x:v>Learning Suggestions API</x:v>
      </x:c>
      <x:c r="G57" s="159" t="str">
        <x:v>Empty or insufficient input is controlled</x:v>
      </x:c>
      <x:c r="H57" s="159" t="str">
        <x:v>WBS 5.7 merged</x:v>
      </x:c>
      <x:c r="I57" s="159" t="str">
        <x:v>Execute learning API scenario</x:v>
      </x:c>
      <x:c r="J57" s="159" t="str">
        <x:v>Controlled empty or insufficient result</x:v>
      </x:c>
      <x:c r="K57" s="159" t="str">
        <x:v>MD</x:v>
      </x:c>
      <x:c r="L57" s="159" t="str">
        <x:v>Blocked</x:v>
      </x:c>
      <x:c r="M57" s="159" t="str"/>
      <x:c r="N57" s="159" t="str"/>
      <x:c r="O57" s="159" t="str"/>
      <x:c r="P57" s="159" t="str"/>
      <x:c r="Q57" s="159" t="str">
        <x:v>WBS 5.7 merged API required</x:v>
      </x:c>
      <x:c r="R57" s="159" t="str"/>
      <x:c r="S57" s="159" t="str">
        <x:v>Automated/Manual</x:v>
      </x:c>
      <x:c r="T57" s="160" t="str"/>
    </x:row>
    <x:row r="58">
      <x:c r="A58" s="158" t="str">
        <x:v>S2-LEARN-07</x:v>
      </x:c>
      <x:c r="B58" s="159" t="str">
        <x:v>5.7</x:v>
      </x:c>
      <x:c r="C58" s="159" t="str">
        <x:v>FR-11, FR-12, NFR-08, NFR-09</x:v>
      </x:c>
      <x:c r="D58" s="159" t="str">
        <x:v>API</x:v>
      </x:c>
      <x:c r="E58" s="159" t="str">
        <x:v>High</x:v>
      </x:c>
      <x:c r="F58" s="159" t="str">
        <x:v>Learning Suggestions API</x:v>
      </x:c>
      <x:c r="G58" s="159" t="str">
        <x:v>Invalid learning request is controlled</x:v>
      </x:c>
      <x:c r="H58" s="159" t="str">
        <x:v>WBS 5.7 merged</x:v>
      </x:c>
      <x:c r="I58" s="159" t="str">
        <x:v>Execute learning API scenario</x:v>
      </x:c>
      <x:c r="J58" s="159" t="str">
        <x:v>Validation error returned</x:v>
      </x:c>
      <x:c r="K58" s="159" t="str">
        <x:v>MD</x:v>
      </x:c>
      <x:c r="L58" s="159" t="str">
        <x:v>Blocked</x:v>
      </x:c>
      <x:c r="M58" s="159" t="str"/>
      <x:c r="N58" s="159" t="str"/>
      <x:c r="O58" s="159" t="str"/>
      <x:c r="P58" s="159" t="str"/>
      <x:c r="Q58" s="159" t="str">
        <x:v>WBS 5.7 merged API required</x:v>
      </x:c>
      <x:c r="R58" s="159" t="str"/>
      <x:c r="S58" s="159" t="str">
        <x:v>Automated/Manual</x:v>
      </x:c>
      <x:c r="T58" s="160" t="str"/>
    </x:row>
    <x:row r="59">
      <x:c r="A59" s="158" t="str">
        <x:v>S2-LEARN-08</x:v>
      </x:c>
      <x:c r="B59" s="159" t="str">
        <x:v>5.7</x:v>
      </x:c>
      <x:c r="C59" s="159" t="str">
        <x:v>FR-11, FR-12, NFR-08, NFR-09</x:v>
      </x:c>
      <x:c r="D59" s="159" t="str">
        <x:v>API</x:v>
      </x:c>
      <x:c r="E59" s="159" t="str">
        <x:v>Medium</x:v>
      </x:c>
      <x:c r="F59" s="159" t="str">
        <x:v>Learning Suggestions API</x:v>
      </x:c>
      <x:c r="G59" s="159" t="str">
        <x:v>Repeated structured input is stable</x:v>
      </x:c>
      <x:c r="H59" s="159" t="str">
        <x:v>WBS 5.7 merged</x:v>
      </x:c>
      <x:c r="I59" s="159" t="str">
        <x:v>Execute learning API scenario</x:v>
      </x:c>
      <x:c r="J59" s="159" t="str">
        <x:v>Stable result where applicable</x:v>
      </x:c>
      <x:c r="K59" s="159" t="str">
        <x:v>MD</x:v>
      </x:c>
      <x:c r="L59" s="159" t="str">
        <x:v>Blocked</x:v>
      </x:c>
      <x:c r="M59" s="159" t="str"/>
      <x:c r="N59" s="159" t="str"/>
      <x:c r="O59" s="159" t="str"/>
      <x:c r="P59" s="159" t="str"/>
      <x:c r="Q59" s="159" t="str">
        <x:v>WBS 5.7 merged API required</x:v>
      </x:c>
      <x:c r="R59" s="159" t="str"/>
      <x:c r="S59" s="159" t="str">
        <x:v>Automated/Manual</x:v>
      </x:c>
      <x:c r="T59" s="160" t="str"/>
    </x:row>
    <x:row r="60">
      <x:c r="A60" s="158" t="str">
        <x:v>S2-ROAD-01</x:v>
      </x:c>
      <x:c r="B60" s="159" t="str">
        <x:v>5.8</x:v>
      </x:c>
      <x:c r="C60" s="159" t="str">
        <x:v>FR-12, NFR-01, NFR-02, NFR-10</x:v>
      </x:c>
      <x:c r="D60" s="159" t="str">
        <x:v>Frontend</x:v>
      </x:c>
      <x:c r="E60" s="159" t="str">
        <x:v>Critical</x:v>
      </x:c>
      <x:c r="F60" s="159" t="str">
        <x:v>Learning Roadmap UI</x:v>
      </x:c>
      <x:c r="G60" s="159" t="str">
        <x:v>Roadmap loads from backend</x:v>
      </x:c>
      <x:c r="H60" s="159" t="str">
        <x:v>WBS 5.8 integrated</x:v>
      </x:c>
      <x:c r="I60" s="159" t="str">
        <x:v>Execute roadmap UI scenario</x:v>
      </x:c>
      <x:c r="J60" s="159" t="str">
        <x:v>Ordered roadmap renders</x:v>
      </x:c>
      <x:c r="K60" s="159" t="str">
        <x:v>Joyee</x:v>
      </x:c>
      <x:c r="L60" s="159" t="str">
        <x:v>Blocked</x:v>
      </x:c>
      <x:c r="M60" s="159" t="str"/>
      <x:c r="N60" s="159" t="str"/>
      <x:c r="O60" s="159" t="str"/>
      <x:c r="P60" s="159" t="str"/>
      <x:c r="Q60" s="159" t="str">
        <x:v>WBS 5.8 and WBS 5.7 required</x:v>
      </x:c>
      <x:c r="R60" s="159" t="str"/>
      <x:c r="S60" s="159" t="str">
        <x:v>Manual/Frontend</x:v>
      </x:c>
      <x:c r="T60" s="160" t="str"/>
    </x:row>
    <x:row r="61">
      <x:c r="A61" s="158" t="str">
        <x:v>S2-ROAD-02</x:v>
      </x:c>
      <x:c r="B61" s="159" t="str">
        <x:v>5.8</x:v>
      </x:c>
      <x:c r="C61" s="159" t="str">
        <x:v>FR-12, NFR-01, NFR-02, NFR-10</x:v>
      </x:c>
      <x:c r="D61" s="159" t="str">
        <x:v>Frontend</x:v>
      </x:c>
      <x:c r="E61" s="159" t="str">
        <x:v>Critical</x:v>
      </x:c>
      <x:c r="F61" s="159" t="str">
        <x:v>Learning Roadmap UI</x:v>
      </x:c>
      <x:c r="G61" s="159" t="str">
        <x:v>Roadmap order matches API</x:v>
      </x:c>
      <x:c r="H61" s="159" t="str">
        <x:v>WBS 5.8 integrated</x:v>
      </x:c>
      <x:c r="I61" s="159" t="str">
        <x:v>Execute roadmap UI scenario</x:v>
      </x:c>
      <x:c r="J61" s="159" t="str">
        <x:v>Display order matches response</x:v>
      </x:c>
      <x:c r="K61" s="159" t="str">
        <x:v>Joyee</x:v>
      </x:c>
      <x:c r="L61" s="159" t="str">
        <x:v>Blocked</x:v>
      </x:c>
      <x:c r="M61" s="159" t="str"/>
      <x:c r="N61" s="159" t="str"/>
      <x:c r="O61" s="159" t="str"/>
      <x:c r="P61" s="159" t="str"/>
      <x:c r="Q61" s="159" t="str">
        <x:v>WBS 5.8 and WBS 5.7 required</x:v>
      </x:c>
      <x:c r="R61" s="159" t="str"/>
      <x:c r="S61" s="159" t="str">
        <x:v>Manual/Frontend</x:v>
      </x:c>
      <x:c r="T61" s="160" t="str"/>
    </x:row>
    <x:row r="62">
      <x:c r="A62" s="158" t="str">
        <x:v>S2-ROAD-03</x:v>
      </x:c>
      <x:c r="B62" s="159" t="str">
        <x:v>5.8</x:v>
      </x:c>
      <x:c r="C62" s="159" t="str">
        <x:v>FR-12, NFR-01, NFR-02, NFR-10</x:v>
      </x:c>
      <x:c r="D62" s="159" t="str">
        <x:v>Frontend</x:v>
      </x:c>
      <x:c r="E62" s="159" t="str">
        <x:v>High</x:v>
      </x:c>
      <x:c r="F62" s="159" t="str">
        <x:v>Learning Roadmap UI</x:v>
      </x:c>
      <x:c r="G62" s="159" t="str">
        <x:v>Roadmap Skill names match selected Career gaps</x:v>
      </x:c>
      <x:c r="H62" s="159" t="str">
        <x:v>WBS 5.8 integrated</x:v>
      </x:c>
      <x:c r="I62" s="159" t="str">
        <x:v>Execute roadmap UI scenario</x:v>
      </x:c>
      <x:c r="J62" s="159" t="str">
        <x:v>Correct Skill names shown</x:v>
      </x:c>
      <x:c r="K62" s="159" t="str">
        <x:v>Joyee</x:v>
      </x:c>
      <x:c r="L62" s="159" t="str">
        <x:v>Blocked</x:v>
      </x:c>
      <x:c r="M62" s="159" t="str"/>
      <x:c r="N62" s="159" t="str"/>
      <x:c r="O62" s="159" t="str"/>
      <x:c r="P62" s="159" t="str"/>
      <x:c r="Q62" s="159" t="str">
        <x:v>WBS 5.8 and WBS 5.7 required</x:v>
      </x:c>
      <x:c r="R62" s="159" t="str"/>
      <x:c r="S62" s="159" t="str">
        <x:v>Manual/Frontend</x:v>
      </x:c>
      <x:c r="T62" s="160" t="str"/>
    </x:row>
    <x:row r="63">
      <x:c r="A63" s="158" t="str">
        <x:v>S2-ROAD-04</x:v>
      </x:c>
      <x:c r="B63" s="159" t="str">
        <x:v>5.8</x:v>
      </x:c>
      <x:c r="C63" s="159" t="str">
        <x:v>FR-12, NFR-01, NFR-02, NFR-10</x:v>
      </x:c>
      <x:c r="D63" s="159" t="str">
        <x:v>Frontend</x:v>
      </x:c>
      <x:c r="E63" s="159" t="str">
        <x:v>High</x:v>
      </x:c>
      <x:c r="F63" s="159" t="str">
        <x:v>Learning Roadmap UI</x:v>
      </x:c>
      <x:c r="G63" s="159" t="str">
        <x:v>Resources/actions map to correct Skill</x:v>
      </x:c>
      <x:c r="H63" s="159" t="str">
        <x:v>WBS 5.8 integrated</x:v>
      </x:c>
      <x:c r="I63" s="159" t="str">
        <x:v>Execute roadmap UI scenario</x:v>
      </x:c>
      <x:c r="J63" s="159" t="str">
        <x:v>Correct gap mapping</x:v>
      </x:c>
      <x:c r="K63" s="159" t="str">
        <x:v>Joyee</x:v>
      </x:c>
      <x:c r="L63" s="159" t="str">
        <x:v>Blocked</x:v>
      </x:c>
      <x:c r="M63" s="159" t="str"/>
      <x:c r="N63" s="159" t="str"/>
      <x:c r="O63" s="159" t="str"/>
      <x:c r="P63" s="159" t="str"/>
      <x:c r="Q63" s="159" t="str">
        <x:v>WBS 5.8 and WBS 5.7 required</x:v>
      </x:c>
      <x:c r="R63" s="159" t="str"/>
      <x:c r="S63" s="159" t="str">
        <x:v>Manual/Frontend</x:v>
      </x:c>
      <x:c r="T63" s="160" t="str"/>
    </x:row>
    <x:row r="64">
      <x:c r="A64" s="158" t="str">
        <x:v>S2-ROAD-05</x:v>
      </x:c>
      <x:c r="B64" s="159" t="str">
        <x:v>5.8</x:v>
      </x:c>
      <x:c r="C64" s="159" t="str">
        <x:v>FR-12, NFR-01, NFR-02, NFR-10</x:v>
      </x:c>
      <x:c r="D64" s="159" t="str">
        <x:v>Frontend</x:v>
      </x:c>
      <x:c r="E64" s="159" t="str">
        <x:v>High</x:v>
      </x:c>
      <x:c r="F64" s="159" t="str">
        <x:v>Learning Roadmap UI</x:v>
      </x:c>
      <x:c r="G64" s="159" t="str">
        <x:v>Empty roadmap state is controlled</x:v>
      </x:c>
      <x:c r="H64" s="159" t="str">
        <x:v>WBS 5.8 integrated</x:v>
      </x:c>
      <x:c r="I64" s="159" t="str">
        <x:v>Execute roadmap UI scenario</x:v>
      </x:c>
      <x:c r="J64" s="159" t="str">
        <x:v>No false roadmap data</x:v>
      </x:c>
      <x:c r="K64" s="159" t="str">
        <x:v>Joyee</x:v>
      </x:c>
      <x:c r="L64" s="159" t="str">
        <x:v>Blocked</x:v>
      </x:c>
      <x:c r="M64" s="159" t="str"/>
      <x:c r="N64" s="159" t="str"/>
      <x:c r="O64" s="159" t="str"/>
      <x:c r="P64" s="159" t="str"/>
      <x:c r="Q64" s="159" t="str">
        <x:v>WBS 5.8 and WBS 5.7 required</x:v>
      </x:c>
      <x:c r="R64" s="159" t="str"/>
      <x:c r="S64" s="159" t="str">
        <x:v>Manual/Frontend</x:v>
      </x:c>
      <x:c r="T64" s="160" t="str"/>
    </x:row>
    <x:row r="65">
      <x:c r="A65" s="158" t="str">
        <x:v>S2-ROAD-06</x:v>
      </x:c>
      <x:c r="B65" s="159" t="str">
        <x:v>5.8</x:v>
      </x:c>
      <x:c r="C65" s="159" t="str">
        <x:v>FR-12, NFR-01, NFR-02, NFR-10</x:v>
      </x:c>
      <x:c r="D65" s="159" t="str">
        <x:v>Frontend</x:v>
      </x:c>
      <x:c r="E65" s="159" t="str">
        <x:v>High</x:v>
      </x:c>
      <x:c r="F65" s="159" t="str">
        <x:v>Learning Roadmap UI</x:v>
      </x:c>
      <x:c r="G65" s="159" t="str">
        <x:v>Roadmap API-error state is controlled</x:v>
      </x:c>
      <x:c r="H65" s="159" t="str">
        <x:v>WBS 5.8 integrated</x:v>
      </x:c>
      <x:c r="I65" s="159" t="str">
        <x:v>Execute roadmap UI scenario</x:v>
      </x:c>
      <x:c r="J65" s="159" t="str">
        <x:v>Controlled error displayed</x:v>
      </x:c>
      <x:c r="K65" s="159" t="str">
        <x:v>Joyee</x:v>
      </x:c>
      <x:c r="L65" s="159" t="str">
        <x:v>Blocked</x:v>
      </x:c>
      <x:c r="M65" s="159" t="str"/>
      <x:c r="N65" s="159" t="str"/>
      <x:c r="O65" s="159" t="str"/>
      <x:c r="P65" s="159" t="str"/>
      <x:c r="Q65" s="159" t="str">
        <x:v>WBS 5.8 and WBS 5.7 required</x:v>
      </x:c>
      <x:c r="R65" s="159" t="str"/>
      <x:c r="S65" s="159" t="str">
        <x:v>Manual/Frontend</x:v>
      </x:c>
      <x:c r="T65" s="160" t="str"/>
    </x:row>
    <x:row r="66">
      <x:c r="A66" s="158" t="str">
        <x:v>S2-ROAD-07</x:v>
      </x:c>
      <x:c r="B66" s="159" t="str">
        <x:v>5.8</x:v>
      </x:c>
      <x:c r="C66" s="159" t="str">
        <x:v>FR-12, NFR-01, NFR-02, NFR-10</x:v>
      </x:c>
      <x:c r="D66" s="159" t="str">
        <x:v>Frontend</x:v>
      </x:c>
      <x:c r="E66" s="159" t="str">
        <x:v>Medium</x:v>
      </x:c>
      <x:c r="F66" s="159" t="str">
        <x:v>Learning Roadmap UI</x:v>
      </x:c>
      <x:c r="G66" s="159" t="str">
        <x:v>Navigation preserves selected Career context</x:v>
      </x:c>
      <x:c r="H66" s="159" t="str">
        <x:v>WBS 5.8 integrated</x:v>
      </x:c>
      <x:c r="I66" s="159" t="str">
        <x:v>Execute roadmap UI scenario</x:v>
      </x:c>
      <x:c r="J66" s="159" t="str">
        <x:v>Context remains consistent</x:v>
      </x:c>
      <x:c r="K66" s="159" t="str">
        <x:v>All Members</x:v>
      </x:c>
      <x:c r="L66" s="159" t="str">
        <x:v>Blocked</x:v>
      </x:c>
      <x:c r="M66" s="159" t="str"/>
      <x:c r="N66" s="159" t="str"/>
      <x:c r="O66" s="159" t="str"/>
      <x:c r="P66" s="159" t="str"/>
      <x:c r="Q66" s="159" t="str">
        <x:v>WBS 5.8 and WBS 5.7 required</x:v>
      </x:c>
      <x:c r="R66" s="159" t="str"/>
      <x:c r="S66" s="159" t="str">
        <x:v>Manual/Frontend</x:v>
      </x:c>
      <x:c r="T66" s="160" t="str"/>
    </x:row>
    <x:row r="67">
      <x:c r="A67" s="158" t="str">
        <x:v>S2-E2E-01</x:v>
      </x:c>
      <x:c r="B67" s="159" t="str">
        <x:v>5.9</x:v>
      </x:c>
      <x:c r="C67" s="159" t="str">
        <x:v>FR-03, FR-04, FR-05, FR-06, FR-11, FR-12, NFR-05, NFR-06</x:v>
      </x:c>
      <x:c r="D67" s="159" t="str">
        <x:v>End-to-End</x:v>
      </x:c>
      <x:c r="E67" s="159" t="str">
        <x:v>Critical</x:v>
      </x:c>
      <x:c r="F67" s="159" t="str">
        <x:v>Sprint 2 Integration</x:v>
      </x:c>
      <x:c r="G67" s="159" t="str">
        <x:v>Partial-match Student completes full Career Analysis</x:v>
      </x:c>
      <x:c r="H67" s="159" t="str">
        <x:v>All Sprint 2 components merged</x:v>
      </x:c>
      <x:c r="I67" s="159" t="str">
        <x:v>Run full Career Analysis flow</x:v>
      </x:c>
      <x:c r="J67" s="159" t="str">
        <x:v>Flow completes with linked data</x:v>
      </x:c>
      <x:c r="K67" s="159" t="str">
        <x:v>All Members</x:v>
      </x:c>
      <x:c r="L67" s="159" t="str">
        <x:v>Blocked</x:v>
      </x:c>
      <x:c r="M67" s="159" t="str"/>
      <x:c r="N67" s="159" t="str"/>
      <x:c r="O67" s="159" t="str"/>
      <x:c r="P67" s="159" t="str"/>
      <x:c r="Q67" s="159" t="str">
        <x:v>Full Sprint 2 integration gate not satisfied</x:v>
      </x:c>
      <x:c r="R67" s="159" t="str"/>
      <x:c r="S67" s="159" t="str">
        <x:v>Manual/Integration</x:v>
      </x:c>
      <x:c r="T67" s="160" t="str"/>
    </x:row>
    <x:row r="68">
      <x:c r="A68" s="158" t="str">
        <x:v>S2-E2E-02</x:v>
      </x:c>
      <x:c r="B68" s="159" t="str">
        <x:v>5.9</x:v>
      </x:c>
      <x:c r="C68" s="159" t="str">
        <x:v>FR-03, FR-04, FR-05, FR-06, FR-11, FR-12, NFR-05, NFR-06</x:v>
      </x:c>
      <x:c r="D68" s="159" t="str">
        <x:v>End-to-End</x:v>
      </x:c>
      <x:c r="E68" s="159" t="str">
        <x:v>Critical</x:v>
      </x:c>
      <x:c r="F68" s="159" t="str">
        <x:v>Sprint 2 Integration</x:v>
      </x:c>
      <x:c r="G68" s="159" t="str">
        <x:v>Unrelated Skills produce controlled low/zero results</x:v>
      </x:c>
      <x:c r="H68" s="159" t="str">
        <x:v>All Sprint 2 components merged</x:v>
      </x:c>
      <x:c r="I68" s="159" t="str">
        <x:v>Run full Career Analysis flow</x:v>
      </x:c>
      <x:c r="J68" s="159" t="str">
        <x:v>No false matches</x:v>
      </x:c>
      <x:c r="K68" s="159" t="str">
        <x:v>All Members</x:v>
      </x:c>
      <x:c r="L68" s="159" t="str">
        <x:v>Blocked</x:v>
      </x:c>
      <x:c r="M68" s="159" t="str"/>
      <x:c r="N68" s="159" t="str"/>
      <x:c r="O68" s="159" t="str"/>
      <x:c r="P68" s="159" t="str"/>
      <x:c r="Q68" s="159" t="str">
        <x:v>Full Sprint 2 integration gate not satisfied</x:v>
      </x:c>
      <x:c r="R68" s="159" t="str"/>
      <x:c r="S68" s="159" t="str">
        <x:v>Manual/Integration</x:v>
      </x:c>
      <x:c r="T68" s="160" t="str"/>
    </x:row>
    <x:row r="69">
      <x:c r="A69" s="158" t="str">
        <x:v>S2-E2E-03</x:v>
      </x:c>
      <x:c r="B69" s="159" t="str">
        <x:v>5.9</x:v>
      </x:c>
      <x:c r="C69" s="159" t="str">
        <x:v>FR-03, FR-04, FR-05, FR-06, FR-11, FR-12, NFR-05, NFR-06</x:v>
      </x:c>
      <x:c r="D69" s="159" t="str">
        <x:v>End-to-End</x:v>
      </x:c>
      <x:c r="E69" s="159" t="str">
        <x:v>Critical</x:v>
      </x:c>
      <x:c r="F69" s="159" t="str">
        <x:v>Sprint 2 Integration</x:v>
      </x:c>
      <x:c r="G69" s="159" t="str">
        <x:v>Empty Student Skill profile receives controlled flow</x:v>
      </x:c>
      <x:c r="H69" s="159" t="str">
        <x:v>All Sprint 2 components merged</x:v>
      </x:c>
      <x:c r="I69" s="159" t="str">
        <x:v>Run full Career Analysis flow</x:v>
      </x:c>
      <x:c r="J69" s="159" t="str">
        <x:v>No misleading scored results</x:v>
      </x:c>
      <x:c r="K69" s="159" t="str">
        <x:v>All Members</x:v>
      </x:c>
      <x:c r="L69" s="159" t="str">
        <x:v>Blocked</x:v>
      </x:c>
      <x:c r="M69" s="159" t="str"/>
      <x:c r="N69" s="159" t="str"/>
      <x:c r="O69" s="159" t="str"/>
      <x:c r="P69" s="159" t="str"/>
      <x:c r="Q69" s="159" t="str">
        <x:v>Full Sprint 2 integration gate not satisfied</x:v>
      </x:c>
      <x:c r="R69" s="159" t="str"/>
      <x:c r="S69" s="159" t="str">
        <x:v>Manual/Integration</x:v>
      </x:c>
      <x:c r="T69" s="160" t="str"/>
    </x:row>
    <x:row r="70">
      <x:c r="A70" s="158" t="str">
        <x:v>S2-E2E-04</x:v>
      </x:c>
      <x:c r="B70" s="159" t="str">
        <x:v>5.9</x:v>
      </x:c>
      <x:c r="C70" s="159" t="str">
        <x:v>FR-03, FR-04, FR-05, FR-06, FR-11, FR-12, NFR-05, NFR-06</x:v>
      </x:c>
      <x:c r="D70" s="159" t="str">
        <x:v>End-to-End</x:v>
      </x:c>
      <x:c r="E70" s="159" t="str">
        <x:v>High</x:v>
      </x:c>
      <x:c r="F70" s="159" t="str">
        <x:v>Sprint 2 Integration</x:v>
      </x:c>
      <x:c r="G70" s="159" t="str">
        <x:v>Insufficient-readiness Career remains controlled</x:v>
      </x:c>
      <x:c r="H70" s="159" t="str">
        <x:v>All Sprint 2 components merged</x:v>
      </x:c>
      <x:c r="I70" s="159" t="str">
        <x:v>Run full Career Analysis flow</x:v>
      </x:c>
      <x:c r="J70" s="159" t="str">
        <x:v>insufficient_evidence propagates safely</x:v>
      </x:c>
      <x:c r="K70" s="159" t="str">
        <x:v>All Members</x:v>
      </x:c>
      <x:c r="L70" s="159" t="str">
        <x:v>Blocked</x:v>
      </x:c>
      <x:c r="M70" s="159" t="str"/>
      <x:c r="N70" s="159" t="str"/>
      <x:c r="O70" s="159" t="str"/>
      <x:c r="P70" s="159" t="str"/>
      <x:c r="Q70" s="159" t="str">
        <x:v>Full Sprint 2 integration gate not satisfied</x:v>
      </x:c>
      <x:c r="R70" s="159" t="str"/>
      <x:c r="S70" s="159" t="str">
        <x:v>Manual/Integration</x:v>
      </x:c>
      <x:c r="T70" s="160" t="str"/>
    </x:row>
    <x:row r="71">
      <x:c r="A71" s="158" t="str">
        <x:v>S2-E2E-05</x:v>
      </x:c>
      <x:c r="B71" s="159" t="str">
        <x:v>5.9</x:v>
      </x:c>
      <x:c r="C71" s="159" t="str">
        <x:v>FR-03, FR-04, FR-05, FR-06, FR-11, FR-12, NFR-05, NFR-06</x:v>
      </x:c>
      <x:c r="D71" s="159" t="str">
        <x:v>End-to-End</x:v>
      </x:c>
      <x:c r="E71" s="159" t="str">
        <x:v>High</x:v>
      </x:c>
      <x:c r="F71" s="159" t="str">
        <x:v>Sprint 2 Integration</x:v>
      </x:c>
      <x:c r="G71" s="159" t="str">
        <x:v>Second Student cannot access first Student derived results</x:v>
      </x:c>
      <x:c r="H71" s="159" t="str">
        <x:v>All Sprint 2 components merged</x:v>
      </x:c>
      <x:c r="I71" s="159" t="str">
        <x:v>Run full Career Analysis flow</x:v>
      </x:c>
      <x:c r="J71" s="159" t="str">
        <x:v>Authenticated ownership isolation holds</x:v>
      </x:c>
      <x:c r="K71" s="159" t="str">
        <x:v>All Members</x:v>
      </x:c>
      <x:c r="L71" s="159" t="str">
        <x:v>Blocked</x:v>
      </x:c>
      <x:c r="M71" s="159" t="str"/>
      <x:c r="N71" s="159" t="str"/>
      <x:c r="O71" s="159" t="str"/>
      <x:c r="P71" s="159" t="str"/>
      <x:c r="Q71" s="159" t="str">
        <x:v>Full Sprint 2 integration gate not satisfied</x:v>
      </x:c>
      <x:c r="R71" s="159" t="str"/>
      <x:c r="S71" s="159" t="str">
        <x:v>Manual/Integration</x:v>
      </x:c>
      <x:c r="T71" s="160" t="str"/>
    </x:row>
    <x:row r="72">
      <x:c r="A72" s="158" t="str">
        <x:v>S2-REG-01</x:v>
      </x:c>
      <x:c r="B72" s="159" t="str">
        <x:v>5.9</x:v>
      </x:c>
      <x:c r="C72" s="159" t="str">
        <x:v>NFR-05, NFR-06, NFR-08, NFR-12</x:v>
      </x:c>
      <x:c r="D72" s="159" t="str">
        <x:v>Regression</x:v>
      </x:c>
      <x:c r="E72" s="159" t="str">
        <x:v>Critical</x:v>
      </x:c>
      <x:c r="F72" s="159" t="str">
        <x:v>Sprint 1 Regression</x:v>
      </x:c>
      <x:c r="G72" s="159" t="str">
        <x:v>Sprint 1 registration and login still work</x:v>
      </x:c>
      <x:c r="H72" s="159" t="str">
        <x:v>Sprint 2 integration branch available</x:v>
      </x:c>
      <x:c r="I72" s="159" t="str">
        <x:v>Run regression scenario</x:v>
      </x:c>
      <x:c r="J72" s="159" t="str">
        <x:v>Authentication remains functional</x:v>
      </x:c>
      <x:c r="K72" s="159" t="str">
        <x:v>All Members</x:v>
      </x:c>
      <x:c r="L72" s="159" t="str">
        <x:v>Blocked</x:v>
      </x:c>
      <x:c r="M72" s="159" t="str"/>
      <x:c r="N72" s="159" t="str"/>
      <x:c r="O72" s="159" t="str"/>
      <x:c r="P72" s="159" t="str"/>
      <x:c r="Q72" s="159" t="str">
        <x:v>Full Sprint 2 integration branch required</x:v>
      </x:c>
      <x:c r="R72" s="159" t="str"/>
      <x:c r="S72" s="159" t="str">
        <x:v>Automated/Manual</x:v>
      </x:c>
      <x:c r="T72" s="160" t="str"/>
    </x:row>
    <x:row r="73">
      <x:c r="A73" s="158" t="str">
        <x:v>S2-REG-02</x:v>
      </x:c>
      <x:c r="B73" s="159" t="str">
        <x:v>5.9</x:v>
      </x:c>
      <x:c r="C73" s="159" t="str">
        <x:v>NFR-05, NFR-06, NFR-08, NFR-12</x:v>
      </x:c>
      <x:c r="D73" s="159" t="str">
        <x:v>Regression</x:v>
      </x:c>
      <x:c r="E73" s="159" t="str">
        <x:v>High</x:v>
      </x:c>
      <x:c r="F73" s="159" t="str">
        <x:v>Sprint 1 Regression</x:v>
      </x:c>
      <x:c r="G73" s="159" t="str">
        <x:v>Student Profile load/update still work</x:v>
      </x:c>
      <x:c r="H73" s="159" t="str">
        <x:v>Sprint 2 integration branch available</x:v>
      </x:c>
      <x:c r="I73" s="159" t="str">
        <x:v>Run regression scenario</x:v>
      </x:c>
      <x:c r="J73" s="159" t="str">
        <x:v>Profile flow remains functional</x:v>
      </x:c>
      <x:c r="K73" s="159" t="str">
        <x:v>All Members</x:v>
      </x:c>
      <x:c r="L73" s="159" t="str">
        <x:v>Blocked</x:v>
      </x:c>
      <x:c r="M73" s="159" t="str"/>
      <x:c r="N73" s="159" t="str"/>
      <x:c r="O73" s="159" t="str"/>
      <x:c r="P73" s="159" t="str"/>
      <x:c r="Q73" s="159" t="str">
        <x:v>Full Sprint 2 integration branch required</x:v>
      </x:c>
      <x:c r="R73" s="159" t="str"/>
      <x:c r="S73" s="159" t="str">
        <x:v>Automated/Manual</x:v>
      </x:c>
      <x:c r="T73" s="160" t="str"/>
    </x:row>
    <x:row r="74">
      <x:c r="A74" s="158" t="str">
        <x:v>S2-REG-03</x:v>
      </x:c>
      <x:c r="B74" s="159" t="str">
        <x:v>5.9</x:v>
      </x:c>
      <x:c r="C74" s="159" t="str">
        <x:v>NFR-05, NFR-06, NFR-08, NFR-12</x:v>
      </x:c>
      <x:c r="D74" s="159" t="str">
        <x:v>Regression</x:v>
      </x:c>
      <x:c r="E74" s="159" t="str">
        <x:v>High</x:v>
      </x:c>
      <x:c r="F74" s="159" t="str">
        <x:v>Sprint 1 Regression</x:v>
      </x:c>
      <x:c r="G74" s="159" t="str">
        <x:v>StudentSkill proficiency persists correctly</x:v>
      </x:c>
      <x:c r="H74" s="159" t="str">
        <x:v>Sprint 2 integration branch available</x:v>
      </x:c>
      <x:c r="I74" s="159" t="str">
        <x:v>Run regression scenario</x:v>
      </x:c>
      <x:c r="J74" s="159" t="str">
        <x:v>Stored proficiency remains correct</x:v>
      </x:c>
      <x:c r="K74" s="159" t="str">
        <x:v>All Members</x:v>
      </x:c>
      <x:c r="L74" s="159" t="str">
        <x:v>Not Run</x:v>
      </x:c>
      <x:c r="M74" s="159" t="str"/>
      <x:c r="N74" s="159" t="str"/>
      <x:c r="O74" s="159" t="str"/>
      <x:c r="P74" s="159" t="str"/>
      <x:c r="Q74" s="159" t="str"/>
      <x:c r="R74" s="159" t="str"/>
      <x:c r="S74" s="159" t="str">
        <x:v>Automated/Manual</x:v>
      </x:c>
      <x:c r="T74" s="160" t="str"/>
    </x:row>
    <x:row r="75">
      <x:c r="A75" s="158" t="str">
        <x:v>S2-REG-04</x:v>
      </x:c>
      <x:c r="B75" s="159" t="str">
        <x:v>5.9</x:v>
      </x:c>
      <x:c r="C75" s="159" t="str">
        <x:v>NFR-05, NFR-06, NFR-08, NFR-12</x:v>
      </x:c>
      <x:c r="D75" s="159" t="str">
        <x:v>Regression</x:v>
      </x:c>
      <x:c r="E75" s="159" t="str">
        <x:v>High</x:v>
      </x:c>
      <x:c r="F75" s="159" t="str">
        <x:v>Sprint 1 Regression</x:v>
      </x:c>
      <x:c r="G75" s="159" t="str">
        <x:v>Cross-student Student Profile isolation still holds</x:v>
      </x:c>
      <x:c r="H75" s="159" t="str">
        <x:v>Sprint 2 integration branch available</x:v>
      </x:c>
      <x:c r="I75" s="159" t="str">
        <x:v>Run regression scenario</x:v>
      </x:c>
      <x:c r="J75" s="159" t="str">
        <x:v>No protected cross-user data exposed</x:v>
      </x:c>
      <x:c r="K75" s="159" t="str">
        <x:v>All Members</x:v>
      </x:c>
      <x:c r="L75" s="159" t="str">
        <x:v>Not Run</x:v>
      </x:c>
      <x:c r="M75" s="159" t="str"/>
      <x:c r="N75" s="159" t="str"/>
      <x:c r="O75" s="159" t="str"/>
      <x:c r="P75" s="159" t="str"/>
      <x:c r="Q75" s="159" t="str"/>
      <x:c r="R75" s="159" t="str"/>
      <x:c r="S75" s="159" t="str">
        <x:v>Automated/Manual</x:v>
      </x:c>
      <x:c r="T75" s="160" t="str"/>
    </x:row>
    <x:row r="76">
      <x:c r="A76" s="158" t="str">
        <x:v>S2-REG-05</x:v>
      </x:c>
      <x:c r="B76" s="159" t="str">
        <x:v>5.9</x:v>
      </x:c>
      <x:c r="C76" s="159" t="str">
        <x:v>NFR-05, NFR-06, NFR-08, NFR-12</x:v>
      </x:c>
      <x:c r="D76" s="159" t="str">
        <x:v>Regression</x:v>
      </x:c>
      <x:c r="E76" s="159" t="str">
        <x:v>Medium</x:v>
      </x:c>
      <x:c r="F76" s="159" t="str">
        <x:v>Sprint 1 Regression</x:v>
      </x:c>
      <x:c r="G76" s="159" t="str">
        <x:v>PostgreSQL connectivity and migration history remain valid</x:v>
      </x:c>
      <x:c r="H76" s="159" t="str">
        <x:v>Sprint 2 integration branch available</x:v>
      </x:c>
      <x:c r="I76" s="159" t="str">
        <x:v>Run regression scenario</x:v>
      </x:c>
      <x:c r="J76" s="159" t="str">
        <x:v>Connection succeeds and no migration drift</x:v>
      </x:c>
      <x:c r="K76" s="159" t="str">
        <x:v>All Members</x:v>
      </x:c>
      <x:c r="L76" s="159" t="str">
        <x:v>Not Run</x:v>
      </x:c>
      <x:c r="M76" s="159" t="str"/>
      <x:c r="N76" s="159" t="str"/>
      <x:c r="O76" s="159" t="str"/>
      <x:c r="P76" s="159" t="str"/>
      <x:c r="Q76" s="159" t="str"/>
      <x:c r="R76" s="159" t="str"/>
      <x:c r="S76" s="159" t="str">
        <x:v>Automated/Manual</x:v>
      </x:c>
      <x:c r="T76" s="160" t="str"/>
    </x:row>
    <x:row r="77">
      <x:c r="A77" s="158" t="str">
        <x:v>S2-QUAL-01</x:v>
      </x:c>
      <x:c r="B77" s="159" t="str">
        <x:v>5.9</x:v>
      </x:c>
      <x:c r="C77" s="159" t="str">
        <x:v>NFR-01, NFR-02, NFR-03, NFR-10, NFR-11, NFR-12</x:v>
      </x:c>
      <x:c r="D77" s="159" t="str">
        <x:v>Quality</x:v>
      </x:c>
      <x:c r="E77" s="159" t="str">
        <x:v>Critical</x:v>
      </x:c>
      <x:c r="F77" s="159" t="str">
        <x:v>Quality and Exit</x:v>
      </x:c>
      <x:c r="G77" s="159" t="str">
        <x:v>Representative API response observed against 2-second target</x:v>
      </x:c>
      <x:c r="H77" s="159" t="str">
        <x:v>Relevant components available</x:v>
      </x:c>
      <x:c r="I77" s="159" t="str">
        <x:v>Execute quality check</x:v>
      </x:c>
      <x:c r="J77" s="159" t="str">
        <x:v>Response time recorded with environment context</x:v>
      </x:c>
      <x:c r="K77" s="159" t="str">
        <x:v>All Members</x:v>
      </x:c>
      <x:c r="L77" s="159" t="str">
        <x:v>Not Run</x:v>
      </x:c>
      <x:c r="M77" s="159" t="str"/>
      <x:c r="N77" s="159" t="str"/>
      <x:c r="O77" s="159" t="str"/>
      <x:c r="P77" s="159" t="str"/>
      <x:c r="Q77" s="159" t="str"/>
      <x:c r="R77" s="159" t="str"/>
      <x:c r="S77" s="159" t="str">
        <x:v>Manual</x:v>
      </x:c>
      <x:c r="T77" s="160" t="str"/>
    </x:row>
    <x:row r="78">
      <x:c r="A78" s="158" t="str">
        <x:v>S2-QUAL-02</x:v>
      </x:c>
      <x:c r="B78" s="159" t="str">
        <x:v>5.9</x:v>
      </x:c>
      <x:c r="C78" s="159" t="str">
        <x:v>NFR-01, NFR-02, NFR-03, NFR-10, NFR-11, NFR-12</x:v>
      </x:c>
      <x:c r="D78" s="159" t="str">
        <x:v>Quality</x:v>
      </x:c>
      <x:c r="E78" s="159" t="str">
        <x:v>High</x:v>
      </x:c>
      <x:c r="F78" s="159" t="str">
        <x:v>Quality and Exit</x:v>
      </x:c>
      <x:c r="G78" s="159" t="str">
        <x:v>Career Analysis is keyboard accessible</x:v>
      </x:c>
      <x:c r="H78" s="159" t="str">
        <x:v>Relevant components available</x:v>
      </x:c>
      <x:c r="I78" s="159" t="str">
        <x:v>Execute quality check</x:v>
      </x:c>
      <x:c r="J78" s="159" t="str">
        <x:v>Core controls keyboard usable</x:v>
      </x:c>
      <x:c r="K78" s="159" t="str">
        <x:v>All Members</x:v>
      </x:c>
      <x:c r="L78" s="159" t="str">
        <x:v>Not Run</x:v>
      </x:c>
      <x:c r="M78" s="159" t="str"/>
      <x:c r="N78" s="159" t="str"/>
      <x:c r="O78" s="159" t="str"/>
      <x:c r="P78" s="159" t="str"/>
      <x:c r="Q78" s="159" t="str"/>
      <x:c r="R78" s="159" t="str"/>
      <x:c r="S78" s="159" t="str">
        <x:v>Manual</x:v>
      </x:c>
      <x:c r="T78" s="160" t="str"/>
    </x:row>
    <x:row r="79">
      <x:c r="A79" s="158" t="str">
        <x:v>S2-QUAL-03</x:v>
      </x:c>
      <x:c r="B79" s="159" t="str">
        <x:v>5.9</x:v>
      </x:c>
      <x:c r="C79" s="159" t="str">
        <x:v>NFR-01, NFR-02, NFR-03, NFR-10, NFR-11, NFR-12</x:v>
      </x:c>
      <x:c r="D79" s="159" t="str">
        <x:v>Quality</x:v>
      </x:c>
      <x:c r="E79" s="159" t="str">
        <x:v>High</x:v>
      </x:c>
      <x:c r="F79" s="159" t="str">
        <x:v>Quality and Exit</x:v>
      </x:c>
      <x:c r="G79" s="159" t="str">
        <x:v>Layout works on common widths</x:v>
      </x:c>
      <x:c r="H79" s="159" t="str">
        <x:v>Relevant components available</x:v>
      </x:c>
      <x:c r="I79" s="159" t="str">
        <x:v>Execute quality check</x:v>
      </x:c>
      <x:c r="J79" s="159" t="str">
        <x:v>Desktop/tablet/mobile usable</x:v>
      </x:c>
      <x:c r="K79" s="159" t="str">
        <x:v>All Members</x:v>
      </x:c>
      <x:c r="L79" s="159" t="str">
        <x:v>Not Run</x:v>
      </x:c>
      <x:c r="M79" s="159" t="str"/>
      <x:c r="N79" s="159" t="str"/>
      <x:c r="O79" s="159" t="str"/>
      <x:c r="P79" s="159" t="str"/>
      <x:c r="Q79" s="159" t="str"/>
      <x:c r="R79" s="159" t="str"/>
      <x:c r="S79" s="159" t="str">
        <x:v>Manual</x:v>
      </x:c>
      <x:c r="T79" s="160" t="str"/>
    </x:row>
    <x:row r="80">
      <x:c r="A80" s="158" t="str">
        <x:v>S2-QUAL-04</x:v>
      </x:c>
      <x:c r="B80" s="159" t="str">
        <x:v>5.9</x:v>
      </x:c>
      <x:c r="C80" s="159" t="str">
        <x:v>NFR-01, NFR-02, NFR-03, NFR-10, NFR-11, NFR-12</x:v>
      </x:c>
      <x:c r="D80" s="159" t="str">
        <x:v>Quality</x:v>
      </x:c>
      <x:c r="E80" s="159" t="str">
        <x:v>Medium</x:v>
      </x:c>
      <x:c r="F80" s="159" t="str">
        <x:v>Quality and Exit</x:v>
      </x:c>
      <x:c r="G80" s="159" t="str">
        <x:v>Flow works in Chrome, Edge, Firefox</x:v>
      </x:c>
      <x:c r="H80" s="159" t="str">
        <x:v>Relevant components available</x:v>
      </x:c>
      <x:c r="I80" s="159" t="str">
        <x:v>Execute quality check</x:v>
      </x:c>
      <x:c r="J80" s="159" t="str">
        <x:v>Core flow consistent</x:v>
      </x:c>
      <x:c r="K80" s="159" t="str">
        <x:v>All Members</x:v>
      </x:c>
      <x:c r="L80" s="159" t="str">
        <x:v>Not Run</x:v>
      </x:c>
      <x:c r="M80" s="159" t="str"/>
      <x:c r="N80" s="159" t="str"/>
      <x:c r="O80" s="159" t="str"/>
      <x:c r="P80" s="159" t="str"/>
      <x:c r="Q80" s="159" t="str"/>
      <x:c r="R80" s="159" t="str"/>
      <x:c r="S80" s="159" t="str">
        <x:v>Manual</x:v>
      </x:c>
      <x:c r="T80" s="160" t="str"/>
    </x:row>
    <x:row r="81">
      <x:c r="A81" s="161" t="str">
        <x:v>S2-QUAL-05</x:v>
      </x:c>
      <x:c r="B81" s="162" t="str">
        <x:v>5.9</x:v>
      </x:c>
      <x:c r="C81" s="162" t="str">
        <x:v>NFR-01, NFR-02, NFR-03, NFR-10, NFR-11, NFR-12</x:v>
      </x:c>
      <x:c r="D81" s="162" t="str">
        <x:v>Quality</x:v>
      </x:c>
      <x:c r="E81" s="162" t="str">
        <x:v>Medium</x:v>
      </x:c>
      <x:c r="F81" s="162" t="str">
        <x:v>Quality and Exit</x:v>
      </x:c>
      <x:c r="G81" s="162" t="str">
        <x:v>Evidence package and defect references are complete</x:v>
      </x:c>
      <x:c r="H81" s="162" t="str">
        <x:v>Relevant components available</x:v>
      </x:c>
      <x:c r="I81" s="162" t="str">
        <x:v>Execute quality check</x:v>
      </x:c>
      <x:c r="J81" s="162" t="str">
        <x:v>Critical results traceable</x:v>
      </x:c>
      <x:c r="K81" s="162" t="str">
        <x:v>All Members</x:v>
      </x:c>
      <x:c r="L81" s="162" t="str">
        <x:v>Not Run</x:v>
      </x:c>
      <x:c r="M81" s="162" t="str"/>
      <x:c r="N81" s="162" t="str"/>
      <x:c r="O81" s="162" t="str"/>
      <x:c r="P81" s="162" t="str"/>
      <x:c r="Q81" s="162" t="str"/>
      <x:c r="R81" s="162" t="str"/>
      <x:c r="S81" s="162" t="str">
        <x:v>Manual</x:v>
      </x:c>
      <x:c r="T81" s="163" t="str"/>
    </x:row>
  </x:sheetData>
  <x:conditionalFormatting sqref="L2:L81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L2="Retest"</x:formula>
    </x:cfRule>
    <x:cfRule type="expression" dxfId="4" priority="5">
      <x:formula>L2="Not Run"</x:formula>
    </x:cfRule>
  </x:conditionalFormatting>
  <x:dataValidations count="3">
    <x:dataValidation type="list" sqref="E2:E81">
      <x:formula1>"Critical,High,Medium,Low"</x:formula1>
    </x:dataValidation>
    <x:dataValidation type="list" sqref="K2:K81">
      <x:formula1>"Jerald,MD,Joyee,All Members,Shared"</x:formula1>
    </x:dataValidation>
    <x:dataValidation type="list" sqref="L2:L81">
      <x:formula1>"Pass,Fail,Blocked,Retest,Not Run"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019d290e5e46a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20" hidden="0" customWidth="1"/>
    <x:col min="4" max="4" width="48" hidden="0" customWidth="1"/>
    <x:col min="5" max="5" width="42" hidden="0" customWidth="1"/>
    <x:col min="6" max="6" width="16" hidden="0" customWidth="1"/>
    <x:col min="7" max="7" width="14" hidden="0" customWidth="1"/>
    <x:col min="8" max="8" width="36" hidden="0" customWidth="1"/>
  </x:cols>
  <x:sheetData>
    <x:row r="1">
      <x:c r="A1" s="171" t="str">
        <x:v>Sprint 2 Evidence Index</x:v>
      </x:c>
      <x:c r="B1" s="171"/>
      <x:c r="C1" s="171"/>
      <x:c r="D1" s="171"/>
      <x:c r="E1" s="171"/>
      <x:c r="F1" s="171"/>
      <x:c r="G1" s="171"/>
      <x:c r="H1" s="171"/>
    </x:row>
    <x:row r="3">
      <x:c r="A3" s="174" t="str">
        <x:v>Evidence ID</x:v>
      </x:c>
      <x:c r="B3" s="175" t="str">
        <x:v>Test ID(s)</x:v>
      </x:c>
      <x:c r="C3" s="175" t="str">
        <x:v>Evidence Type</x:v>
      </x:c>
      <x:c r="D3" s="175" t="str">
        <x:v>Description</x:v>
      </x:c>
      <x:c r="E3" s="175" t="str">
        <x:v>Location / Link</x:v>
      </x:c>
      <x:c r="F3" s="175" t="str">
        <x:v>Captured By</x:v>
      </x:c>
      <x:c r="G3" s="175" t="str">
        <x:v>Date</x:v>
      </x:c>
      <x:c r="H3" s="176" t="str">
        <x:v>Notes</x:v>
      </x:c>
    </x:row>
    <x:row r="4">
      <x:c r="A4" s="184" t="str"/>
      <x:c r="B4" s="185" t="str">
        <x:v>S2-DATA-01 to S2-DATA-06</x:v>
      </x:c>
      <x:c r="C4" s="185" t="str">
        <x:v>Automated/Script</x:v>
      </x:c>
      <x:c r="D4" s="185" t="str">
        <x:v>Reference-data and Dataset 1.0 verification. Assign an evidence ID after saved evidence exists.</x:v>
      </x:c>
      <x:c r="E4" s="185" t="str"/>
      <x:c r="F4" s="185" t="str"/>
      <x:c r="G4" s="185" t="str"/>
      <x:c r="H4" s="186" t="str">
        <x:v>Do not invent evidence IDs.</x:v>
      </x:c>
    </x:row>
    <x:row r="5">
      <x:c r="A5" s="184" t="str"/>
      <x:c r="B5" s="185" t="str">
        <x:v>S2-REC-01 to S2-REC-10</x:v>
      </x:c>
      <x:c r="C5" s="185" t="str">
        <x:v>Automated</x:v>
      </x:c>
      <x:c r="D5" s="185" t="str">
        <x:v>WBS 5.3 recommendation scoring automated-test evidence. Assign an evidence ID after output is saved.</x:v>
      </x:c>
      <x:c r="E5" s="185" t="str"/>
      <x:c r="F5" s="185" t="str"/>
      <x:c r="G5" s="185" t="str"/>
      <x:c r="H5" s="186" t="str">
        <x:v>Link to sanitised saved output or screenshot.</x:v>
      </x:c>
    </x:row>
    <x:row r="6">
      <x:c r="A6" s="184" t="str"/>
      <x:c r="B6" s="185" t="str">
        <x:v>S2-READ-01 to S2-READ-12</x:v>
      </x:c>
      <x:c r="C6" s="185" t="str">
        <x:v>Automated/Script</x:v>
      </x:c>
      <x:c r="D6" s="185" t="str">
        <x:v>WBS 5.5 readiness and Dataset validation evidence. Assign an evidence ID after output is saved.</x:v>
      </x:c>
      <x:c r="E6" s="185" t="str"/>
      <x:c r="F6" s="185" t="str"/>
      <x:c r="G6" s="185" t="str"/>
      <x:c r="H6" s="186" t="str">
        <x:v>Link to sanitised saved output or screenshot.</x:v>
      </x:c>
    </x:row>
    <x:row r="7">
      <x:c r="A7" s="184" t="str"/>
      <x:c r="B7" s="185" t="str">
        <x:v>S2-API-*</x:v>
      </x:c>
      <x:c r="C7" s="185" t="str">
        <x:v>API</x:v>
      </x:c>
      <x:c r="D7" s="185" t="str">
        <x:v>Reserve evidence rows after WBS 5.4 becomes executable.</x:v>
      </x:c>
      <x:c r="E7" s="185" t="str"/>
      <x:c r="F7" s="185" t="str"/>
      <x:c r="G7" s="185" t="str"/>
      <x:c r="H7" s="186" t="str">
        <x:v>Blocked at current repository checkpoint.</x:v>
      </x:c>
    </x:row>
    <x:row r="8">
      <x:c r="A8" s="184" t="str"/>
      <x:c r="B8" s="185" t="str">
        <x:v>S2-UI-* / S2-ROAD-*</x:v>
      </x:c>
      <x:c r="C8" s="185" t="str">
        <x:v>Screenshot</x:v>
      </x:c>
      <x:c r="D8" s="185" t="str">
        <x:v>Reserve evidence rows for frontend, responsive, keyboard, and roadmap checks.</x:v>
      </x:c>
      <x:c r="E8" s="185" t="str"/>
      <x:c r="F8" s="185" t="str"/>
      <x:c r="G8" s="185" t="str"/>
      <x:c r="H8" s="186" t="str">
        <x:v>Blocked at current repository checkpoint.</x:v>
      </x:c>
    </x:row>
    <x:row r="9">
      <x:c r="A9" s="187" t="str"/>
      <x:c r="B9" s="188" t="str">
        <x:v>S2-E2E-* / S2-REG-* / S2-QUAL-*</x:v>
      </x:c>
      <x:c r="C9" s="188" t="str">
        <x:v>Mixed</x:v>
      </x:c>
      <x:c r="D9" s="188" t="str">
        <x:v>Reserve evidence rows for integrated flow, regression, quality, compatibility, and exit checks.</x:v>
      </x:c>
      <x:c r="E9" s="188" t="str"/>
      <x:c r="F9" s="188" t="str"/>
      <x:c r="G9" s="188" t="str"/>
      <x:c r="H9" s="189" t="str">
        <x:v>Capture only after execution.</x:v>
      </x:c>
    </x:row>
  </x:sheetData>
  <x:mergeCells>
    <x:mergeCell ref="A1:H1"/>
  </x:mergeCells>
  <x:pageMargins left="0.7" right="0.7" top="0.75" bottom="0.75" header="0.3" footer="0.3"/>
</x:worksheet>
</file>