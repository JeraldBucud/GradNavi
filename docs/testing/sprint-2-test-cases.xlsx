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COIT20273\GradNavi\docs\testing\"/>
    </mc:Choice>
  </mc:AlternateContent>
  <xr:revisionPtr revIDLastSave="0" documentId="13_ncr:1_{F918C7B4-C200-4E90-A9C9-086BF21EC5AA}" xr6:coauthVersionLast="47" xr6:coauthVersionMax="47" xr10:uidLastSave="{00000000-0000-0000-0000-000000000000}"/>
  <bookViews>
    <workbookView xWindow="-120" yWindow="-120" windowWidth="29040" windowHeight="15720" activeTab="1" xr2:uid="{00000000-000D-0000-FFFF-FFFF00000000}"/>
  </bookViews>
  <sheets>
    <sheet name="Dashboard" sheetId="1" r:id="rId1"/>
    <sheet name="Test Cases" sheetId="2" r:id="rId2"/>
    <sheet name="Evidence Index"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1" l="1"/>
  <c r="H8" i="1"/>
  <c r="B8" i="1"/>
  <c r="H7" i="1"/>
  <c r="E7" i="1"/>
  <c r="B7" i="1"/>
  <c r="H6" i="1"/>
  <c r="E6" i="1"/>
  <c r="B6" i="1"/>
  <c r="H5" i="1"/>
  <c r="E5" i="1"/>
  <c r="B5" i="1"/>
  <c r="H4" i="1"/>
  <c r="E4" i="1"/>
  <c r="B4" i="1"/>
</calcChain>
</file>

<file path=xl/sharedStrings.xml><?xml version="1.0" encoding="utf-8"?>
<sst xmlns="http://schemas.openxmlformats.org/spreadsheetml/2006/main" count="1587" uniqueCount="636">
  <si>
    <t>GradNavi Sprint 2 Test Dashboard</t>
  </si>
  <si>
    <t>Metric</t>
  </si>
  <si>
    <t>Count</t>
  </si>
  <si>
    <t>Priority</t>
  </si>
  <si>
    <t>Owner</t>
  </si>
  <si>
    <t>Total Cases</t>
  </si>
  <si>
    <t>Critical</t>
  </si>
  <si>
    <t>Jerald</t>
  </si>
  <si>
    <t>Pass</t>
  </si>
  <si>
    <t>High</t>
  </si>
  <si>
    <t>MD</t>
  </si>
  <si>
    <t>Fail</t>
  </si>
  <si>
    <t>Medium</t>
  </si>
  <si>
    <t>Joyee</t>
  </si>
  <si>
    <t>Blocked</t>
  </si>
  <si>
    <t>Low</t>
  </si>
  <si>
    <t>All Members</t>
  </si>
  <si>
    <t>Retest</t>
  </si>
  <si>
    <t>Shared</t>
  </si>
  <si>
    <t>Not Run</t>
  </si>
  <si>
    <t>Sprint 2 Integration Gate</t>
  </si>
  <si>
    <t>Required predecessor</t>
  </si>
  <si>
    <t>Current state on feature/sprint-2</t>
  </si>
  <si>
    <t>Gate for WBS 5.9</t>
  </si>
  <si>
    <t>WBS 5.4 Career Recommendation API</t>
  </si>
  <si>
    <t>Required</t>
  </si>
  <si>
    <t>WBS 5.5 Skill Gap and Readiness</t>
  </si>
  <si>
    <t>Merged in feature/sprint-2. Implementation and design are present.</t>
  </si>
  <si>
    <t>WBS 5.7 Learning Suggestions and Roadmap API</t>
  </si>
  <si>
    <t>Not present in the shared Sprint 2 branch at this checkpoint.</t>
  </si>
  <si>
    <t>WBS 5.8 Learning Roadmap Interface</t>
  </si>
  <si>
    <t>WBS 5.6 Recommendation and Readiness Interface</t>
  </si>
  <si>
    <t>Not present. Required for the integrated UI flow.</t>
  </si>
  <si>
    <t>Required for UI flow</t>
  </si>
  <si>
    <t>Repository verification basis</t>
  </si>
  <si>
    <t>WBS</t>
  </si>
  <si>
    <t>docs/project-management/work-breakdown-structure.md</t>
  </si>
  <si>
    <t>Recommendation design</t>
  </si>
  <si>
    <t>docs/system-design/recommendation-scoring-design.md</t>
  </si>
  <si>
    <t>Readiness design</t>
  </si>
  <si>
    <t>docs/system-design/readiness_scoring_design.md</t>
  </si>
  <si>
    <t>Current services</t>
  </si>
  <si>
    <t>backend/careers/services/recommendation_scoring.py and readiness_scoring.py</t>
  </si>
  <si>
    <t>Current API checkpoint</t>
  </si>
  <si>
    <t>backend/careers/views.py contains the default Django placeholder</t>
  </si>
  <si>
    <t>Test ID</t>
  </si>
  <si>
    <t>Requirement</t>
  </si>
  <si>
    <t>Test Type</t>
  </si>
  <si>
    <t>Area</t>
  </si>
  <si>
    <t>Test Case</t>
  </si>
  <si>
    <t>Preconditions</t>
  </si>
  <si>
    <t>Steps</t>
  </si>
  <si>
    <t>Expected Result</t>
  </si>
  <si>
    <t>Test Owner</t>
  </si>
  <si>
    <t>Status</t>
  </si>
  <si>
    <t>Actual Result</t>
  </si>
  <si>
    <t>Tester</t>
  </si>
  <si>
    <t>Evidence ID</t>
  </si>
  <si>
    <t>Evidence Reference</t>
  </si>
  <si>
    <t>Blocked Dependency</t>
  </si>
  <si>
    <t>Defect Reference</t>
  </si>
  <si>
    <t>Automation</t>
  </si>
  <si>
    <t>Notes</t>
  </si>
  <si>
    <t>S2-DATA-01</t>
  </si>
  <si>
    <t>5.2</t>
  </si>
  <si>
    <t>FR-03, FR-05</t>
  </si>
  <si>
    <t>Database</t>
  </si>
  <si>
    <t>Reference Data</t>
  </si>
  <si>
    <t>Career reference data is available</t>
  </si>
  <si>
    <t>Dataset 1.0 loaded</t>
  </si>
  <si>
    <t>Query active Career records</t>
  </si>
  <si>
    <t>Active Career records are available</t>
  </si>
  <si>
    <t>Automated/Script</t>
  </si>
  <si>
    <t>S2-DATA-02</t>
  </si>
  <si>
    <t>Canonical Skill reference data is available</t>
  </si>
  <si>
    <t>Query Skills used by CareerSkill evidence</t>
  </si>
  <si>
    <t>Canonical Skills resolve through CareerSkill relationships</t>
  </si>
  <si>
    <t>S2-DATA-03</t>
  </si>
  <si>
    <t>CareerSkill evidence loads from active datasets</t>
  </si>
  <si>
    <t>Reference datasets loaded</t>
  </si>
  <si>
    <t>Load eligible evidence through scoring loaders</t>
  </si>
  <si>
    <t>Only eligible active source-backed evidence is returned</t>
  </si>
  <si>
    <t>Automated</t>
  </si>
  <si>
    <t>S2-DATA-04</t>
  </si>
  <si>
    <t>NFR-08</t>
  </si>
  <si>
    <t>Duplicate readiness evidence does not silently double count</t>
  </si>
  <si>
    <t>Dataset loaded</t>
  </si>
  <si>
    <t>Check duplicate CareerSkill readiness requirements</t>
  </si>
  <si>
    <t>No duplicate readiness requirements</t>
  </si>
  <si>
    <t>S2-DATA-05</t>
  </si>
  <si>
    <t>FR-04</t>
  </si>
  <si>
    <t>O*NET and ESCO evidence roles stay separated</t>
  </si>
  <si>
    <t>Reference data loaded</t>
  </si>
  <si>
    <t>Inspect numerical and explanation loaders</t>
  </si>
  <si>
    <t>Numerical and explanation evidence keep intended roles</t>
  </si>
  <si>
    <t>S2-DATA-06</t>
  </si>
  <si>
    <t>Read-only validation does not modify Dataset 1.0</t>
  </si>
  <si>
    <t>Baseline counts captured</t>
  </si>
  <si>
    <t>Run Dataset validation and compare counts</t>
  </si>
  <si>
    <t>Database counts remain unchanged</t>
  </si>
  <si>
    <t>S2-DATA-07</t>
  </si>
  <si>
    <t>NFR-07</t>
  </si>
  <si>
    <t>Regression</t>
  </si>
  <si>
    <t>Reference importer is repeatable</t>
  </si>
  <si>
    <t>Disposable test database available</t>
  </si>
  <si>
    <t>Run importer twice and compare rows</t>
  </si>
  <si>
    <t>Second import creates no unintended duplicates</t>
  </si>
  <si>
    <t>Automated/Manual</t>
  </si>
  <si>
    <t>S2-DATA-08</t>
  </si>
  <si>
    <t>NFR-06</t>
  </si>
  <si>
    <t>Security</t>
  </si>
  <si>
    <t>Student flow does not modify shared reference data</t>
  </si>
  <si>
    <t>Authenticated Student available</t>
  </si>
  <si>
    <t>Use Student flow then recheck shared records</t>
  </si>
  <si>
    <t>Shared Career and Skill records remain unchanged</t>
  </si>
  <si>
    <t>Manual</t>
  </si>
  <si>
    <t>S2-REC-01</t>
  </si>
  <si>
    <t>5.3</t>
  </si>
  <si>
    <t>FR-03, FR-04, NFR-08, NFR-09</t>
  </si>
  <si>
    <t>Unit</t>
  </si>
  <si>
    <t>Recommendation Engine</t>
  </si>
  <si>
    <t>Full Skill match returns 100.00</t>
  </si>
  <si>
    <t>WBS 5.3 service available</t>
  </si>
  <si>
    <t>Run automated fixture</t>
  </si>
  <si>
    <t>Full weighted match produces 100.00</t>
  </si>
  <si>
    <t>S2-REC-02</t>
  </si>
  <si>
    <t>Partial Skill match uses Importance weighting</t>
  </si>
  <si>
    <t>Score matches approved weighted ratio</t>
  </si>
  <si>
    <t>S2-REC-03</t>
  </si>
  <si>
    <t>No matching Skills returns scored zero</t>
  </si>
  <si>
    <t>Documented unrelated Skills produce 0.00</t>
  </si>
  <si>
    <t>S2-REC-04</t>
  </si>
  <si>
    <t>Empty Student Skill profile is controlled</t>
  </si>
  <si>
    <t>Null score with insufficient_profile</t>
  </si>
  <si>
    <t>S2-REC-05</t>
  </si>
  <si>
    <t>Career without numerical evidence is controlled</t>
  </si>
  <si>
    <t>Null score with insufficient_evidence</t>
  </si>
  <si>
    <t>S2-REC-06</t>
  </si>
  <si>
    <t>Duplicate Student Skill IDs do not double count</t>
  </si>
  <si>
    <t>Each canonical Skill counts once</t>
  </si>
  <si>
    <t>S2-REC-07</t>
  </si>
  <si>
    <t>Duplicate CareerSkill evidence is rejected</t>
  </si>
  <si>
    <t>Duplicate evidence cannot increase weight</t>
  </si>
  <si>
    <t>S2-REC-08</t>
  </si>
  <si>
    <t>Recommendation ranking is deterministic</t>
  </si>
  <si>
    <t>Same inputs produce same order</t>
  </si>
  <si>
    <t>S2-REC-09</t>
  </si>
  <si>
    <t>Tie handling follows stable rule</t>
  </si>
  <si>
    <t>Equal ratios resolve by stable rule</t>
  </si>
  <si>
    <t>S2-REC-10</t>
  </si>
  <si>
    <t>Explanation evidence does not modify numerical rank</t>
  </si>
  <si>
    <t>Explanation enriches result only</t>
  </si>
  <si>
    <t>S2-API-01</t>
  </si>
  <si>
    <t>5.4</t>
  </si>
  <si>
    <t>FR-03, FR-04, NFR-05, NFR-06, NFR-08</t>
  </si>
  <si>
    <t>API</t>
  </si>
  <si>
    <t>Career Recommendation API</t>
  </si>
  <si>
    <t>Authenticated Student receives recommendations</t>
  </si>
  <si>
    <t>WBS 5.4 merged</t>
  </si>
  <si>
    <t>Call merged endpoint</t>
  </si>
  <si>
    <t>Structured ranked results returned</t>
  </si>
  <si>
    <t>S2-API-02</t>
  </si>
  <si>
    <t>Unauthenticated request is rejected</t>
  </si>
  <si>
    <t>Protected endpoint response returned</t>
  </si>
  <si>
    <t>S2-API-03</t>
  </si>
  <si>
    <t>API uses authenticated Student Profile</t>
  </si>
  <si>
    <t>Student A data only</t>
  </si>
  <si>
    <t>S2-API-04</t>
  </si>
  <si>
    <t>API preserves service ranking order</t>
  </si>
  <si>
    <t>Serialized order matches service</t>
  </si>
  <si>
    <t>S2-API-05</t>
  </si>
  <si>
    <t>API serializes score and rank</t>
  </si>
  <si>
    <t>Fields match service result</t>
  </si>
  <si>
    <t>S2-API-06</t>
  </si>
  <si>
    <t>API serializes explanation</t>
  </si>
  <si>
    <t>Approved explanation fields returned</t>
  </si>
  <si>
    <t>S2-API-07</t>
  </si>
  <si>
    <t>Controlled insufficient-profile response</t>
  </si>
  <si>
    <t>S2-API-08</t>
  </si>
  <si>
    <t>Invalid request uses approved error structure</t>
  </si>
  <si>
    <t>REST error conventions followed</t>
  </si>
  <si>
    <t>S2-API-09</t>
  </si>
  <si>
    <t>Repeated unchanged API request is stable</t>
  </si>
  <si>
    <t>Scores/ranks/statuses identical</t>
  </si>
  <si>
    <t>S2-API-10</t>
  </si>
  <si>
    <t>Another Student's profile data is not exposed</t>
  </si>
  <si>
    <t>No Student B private data appears</t>
  </si>
  <si>
    <t>S2-READ-01</t>
  </si>
  <si>
    <t>5.5</t>
  </si>
  <si>
    <t>FR-05, FR-06, NFR-08, NFR-09</t>
  </si>
  <si>
    <t>Unit/Database</t>
  </si>
  <si>
    <t>Skill Gap and Readiness</t>
  </si>
  <si>
    <t>Foundational maps to 25</t>
  </si>
  <si>
    <t>WBS 5.5 service available</t>
  </si>
  <si>
    <t>Run automated test or validation</t>
  </si>
  <si>
    <t>Mapped value is 25</t>
  </si>
  <si>
    <t>S2-READ-02</t>
  </si>
  <si>
    <t>Developing maps to 50</t>
  </si>
  <si>
    <t>Mapped value is 50</t>
  </si>
  <si>
    <t>S2-READ-03</t>
  </si>
  <si>
    <t>Proficient maps to 75</t>
  </si>
  <si>
    <t>Mapped value is 75</t>
  </si>
  <si>
    <t>S2-READ-04</t>
  </si>
  <si>
    <t>Advanced maps to 100</t>
  </si>
  <si>
    <t>Mapped value is 100</t>
  </si>
  <si>
    <t>S2-READ-05</t>
  </si>
  <si>
    <t>Missing Skill maps to zero and missing</t>
  </si>
  <si>
    <t>Zero score and full gap</t>
  </si>
  <si>
    <t>S2-READ-06</t>
  </si>
  <si>
    <t>Below requirement receives partial attainment</t>
  </si>
  <si>
    <t>Partial attainment and below status</t>
  </si>
  <si>
    <t>S2-READ-07</t>
  </si>
  <si>
    <t>Meets requirement is capped at full</t>
  </si>
  <si>
    <t>Attainment 1.00 and meets status</t>
  </si>
  <si>
    <t>S2-READ-08</t>
  </si>
  <si>
    <t>Career readiness uses Importance weighting</t>
  </si>
  <si>
    <t>Score matches weighted formula</t>
  </si>
  <si>
    <t>S2-READ-09</t>
  </si>
  <si>
    <t>Empty profile returns insufficient_profile</t>
  </si>
  <si>
    <t>Null readiness score</t>
  </si>
  <si>
    <t>S2-READ-10</t>
  </si>
  <si>
    <t>Career without readiness evidence is controlled</t>
  </si>
  <si>
    <t>S2-READ-11</t>
  </si>
  <si>
    <t>Skill Gap ordering is deterministic</t>
  </si>
  <si>
    <t>Approved ordering used</t>
  </si>
  <si>
    <t>S2-READ-12</t>
  </si>
  <si>
    <t>Dataset 1.0 readiness validation is non-destructive</t>
  </si>
  <si>
    <t>1,849 requirements, formula match, DB unchanged</t>
  </si>
  <si>
    <t>S2-UI-01</t>
  </si>
  <si>
    <t>5.6</t>
  </si>
  <si>
    <t>FR-03, FR-04, FR-05, FR-06, NFR-01, NFR-02, NFR-10</t>
  </si>
  <si>
    <t>Frontend</t>
  </si>
  <si>
    <t>Recommendation and Readiness UI</t>
  </si>
  <si>
    <t>Recommendation list loads from API</t>
  </si>
  <si>
    <t>WBS 5.6 integrated</t>
  </si>
  <si>
    <t>Execute frontend scenario</t>
  </si>
  <si>
    <t>Ranked list appears</t>
  </si>
  <si>
    <t>Manual/Frontend</t>
  </si>
  <si>
    <t>S2-UI-02</t>
  </si>
  <si>
    <t>Frontend preserves API rank order</t>
  </si>
  <si>
    <t>Display order matches API</t>
  </si>
  <si>
    <t>S2-UI-03</t>
  </si>
  <si>
    <t>Score and explanation display</t>
  </si>
  <si>
    <t>Approved factors visible</t>
  </si>
  <si>
    <t>S2-UI-04</t>
  </si>
  <si>
    <t>Career selection loads readiness</t>
  </si>
  <si>
    <t>Selected Career readiness appears</t>
  </si>
  <si>
    <t>S2-UI-05</t>
  </si>
  <si>
    <t>Readiness and recommendation scores are distinct</t>
  </si>
  <si>
    <t>Both metrics clearly separated</t>
  </si>
  <si>
    <t>S2-UI-06</t>
  </si>
  <si>
    <t>Missing and below Skills are distinguishable</t>
  </si>
  <si>
    <t>UI differentiates statuses</t>
  </si>
  <si>
    <t>S2-UI-07</t>
  </si>
  <si>
    <t>Insufficient-profile state is understandable</t>
  </si>
  <si>
    <t>Controlled empty guidance</t>
  </si>
  <si>
    <t>S2-UI-08</t>
  </si>
  <si>
    <t>Insufficient-evidence state is understandable</t>
  </si>
  <si>
    <t>Controlled evidence state</t>
  </si>
  <si>
    <t>S2-UI-09</t>
  </si>
  <si>
    <t>Loading and API error states are controlled</t>
  </si>
  <si>
    <t>No false data shown</t>
  </si>
  <si>
    <t>S2-UI-10</t>
  </si>
  <si>
    <t>Responsive and keyboard behaviour is acceptable</t>
  </si>
  <si>
    <t>Core flow remains usable</t>
  </si>
  <si>
    <t>S2-LEARN-01</t>
  </si>
  <si>
    <t>5.7</t>
  </si>
  <si>
    <t>FR-11, FR-12, NFR-08, NFR-09</t>
  </si>
  <si>
    <t>Learning Suggestions API</t>
  </si>
  <si>
    <t>Learning API accepts unresolved gaps</t>
  </si>
  <si>
    <t>WBS 5.7 merged</t>
  </si>
  <si>
    <t>Execute learning API scenario</t>
  </si>
  <si>
    <t>Structured suggestions returned</t>
  </si>
  <si>
    <t>S2-LEARN-02</t>
  </si>
  <si>
    <t>Missing Skills receive relevant suggestions</t>
  </si>
  <si>
    <t>Suggestions map to missing Skills</t>
  </si>
  <si>
    <t>S2-LEARN-03</t>
  </si>
  <si>
    <t>Below-requirement Skills receive relevant suggestions</t>
  </si>
  <si>
    <t>Suggestions map to partial gaps</t>
  </si>
  <si>
    <t>S2-LEARN-04</t>
  </si>
  <si>
    <t>Met requirements are not prioritised</t>
  </si>
  <si>
    <t>Met Skills excluded from unresolved priorities</t>
  </si>
  <si>
    <t>S2-LEARN-05</t>
  </si>
  <si>
    <t>Selected Career context is preserved</t>
  </si>
  <si>
    <t>Suggestions stay linked to selected Career</t>
  </si>
  <si>
    <t>S2-LEARN-06</t>
  </si>
  <si>
    <t>Empty or insufficient input is controlled</t>
  </si>
  <si>
    <t>Controlled empty or insufficient result</t>
  </si>
  <si>
    <t>S2-LEARN-07</t>
  </si>
  <si>
    <t>Invalid learning request is controlled</t>
  </si>
  <si>
    <t>Validation error returned</t>
  </si>
  <si>
    <t>S2-LEARN-08</t>
  </si>
  <si>
    <t>Repeated structured input is stable</t>
  </si>
  <si>
    <t>Stable result where applicable</t>
  </si>
  <si>
    <t>S2-ROAD-01</t>
  </si>
  <si>
    <t>5.8</t>
  </si>
  <si>
    <t>FR-12, NFR-01, NFR-02, NFR-10</t>
  </si>
  <si>
    <t>Learning Roadmap UI</t>
  </si>
  <si>
    <t>Roadmap loads from backend</t>
  </si>
  <si>
    <t>WBS 5.8 integrated</t>
  </si>
  <si>
    <t>Execute roadmap UI scenario</t>
  </si>
  <si>
    <t>Ordered roadmap renders</t>
  </si>
  <si>
    <t>S2-ROAD-02</t>
  </si>
  <si>
    <t>Roadmap order matches API</t>
  </si>
  <si>
    <t>Display order matches response</t>
  </si>
  <si>
    <t>S2-ROAD-03</t>
  </si>
  <si>
    <t>Roadmap Skill names match selected Career gaps</t>
  </si>
  <si>
    <t>Correct Skill names shown</t>
  </si>
  <si>
    <t>S2-ROAD-04</t>
  </si>
  <si>
    <t>Resources/actions map to correct Skill</t>
  </si>
  <si>
    <t>Correct gap mapping</t>
  </si>
  <si>
    <t>S2-ROAD-05</t>
  </si>
  <si>
    <t>Empty roadmap state is controlled</t>
  </si>
  <si>
    <t>No false roadmap data</t>
  </si>
  <si>
    <t>S2-ROAD-06</t>
  </si>
  <si>
    <t>Roadmap API-error state is controlled</t>
  </si>
  <si>
    <t>Controlled error displayed</t>
  </si>
  <si>
    <t>S2-ROAD-07</t>
  </si>
  <si>
    <t>Navigation preserves selected Career context</t>
  </si>
  <si>
    <t>Context remains consistent</t>
  </si>
  <si>
    <t>S2-E2E-01</t>
  </si>
  <si>
    <t>5.9</t>
  </si>
  <si>
    <t>FR-03, FR-04, FR-05, FR-06, FR-11, FR-12, NFR-05, NFR-06</t>
  </si>
  <si>
    <t>End-to-End</t>
  </si>
  <si>
    <t>Sprint 2 Integration</t>
  </si>
  <si>
    <t>Partial-match Student completes full Career Analysis</t>
  </si>
  <si>
    <t>All Sprint 2 components merged</t>
  </si>
  <si>
    <t>Run full Career Analysis flow</t>
  </si>
  <si>
    <t>Flow completes with linked data</t>
  </si>
  <si>
    <t>Manual/Integration</t>
  </si>
  <si>
    <t>S2-E2E-02</t>
  </si>
  <si>
    <t>Unrelated Skills produce controlled low/zero results</t>
  </si>
  <si>
    <t>No false matches</t>
  </si>
  <si>
    <t>S2-E2E-03</t>
  </si>
  <si>
    <t>Empty Student Skill profile receives controlled flow</t>
  </si>
  <si>
    <t>No misleading scored results</t>
  </si>
  <si>
    <t>S2-E2E-04</t>
  </si>
  <si>
    <t>Insufficient-readiness Career remains controlled</t>
  </si>
  <si>
    <t>insufficient_evidence propagates safely</t>
  </si>
  <si>
    <t>S2-E2E-05</t>
  </si>
  <si>
    <t>Second Student cannot access first Student derived results</t>
  </si>
  <si>
    <t>Authenticated ownership isolation holds</t>
  </si>
  <si>
    <t>S2-REG-01</t>
  </si>
  <si>
    <t>NFR-05, NFR-06, NFR-08, NFR-12</t>
  </si>
  <si>
    <t>Sprint 1 Regression</t>
  </si>
  <si>
    <t>Sprint 1 registration and login still work</t>
  </si>
  <si>
    <t>Sprint 2 integration branch available</t>
  </si>
  <si>
    <t>Run regression scenario</t>
  </si>
  <si>
    <t>Authentication remains functional</t>
  </si>
  <si>
    <t>S2-REG-02</t>
  </si>
  <si>
    <t>Student Profile load/update still work</t>
  </si>
  <si>
    <t>Profile flow remains functional</t>
  </si>
  <si>
    <t>S2-REG-03</t>
  </si>
  <si>
    <t>StudentSkill proficiency persists correctly</t>
  </si>
  <si>
    <t>Stored proficiency remains correct</t>
  </si>
  <si>
    <t>S2-REG-04</t>
  </si>
  <si>
    <t>Cross-student Student Profile isolation still holds</t>
  </si>
  <si>
    <t>No protected cross-user data exposed</t>
  </si>
  <si>
    <t>S2-REG-05</t>
  </si>
  <si>
    <t>PostgreSQL connectivity and migration history remain valid</t>
  </si>
  <si>
    <t>Connection succeeds and no migration drift</t>
  </si>
  <si>
    <t>S2-QUAL-01</t>
  </si>
  <si>
    <t>NFR-01, NFR-02, NFR-03, NFR-10, NFR-11, NFR-12</t>
  </si>
  <si>
    <t>Quality</t>
  </si>
  <si>
    <t>Quality and Exit</t>
  </si>
  <si>
    <t>Representative API response observed against 2-second target</t>
  </si>
  <si>
    <t>Relevant components available</t>
  </si>
  <si>
    <t>Execute quality check</t>
  </si>
  <si>
    <t>Response time recorded with environment context</t>
  </si>
  <si>
    <t>S2-QUAL-02</t>
  </si>
  <si>
    <t>Career Analysis is keyboard accessible</t>
  </si>
  <si>
    <t>Core controls keyboard usable</t>
  </si>
  <si>
    <t>S2-QUAL-03</t>
  </si>
  <si>
    <t>Layout works on common widths</t>
  </si>
  <si>
    <t>Desktop/tablet/mobile usable</t>
  </si>
  <si>
    <t>S2-QUAL-04</t>
  </si>
  <si>
    <t>Flow works in Chrome, Edge, Firefox</t>
  </si>
  <si>
    <t>Core flow consistent</t>
  </si>
  <si>
    <t>S2-QUAL-05</t>
  </si>
  <si>
    <t>Evidence package and defect references are complete</t>
  </si>
  <si>
    <t>Critical results traceable</t>
  </si>
  <si>
    <t>Sprint 2 Evidence Index</t>
  </si>
  <si>
    <t>Test ID(s)</t>
  </si>
  <si>
    <t>Evidence Type</t>
  </si>
  <si>
    <t>Description</t>
  </si>
  <si>
    <t>Location / Link</t>
  </si>
  <si>
    <t>Captured By</t>
  </si>
  <si>
    <t>Date</t>
  </si>
  <si>
    <t>S2-DATA-01 to S2-DATA-06</t>
  </si>
  <si>
    <t>Reference-data and Dataset 1.0 verification. Assign an evidence ID after saved evidence exists.</t>
  </si>
  <si>
    <t>Do not invent evidence IDs.</t>
  </si>
  <si>
    <t>S2-REC-01 to S2-REC-10</t>
  </si>
  <si>
    <t>WBS 5.3 recommendation scoring automated-test evidence. Assign an evidence ID after output is saved.</t>
  </si>
  <si>
    <t>Link to sanitised saved output or screenshot.</t>
  </si>
  <si>
    <t>S2-READ-01 to S2-READ-12</t>
  </si>
  <si>
    <t>WBS 5.5 readiness and Dataset validation evidence. Assign an evidence ID after output is saved.</t>
  </si>
  <si>
    <t>S2-API-*</t>
  </si>
  <si>
    <t>Reserve evidence rows after WBS 5.4 becomes executable.</t>
  </si>
  <si>
    <t>Blocked at current repository checkpoint.</t>
  </si>
  <si>
    <t>S2-UI-* / S2-ROAD-*</t>
  </si>
  <si>
    <t>Screenshot</t>
  </si>
  <si>
    <t>Reserve evidence rows for frontend, responsive, keyboard, and roadmap checks.</t>
  </si>
  <si>
    <t>S2-E2E-* / S2-REG-* / S2-QUAL-*</t>
  </si>
  <si>
    <t>Mixed</t>
  </si>
  <si>
    <t>Reserve evidence rows for integrated flow, regression, quality, compatibility, and exit checks.</t>
  </si>
  <si>
    <t>Capture only after execution.</t>
  </si>
  <si>
    <t>Reference-data validation returned 36 active Career records.</t>
  </si>
  <si>
    <t>S2-EV-004</t>
  </si>
  <si>
    <t>docs/testing/evidence/sprint-2/S2-EV-004-wbs-5.2-reference-data-validation-pass.png</t>
  </si>
  <si>
    <t>WBS 5.2 implementation is MD-owned. Jerald independently verified the reference-data dependency during Sprint 2 testing.</t>
  </si>
  <si>
    <t>Validation returned 2,873 canonical Skills and 9,959 CareerSkill relationships.</t>
  </si>
  <si>
    <t>WBS 5.2 implementation is MD-owned. Reference-data counts were verified against Dataset 1.0.</t>
  </si>
  <si>
    <t>Automated loader tests accepted approved numerical O*NET evidence and excluded ineligible evidence.</t>
  </si>
  <si>
    <t>S2-EV-001</t>
  </si>
  <si>
    <t>docs/testing/evidence/sprint-2/S2-EV-001B-wbs-5.3-test-execution.png; docs/testing/evidence/sprint-2/S2-EV-001C-wbs-5.3-test-summary-pass.png</t>
  </si>
  <si>
    <t>Verified through the WBS 5.3 database-loader tests in the 30-test recommendation suite.</t>
  </si>
  <si>
    <t>Readiness duplicate-protection tests passed; duplicate CareerSkill evidence did not increase readiness contribution.</t>
  </si>
  <si>
    <t>S2-EV-002</t>
  </si>
  <si>
    <t>docs/testing/evidence/sprint-2/S2-EV-002B-wbs-5.5-test-execution.png; docs/testing/evidence/sprint-2/S2-EV-002C-wbs-5.5-test-summary-pass.png</t>
  </si>
  <si>
    <t>Dataset validation also reported zero duplicate CareerSkill pairs and zero duplicate CareerSkillEvidence keys.</t>
  </si>
  <si>
    <t>Technology and ESCO evidence enriched explanations while numerical score and rank stayed unchanged.</t>
  </si>
  <si>
    <t>Evidence-role separation is covered by WBS 5.3 explanation tests.</t>
  </si>
  <si>
    <t>Dataset validation preserved identical database counts before and after execution; dry-run import also rolled back all changes.</t>
  </si>
  <si>
    <t>S2-EV-003 / S2-EV-005</t>
  </si>
  <si>
    <t>docs/testing/evidence/sprint-2/S2-EV-003-wbs-5.5-dataset-readiness-validation-pass.png; docs/testing/evidence/sprint-2/S2-EV-005A-wbs-5.2-dry-run-rollback-pass.png</t>
  </si>
  <si>
    <t>Read-only readiness validation reported database_counts_unchanged=True and student_records_created=0.</t>
  </si>
  <si>
    <t>Second Dataset 1.0 import created 0 Careers, 0 Skills, 0 CareerSkills and 0 CareerSkillEvidence rows; existing totals stayed unchanged and Step 8 passed.</t>
  </si>
  <si>
    <t>S2-EV-005</t>
  </si>
  <si>
    <t>docs/testing/evidence/sprint-2/S2-EV-005A-wbs-5.2-dry-run-rollback-pass.png; docs/testing/evidence/sprint-2/S2-EV-005B-wbs-5.2-repeat-import-pass.png</t>
  </si>
  <si>
    <t>WBS 5.2 implementation is MD-owned. Repeat-import/idempotency verification was already executed by Jerald.</t>
  </si>
  <si>
    <t>Automated test confirmed a full weighted Skill match returns 100.00.</t>
  </si>
  <si>
    <t>WBS 5.3 automated suite completed 30/30 tests successfully.</t>
  </si>
  <si>
    <t>Automated test confirmed partial weighted coverage uses Importance and returns the approved weighted ratio.</t>
  </si>
  <si>
    <t>Automated test confirmed documented Skills with no Career matches return a scored 0.00 result.</t>
  </si>
  <si>
    <t>Automated test confirmed an empty Student Skill profile returns insufficient_profile with no numerical score.</t>
  </si>
  <si>
    <t>Automated test confirmed a Career without numerical evidence returns insufficient_evidence with no rank or score.</t>
  </si>
  <si>
    <t>Automated test confirmed duplicate Student Skill IDs do not increase matched weight.</t>
  </si>
  <si>
    <t>Automated test confirmed duplicate CareerSkill evidence cannot contribute weight twice.</t>
  </si>
  <si>
    <t>Automated orchestration/ranking tests confirmed unchanged inputs produce deterministic recommendation order.</t>
  </si>
  <si>
    <t>Tie tests confirmed equal scores resolve by Career name, then Career ID, using the approved stable rule.</t>
  </si>
  <si>
    <t>Explanation tests confirmed O*NET technology and ESCO evidence enrich output without changing score or rank.</t>
  </si>
  <si>
    <t>Authenticated GET /api/v1/recommendations/ returned HTTP 200 with a structured recommendations collection.</t>
  </si>
  <si>
    <t>S2-EV-006</t>
  </si>
  <si>
    <t>docs/testing/evidence/sprint-2/S2-EV-006B-careers-regression-api-execution.png; docs/testing/evidence/sprint-2/S2-EV-006D-careers-regression-summary-pass.png</t>
  </si>
  <si>
    <t>WBS 5.4 implementation is MD-owned. Jerald verified it after merge as part of the 84-test careers regression suite.</t>
  </si>
  <si>
    <t>Unauthenticated request returned HTTP 401 with the approved not_authenticated error envelope.</t>
  </si>
  <si>
    <t>API ignored client-supplied user/profile identifiers and called the recommendation service with the authenticated Student Profile only.</t>
  </si>
  <si>
    <t>Serialized recommendation order matched the service ranking order.</t>
  </si>
  <si>
    <t>Scored results preserved recommendation_score and rank; Decimal values were serialized as exact strings.</t>
  </si>
  <si>
    <t>Matched/missing competencies, matched technologies, and ESCO essential/optional explanation fields serialized successfully.</t>
  </si>
  <si>
    <t>insufficient_profile results preserved null recommendation_score and null rank in a controlled response.</t>
  </si>
  <si>
    <t>Automated API error-envelope checks passed for unauthenticated and missing-profile error paths, using code, message and details fields.</t>
  </si>
  <si>
    <t>WBS 5.4 implementation is MD-owned. The executed suite verifies the approved error envelope on unauthenticated and missing-profile paths; no separate malformed-query scenario was captured.</t>
  </si>
  <si>
    <t>Two unchanged requests using the same service output returned identical response data.</t>
  </si>
  <si>
    <t>Cross-student query parameters did not switch profile context; only the authenticated Student Profile was used.</t>
  </si>
  <si>
    <t>Foundational proficiency mapped to 25.</t>
  </si>
  <si>
    <t>WBS 5.5 automated suite completed 39/39 tests successfully.</t>
  </si>
  <si>
    <t>Developing proficiency mapped to 50.</t>
  </si>
  <si>
    <t>Proficient proficiency mapped to 75.</t>
  </si>
  <si>
    <t>Advanced proficiency mapped to 100.</t>
  </si>
  <si>
    <t>Missing Skill mapped to 0 and produced a missing gap.</t>
  </si>
  <si>
    <t>Below-requirement proficiency produced partial attainment and below-requirement status.</t>
  </si>
  <si>
    <t>Meeting or exceeding the requirement produced full attainment capped at 1.00.</t>
  </si>
  <si>
    <t>Career Readiness calculation used O*NET Importance weighting and matched the approved weighted formula.</t>
  </si>
  <si>
    <t>Empty Student profile returned insufficient_profile with no readiness score.</t>
  </si>
  <si>
    <t>Career without eligible readiness evidence returned insufficient_evidence with no readiness score.</t>
  </si>
  <si>
    <t>Skill Gap ordering remained deterministic for unchanged inputs.</t>
  </si>
  <si>
    <t>Dataset 1.0 returned 1,849 readiness requirements across 35 Careers with evidence; service score 17.43 matched manual score 17.43, repeated result was identical, database counts were unchanged, and 0 StudentSkill rows were created.</t>
  </si>
  <si>
    <t>S2-EV-003</t>
  </si>
  <si>
    <t>docs/testing/evidence/sprint-2/S2-EV-003-wbs-5.5-dataset-readiness-validation-pass.png</t>
  </si>
  <si>
    <t>S2-READ-12 validation completed with PASS.</t>
  </si>
  <si>
    <t>Full backend regression suite passed registration, login, JWT and authentication-route tests with no Sprint 1 authentication regression.</t>
  </si>
  <si>
    <t>S2-EV-007</t>
  </si>
  <si>
    <t>docs/testing/evidence/sprint-2/S2-EV-007A-full-backend-regression-start.png; docs/testing/evidence/sprint-2/S2-EV-007B-full-backend-auth-execution.png; docs/testing/evidence/sprint-2/S2-EV-007D-full-backend-profiles-careers-execution.png; docs/testing/evidence/sprint-2/S2-EV-007E-full-backend-regression-summary-pass.png</t>
  </si>
  <si>
    <t>Shared WBS 5.9 regression evidence already executed by Jerald; implementation ownership remains with the original WBS owners.</t>
  </si>
  <si>
    <t>Student Profile GET/PATCH and serialization regression tests passed within the full backend suite.</t>
  </si>
  <si>
    <t>StudentSkill model/API tests passed, including approved proficiency values, unique profile/Skill relationships and persistence behaviour.</t>
  </si>
  <si>
    <t>Profile ownership tests passed; authenticated users did not receive another Student's protected profile-derived data.</t>
  </si>
  <si>
    <t>Authenticated student Career Analysis flow was executed and shared Career/Skill reference counts remained unchanged: 36 active Careers, 2,873 Skills, 9,959 CareerSkill links, 10,038 CareerSkillEvidence rows.</t>
  </si>
  <si>
    <t>S2-EV-017 / S2-EV-018 / S2-EV-019 / S2-EV-020 / S2-EV-021 / S2-EV-022</t>
  </si>
  <si>
    <t>docs/testing/evidence/sprint-2/S2-EV-018A-desktop-recommendations-ranked-list-1440x900.png; docs/testing/evidence/sprint-2/S2-EV-020A-desktop-skill-gap-readiness-selected-career-1440x900.png; docs/testing/evidence/sprint-2/S2-EV-021A-desktop-roadmap-ordered-steps-1440x900.png; docs/testing/evidence/sprint-2/S2-EV-022A-desktop-learning-resources-mapped-skill-1440x900.png</t>
  </si>
  <si>
    <t>Executed through authenticated local Student flow. Dataset/reference rows were not modified; only controlled Student Profile rows were temporarily changed and restored for state tests.</t>
  </si>
  <si>
    <t>Career Recommendations loaded from the authenticated API and displayed a ranked list with Software Engineer as rank 1 and six other matches.</t>
  </si>
  <si>
    <t>S2-EV-017 / S2-EV-018 / S2-EV-019</t>
  </si>
  <si>
    <t>docs/testing/evidence/sprint-2/S2-EV-018A-desktop-recommendations-ranked-list-1440x900.png</t>
  </si>
  <si>
    <t>Executed in the local browser automation environment against local Vite and Django servers.</t>
  </si>
  <si>
    <t>Frontend order matched API order for the first seven recommendations: Software Engineer, DevOps Engineer, Data Engineer, Data Scientist, Cloud Engineer, Data Analyst, Data Architect.</t>
  </si>
  <si>
    <t>API rank-order check directly matched visible browser order.</t>
  </si>
  <si>
    <t>Recommendation score, AI explanation area, strongest evidence, priority gap, and scoring weights were visible.</t>
  </si>
  <si>
    <t>docs/testing/evidence/sprint-2/S2-EV-019A-desktop-scoring-explanation-details-1440x900.png</t>
  </si>
  <si>
    <t>Expanded How scoring works and verified displayed weighting/factors.</t>
  </si>
  <si>
    <t>Selecting View Skill Gaps for the top Software Engineer recommendation loaded selected-career Skill Gap Analysis with readiness details.</t>
  </si>
  <si>
    <t>S2-EV-020</t>
  </si>
  <si>
    <t>docs/testing/evidence/sprint-2/S2-EV-020A-desktop-skill-gap-readiness-selected-career-1440x900.png</t>
  </si>
  <si>
    <t>Selection preserved career_id=3 from the recommendation action.</t>
  </si>
  <si>
    <t>Career Match and Readiness appeared as separate metrics on recommendation cards and selected-career analysis.</t>
  </si>
  <si>
    <t>S2-EV-017 / S2-EV-018 / S2-EV-019 / S2-EV-020</t>
  </si>
  <si>
    <t>docs/testing/evidence/sprint-2/S2-EV-018A-desktop-recommendations-ranked-list-1440x900.png; docs/testing/evidence/sprint-2/S2-EV-020A-desktop-skill-gap-readiness-selected-career-1440x900.png</t>
  </si>
  <si>
    <t>Top Match showed Career Match 85% and Readiness 6%; Skill Gap Analysis showed separate Readiness Score.</t>
  </si>
  <si>
    <t>Requirement Details distinguished Missing and Below Requirement statuses, including Critical Thinking as Below Requirement and multiple missing skills.</t>
  </si>
  <si>
    <t>Requirement table showed status labels and current evidence values.</t>
  </si>
  <si>
    <t>docs/testing/evidence/sprint-2/S2-EV-024A-full-empty-profile-recommendations-error-1440x900.png; docs/testing/evidence/sprint-2/S2-EV-027-retest-profile-restoration.txt</t>
  </si>
  <si>
    <t>DEF-S2-001</t>
  </si>
  <si>
    <t>Health Information Manager selected-career Skill Gap Analysis displayed a controlled insufficient-evidence state with 0 requirements and no invented resources.</t>
  </si>
  <si>
    <t>S2-EV-013</t>
  </si>
  <si>
    <t>docs/testing/evidence/sprint-2/S2-EV-013A-s2-ui-08-insufficient-evidence-controlled.png</t>
  </si>
  <si>
    <t>Used active Career ID 24, identified in the Sprint 2 plan as the insufficient-evidence case.</t>
  </si>
  <si>
    <t>S2-EV-014</t>
  </si>
  <si>
    <t>docs/testing/evidence/sprint-2/S2-EV-014A-s2-qual-02-keyboard-focus-navigation.png</t>
  </si>
  <si>
    <t>Responsive viewport tooling unavailable in current browser automation provider.</t>
  </si>
  <si>
    <t>Career Roadmap loaded for Software Engineer with an ordered 18-step plan.</t>
  </si>
  <si>
    <t>S2-EV-021</t>
  </si>
  <si>
    <t>docs/testing/evidence/sprint-2/S2-EV-021A-desktop-roadmap-ordered-steps-1440x900.png</t>
  </si>
  <si>
    <t>Roadmap overview loaded from backend for career_id=3.</t>
  </si>
  <si>
    <t>Roadmap displayed ordered step numbers beginning with Computers and Electronics, Judgment and Decision Making, and Mathematics Knowledge.</t>
  </si>
  <si>
    <t>Visible order matched the backend roadmap priority order.</t>
  </si>
  <si>
    <t>Roadmap skill names matched selected-career gaps shown in Skill Gap Analysis.</t>
  </si>
  <si>
    <t>S2-EV-020 / S2-EV-021</t>
  </si>
  <si>
    <t>docs/testing/evidence/sprint-2/S2-EV-020A-desktop-skill-gap-readiness-selected-career-1440x900.png; docs/testing/evidence/sprint-2/S2-EV-021A-desktop-roadmap-ordered-steps-1440x900.png</t>
  </si>
  <si>
    <t>Top roadmap priorities matched Fix First/Requirement Detail skills.</t>
  </si>
  <si>
    <t>Learning Resources opened from a roadmap step and displayed resource cards mapped to Judgment and Decision Making.</t>
  </si>
  <si>
    <t>S2-EV-022</t>
  </si>
  <si>
    <t>docs/testing/evidence/sprint-2/S2-EV-022A-desktop-learning-resources-mapped-skill-1440x900.png</t>
  </si>
  <si>
    <t>Resource cards included provider, type, checked date, and fit rationale.</t>
  </si>
  <si>
    <t>Health Information Manager roadmap displayed a controlled empty state: 0 of 0 steps and No roadmap steps are available yet.</t>
  </si>
  <si>
    <t>docs/testing/evidence/sprint-2/S2-EV-010B-s2-road-05-empty-roadmap-controlled.png</t>
  </si>
  <si>
    <t>No false roadmap steps were displayed.</t>
  </si>
  <si>
    <t>Invalid roadmap career_id displayed controlled error text: Selected career was not found, with retry/navigation actions.</t>
  </si>
  <si>
    <t>docs/testing/evidence/sprint-2/S2-EV-010C-s2-road-06-roadmap-error-controlled.png</t>
  </si>
  <si>
    <t>Used /career-roadmap?career_id=999999.</t>
  </si>
  <si>
    <t>Navigation preserved selected Software Engineer context from recommendations to Skill Gap Analysis, Career Roadmap, and Learning Resources.</t>
  </si>
  <si>
    <t>S2-EV-020 / S2-EV-021 / S2-EV-022</t>
  </si>
  <si>
    <t>docs/testing/evidence/sprint-2/S2-EV-020A-desktop-skill-gap-readiness-selected-career-1440x900.png; docs/testing/evidence/sprint-2/S2-EV-021A-desktop-roadmap-ordered-steps-1440x900.png; docs/testing/evidence/sprint-2/S2-EV-022A-desktop-learning-resources-mapped-skill-1440x900.png</t>
  </si>
  <si>
    <t>Context carried as career_id=3 across routes.</t>
  </si>
  <si>
    <t>Partial-match Student completed the main Career Analysis flow: profile evidence, recommendations, explanation, selected career, skill gaps, readiness, roadmap, and learning resources.</t>
  </si>
  <si>
    <t>docs/testing/evidence/sprint-2/S2-EV-017A-desktop-profile-baseline-1440x900.png; docs/testing/evidence/sprint-2/S2-EV-018A-desktop-recommendations-ranked-list-1440x900.png; docs/testing/evidence/sprint-2/S2-EV-020A-desktop-skill-gap-readiness-selected-career-1440x900.png; docs/testing/evidence/sprint-2/S2-EV-021A-desktop-roadmap-ordered-steps-1440x900.png; docs/testing/evidence/sprint-2/S2-EV-022A-desktop-learning-resources-mapped-skill-1440x900.png</t>
  </si>
  <si>
    <t>Primary profile: IT/software-development synthetic baseline.</t>
  </si>
  <si>
    <t>Controlled unrelated-skills browser scenario not completed in current run.</t>
  </si>
  <si>
    <t>Insufficient-readiness/insufficient-evidence career remained controlled for Health Information Manager, with no false gaps or resources.</t>
  </si>
  <si>
    <t>S2-EV-013 / S2-EV-021</t>
  </si>
  <si>
    <t>docs/testing/evidence/sprint-2/S2-EV-013A-s2-ui-08-insufficient-evidence-controlled.png; docs/testing/evidence/sprint-2/S2-EV-010B-s2-road-05-empty-roadmap-controlled.png</t>
  </si>
  <si>
    <t>Used active Career ID 24.</t>
  </si>
  <si>
    <t>S2-EV-016</t>
  </si>
  <si>
    <t>docs/testing/evidence/sprint-2/S2-EV-016-validation-lint-build-backend-tests.txt</t>
  </si>
  <si>
    <t>Second synthetic Student browser credentials required for full E2E ownership-isolation execution.</t>
  </si>
  <si>
    <t>Django system check passed, migration plan showed no unapplied migrations, and accounts/profiles/careers backend regression suite passed 623 tests.</t>
  </si>
  <si>
    <t>This completes the previously missing dedicated migration-drift validation.</t>
  </si>
  <si>
    <t>Representative authenticated non-AI API responses were observed under 2 seconds locally: recommendations 264.7 ms, readiness 91.2 ms, roadmap overview 132.9 ms, learning-resource recommendations 124.6 ms.</t>
  </si>
  <si>
    <t>S2-EV-015</t>
  </si>
  <si>
    <t>docs/testing/evidence/sprint-2/S2-EV-015-s2-qual-01-performance-observation.txt</t>
  </si>
  <si>
    <t>Local classroom-use observation only; not production load testing.</t>
  </si>
  <si>
    <t>Keyboard Tab traversal reached core navigation controls and maintained focusable route links.</t>
  </si>
  <si>
    <t>Basic keyboard check only; not a full WCAG audit.</t>
  </si>
  <si>
    <t>Representative responsive execution completed for Career Recommendations, Skill Gap/Readiness, and Career Roadmap at desktop 1440x900, tablet 1024x768, and mobile 390x844. No horizontal overflow was reported by the page checks.</t>
  </si>
  <si>
    <t>S2-EV-025</t>
  </si>
  <si>
    <t>docs/testing/evidence/sprint-2/S2-EV-025-desktop-recommendations-1440x900.png; docs/testing/evidence/sprint-2/S2-EV-025-desktop-skill-gap-1440x900.png; docs/testing/evidence/sprint-2/S2-EV-025-desktop-roadmap-1440x900.png; docs/testing/evidence/sprint-2/S2-EV-025-tablet-recommendations-1024x768.png; docs/testing/evidence/sprint-2/S2-EV-025-tablet-skill-gap-1024x768.png; docs/testing/evidence/sprint-2/S2-EV-025-tablet-roadmap-1024x768.png; docs/testing/evidence/sprint-2/S2-EV-025-mobile-recommendations-390x844.png; docs/testing/evidence/sprint-2/S2-EV-025-mobile-skill-gap-390x844.png; docs/testing/evidence/sprint-2/S2-EV-025-mobile-roadmap-390x844.png</t>
  </si>
  <si>
    <t>Representative widths used because Sprint 2 docs define categories but no fixed viewport matrix.</t>
  </si>
  <si>
    <t>Chrome, Edge, and Firefox controllable browser sessions required.</t>
  </si>
  <si>
    <t>New evidence files were created for executed in-scope rows, defects/blockers were recorded, and MD-owned rows were preserved.</t>
  </si>
  <si>
    <t>S2-EV-017 / S2-EV-018 / S2-EV-019 to S2-EV-016</t>
  </si>
  <si>
    <t>docs/testing/evidence/sprint-2/S2-EV-017A-desktop-profile-baseline-1440x900.png; docs/testing/evidence/sprint-2/S2-EV-016-validation-lint-build-backend-tests.txt</t>
  </si>
  <si>
    <t>Evidence audit performed after workbook update.</t>
  </si>
  <si>
    <t>Manual retest by Jerald on 20 September 2026 after DEF-S2-001 was fixed and merged into feature/sprint-3. With StudentSkill, StudentInterest, and CareerGoal records temporarily removed, Career Recommendations displayed controlled empty-profile guidance: "Complete your profile before generating career recommendations." The recommendations endpoint returned HTTP 400 instead of HTTP 500. No raw JSON parsing error or misleading scored recommendations were displayed.</t>
  </si>
  <si>
    <t>S2-EV-029</t>
  </si>
  <si>
    <t>Initial manual testing reproduced DEF-S2-001, where the fully empty profile caused HTTP 500 and exposed a raw JSON parsing error. After the defect fix was merged into feature/sprint-3, the official retest on jerald/sprint-2-integration-testing passed. The empty-profile state returned controlled guidance with HTTP 400. The test profile was restored and verified against the pre-test backup.</t>
  </si>
  <si>
    <t>Official S2-UI-07 manual retest after DEF-S2-001 fix. Evidence covers empty-profile setup, empty Student Profile state, controlled Career Recommendations guidance with HTTP 400, and verified profile restoration.</t>
  </si>
  <si>
    <t>docs/testing/evidence/sprint-2/S2-EV-029A-s2-ui-07-official-empty-profile-terminal.png; docs/testing/evidence/sprint-2/S2-EV-029B-s2-ui-07-official-empty-student-profile.png; docs/testing/evidence/sprint-2/S2-EV-029C-s2-ui-07-official-controlled-guidance-http-400.png; docs/testing/evidence/sprint-2/S2-EV-029D-s2-ui-07-official-profile-restoration-terminal.png</t>
  </si>
  <si>
    <t>Official retest passed after DEF-S2-001 was fixed and merged into feature/sprint-3. Test profile restored to 6 skills, 4 interests, and 3 career goals with Software Engineer as the primary goal.</t>
  </si>
  <si>
    <t>Manual retest by Jerald on 20 September 2026. Under Slow 4G network throttling, Career Recommendations displayed a controlled loading state with "Finding your career matches" and did not display stale recommendation results. With only /api/v1/recommendations/ blocked through Chrome Request conditions, the page remained on Career Recommendations and displayed "Recommendations unavailable" with "Failed to fetch". No false or stale recommendation data was shown. After disabling the request condition, Career Recommendations recovered normally and the recommendations endpoint returned HTTP 200.</t>
  </si>
  <si>
    <t>S2-EV-030</t>
  </si>
  <si>
    <t>docs/testing/evidence/sprint-2/S2-EV-030A-s2-ui-09-controlled-loading-state.png; docs/testing/evidence/sprint-2/S2-EV-030B-s2-ui-09-controlled-api-error-state.png; docs/testing/evidence/sprint-2/S2-EV-030C-s2-ui-09-recovery-normal-recommendations.png</t>
  </si>
  <si>
    <t>Manual retest completed on jerald/sprint-2-integration-testing. Loading, isolated recommendation API failure, and recovery states were verified manually. No stale or false recommendation data was displayed during loading or API failure. Normal recommendations recovered after the request condition was disabled.</t>
  </si>
  <si>
    <t>Manual S2-UI-09 retest covering controlled loading state, isolated Career Recommendations API failure, and successful recovery.</t>
  </si>
  <si>
    <t>Loading state tested with Slow 4G throttling. API failure tested by blocking only /api/v1/recommendations/ through Chrome Request conditions. Recovery verified after disabling the condition with recommendations returning HTTP 200.</t>
  </si>
  <si>
    <t>S2-EV-031</t>
  </si>
  <si>
    <t>docs/testing/evidence/sprint-2/S2-EV-031A-s2-e2e-03-empty-studentskill-terminal.png; docs/testing/evidence/sprint-2/S2-EV-031B-s2-e2e-03-empty-skills-profile.png; docs/testing/evidence/sprint-2/S2-EV-031C-s2-e2e-03-career-recommendations-misleading-score.png; docs/testing/evidence/sprint-2/S2-EV-031D-s2-e2e-03-downstream-skill-gap-insufficient-profile.png; docs/testing/evidence/sprint-2/S2-EV-031E-s2-e2e-03-profile-restoration-terminal.png</t>
  </si>
  <si>
    <t>Official S2-E2E-03 manual retest covering zero StudentSkill setup, profile verification, misleading scored Career Recommendation result, downstream Insufficient Profile result, and verified profile restoration.</t>
  </si>
  <si>
    <t>DEF-S2-002. Zero StudentSkill profile received a 100% Career Match with no matched evidence. Downstream Skill Gap Analysis reported 0% readiness and Insufficient Profile. Profile restored after execution.</t>
  </si>
  <si>
    <t>Manual retest by Jerald on 20 September 2026. Responsive behaviour was verified across desktop 1440x900, tablet 1024x768, and mobile 390x844. An initial mobile navigation and tablet Top Match layout issue was identified as DEF-S2-003 and fixed. After the fix was merged into feature/sprint-3 and brought into the Sprint 2 testing branch, the tablet Top Match layout stacked correctly, mobile navigation used an accessible burger drawer, Career Match and Readiness remained balanced, and Skill Gap Analysis and Career Roadmap remained usable without horizontal overflow. Keyboard testing verified visible focus, forward Tab navigation, backward Shift+Tab navigation, Enter activation, and keyboard navigation through the core flow.</t>
  </si>
  <si>
    <t>S2-EV-032</t>
  </si>
  <si>
    <t>docs/testing/evidence/sprint-2/S2-EV-032D-s2-ui-10-tablet-career-recommendations-fixed-1024x768.png; docs/testing/evidence/sprint-2/S2-EV-032G-s2-ui-10-mobile-career-recommendations-fixed-390x844.png; docs/testing/evidence/sprint-2/S2-EV-032H-s2-ui-10-mobile-navigation-drawer-390x844.png; docs/testing/evidence/sprint-2/S2-EV-032I-s2-ui-10-mobile-skill-gap-390x844.png; docs/testing/evidence/sprint-2/S2-EV-032J-s2-ui-10-mobile-roadmap-390x844.png; docs/testing/evidence/sprint-2/S2-EV-032K-s2-ui-10-keyboard-visible-focus.png</t>
  </si>
  <si>
    <t>DEF-S2-003</t>
  </si>
  <si>
    <t>Initial responsive defect found during manual S2-UI-10 execution. DEF-S2-003 was fixed and merged into feature/sprint-3. Official retest passed after verifying desktop, tablet, mobile, burger navigation, visible keyboard focus, Tab, Shift+Tab, Enter activation, and keyboard-accessible core navigation. Shift+Tab behaviour was manually verified and does not require a separate screenshot.</t>
  </si>
  <si>
    <t>Manual end-to-end retest by Jerald on 20 September 2026. The unrelated-Skills scenario used three approved accounting Skills at Advanced proficiency with Career Goals temporarily removed to isolate Skill-based recommendation behaviour. Accountant (General), Taxation Accountant, and Management Accountant ranked first, second, and third. Software Engineer ranked 16 with an 18.61% Career Match, 0.00 competency score, no matched competencies, and no matched technologies. Software Engineer downstream readiness was 0%, with 0 matched, 0 partially matched, and 18 missing requirements. Learning Resources and Career Roadmap preserved the Software Engineer context and showed controlled missing-gap states without false evidence. The original test profile was restored successfully after execution.</t>
  </si>
  <si>
    <t>S2-EV-033</t>
  </si>
  <si>
    <t>Official S2-E2E-02 retest passed. Initial diagnostic execution retained existing Career Goals and showed that goal-based semantic context influenced ranking. The official isolated execution temporarily removed Career Goals while retaining three real accounting Skills and four Interests. Accounting careers ranked highest, while unrelated Software Engineer dropped to rank 16 with an 18.61% match and no matched competency or technology evidence. Downstream Skill Gap, Learning Resources, and Career Roadmap remained controlled. Original profile restoration passed.</t>
  </si>
  <si>
    <t>docs/testing/evidence/sprint-2/S2-EV-033E-s2-e2e-02-unrelated-skills-no-career-goals-terminal.png; docs/testing/evidence/sprint-2/S2-EV-033F-s2-e2e-02-isolated-career-recommendations-top-match.png; docs/testing/evidence/sprint-2/S2-EV-033G-s2-e2e-02-isolated-other-career-matches.png; docs/testing/evidence/sprint-2/S2-EV-033H-s2-e2e-02-software-engineer-low-match-snapshot-terminal.txt; docs/testing/evidence/sprint-2/S2-EV-033I-s2-e2e-02-software-engineer-skill-gap.png; docs/testing/evidence/sprint-2/S2-EV-033J-s2-e2e-02-software-engineer-gap-details.png; docs/testing/evidence/sprint-2/S2-EV-033K-s2-e2e-02-software-engineer-learning-resources.png; docs/testing/evidence/sprint-2/S2-EV-033L-s2-e2e-02-software-engineer-roadmap.png; docs/testing/evidence/sprint-2/S2-EV-033M-s2-e2e-02-profile-restoration-terminal.png</t>
  </si>
  <si>
    <t>Official unrelated-Skills end-to-end retest covering isolated profile state, recommendation ranking, Software Engineer low-match verification, Skill Gap, Learning Resources, Career Roadmap, and profile restoration.</t>
  </si>
  <si>
    <t>No false Software Engineer match observed. Software Engineer ranked 16 at 18.61%, with 0.00 competency score and no matched competencies or technologies. Downstream readiness was 0% with 18 missing requirements. Original profile restored successfully.</t>
  </si>
  <si>
    <t>Retested after DEF-S2-005. With StudentSkill reduced to 0 while 4 Interests and 3 Career Goals remained, Career Recommendations returned the controlled incomplete-profile state instead of ranked Career matches. The recommendation endpoint returned insufficient_profile_context and no misleading recommendation scores were shown. The original profile was restored to 6 Skills, 4 Interests, and 3 Career Goals after testing.</t>
  </si>
  <si>
    <t>DEF-S2-005</t>
  </si>
  <si>
    <t>S2-EV-035</t>
  </si>
  <si>
    <t>docs/testing/evidence/sprint-2/S2-EV-035A-s2-e2e-03-empty-skills-profile.png; docs/testing/evidence/sprint-2/S2-EV-035B-s2-e2e-03-career-recommendations-fail.png; docs/testing/evidence/sprint-2/S2-EV-035C-s2-e2e-03-post-fix-controlled-recommendations.png</t>
  </si>
  <si>
    <t>Initial retest failed because ranked recommendations were still generated with zero Skills. DEF-S2-005 added an empty-Skills recommendation guard before cache lookup and composite scoring. The post-fix browser retest passed.</t>
  </si>
  <si>
    <t>S2-EV-036</t>
  </si>
  <si>
    <t>docs/testing/evidence/sprint-2/S2-EV-036A-s2-e2e-05-student-ownership-isolation-terminal.png</t>
  </si>
  <si>
    <t>Student ownership isolation passed. Student B remained isolated from Student A profile and derived readiness data even when Student A's profile ID was supplied. Student B returned 0 Skills, 0 Interests, and 0 Career Goals. Student A readiness returned scored with 5.54, while Student B returned insufficient_profile with no readiness score. Temporary Student B was deleted after testing.</t>
  </si>
  <si>
    <t>Previously blocked ownership test completed successfully. Profile and derived Career readiness data remained scoped to the authenticated Student.</t>
  </si>
  <si>
    <t>ID: S2-EV-037</t>
  </si>
  <si>
    <t>Manual cross-browser verification by Jerald on 20 September 2026.</t>
  </si>
  <si>
    <t>Manual cross-browser verification passed in Google Chrome, Microsoft Edge, and Mozilla Firefox. Login, Career Recommendations, Skill Gap Analysis, Learning Resources, Career Roadmap, navigation, and logout worked without blocking browser-specific errors.</t>
  </si>
  <si>
    <t>Chrome: Pass. Edge: Pass. Firefox: Pass.</t>
  </si>
  <si>
    <t>API returned 200 OK with a scored Software Engineer 
learning plan and 17 structured learning 
suggestions for unresolved missing Skill gaps.</t>
  </si>
  <si>
    <t>WBS 5.7 is available on the shared branch. Verified Learning Suggestions API returns structured suggestions for unresolved Skill gaps.</t>
  </si>
  <si>
    <t>S2-EV-039</t>
  </si>
  <si>
    <t>docs/testing/evidence/sprint-2/S2-EV-039-s2-learn-02-missing-skills-map-to-suggestions.png</t>
  </si>
  <si>
    <t>17 missing Skill IDs exactly matched the 17 learning suggestion Skill IDs in the same order.</t>
  </si>
  <si>
    <t>WBS 5.7 is available on the shared branch. Verified learning suggestions map exactly to unresolved missing Skills.</t>
  </si>
  <si>
    <t>Below-requirement Skill 99 (Computers and Electronics) was returned as a learning suggestion with student score 50 below required level 89.00; exact Skill mapping verified.</t>
  </si>
  <si>
    <t>S2-EV-040</t>
  </si>
  <si>
    <t>docs/testing/evidence/sprint-2/S2-EV-040-s2-learn-03-below-requirement-suggestion.png</t>
  </si>
  <si>
    <t>WBS 5.7 is available on the shared branch. Verified below-requirement Skill gaps are included in learning suggestions.</t>
  </si>
  <si>
    <t>Skill 701 (Complex Problem Solving) met its required level (50/50.00) and was excluded from learning suggestions; no met Skills appeared in unresolved priorities.</t>
  </si>
  <si>
    <t>S2-EV-041</t>
  </si>
  <si>
    <t>docs/testing/evidence/sprint-2/S2-EV-041-s2-learn-04-met-skills-excluded.png</t>
  </si>
  <si>
    <t>WBS 5.7 is available on the shared branch. Verified Skills meeting Career requirements are excluded from unresolved learning priorities.</t>
  </si>
  <si>
    <t>Requested Career 39 (Software Engineer) was preserved in the learning plan and readiness result; all 17 suggestions belonged to the selected Career requirements.</t>
  </si>
  <si>
    <t>S2-EV-042</t>
  </si>
  <si>
    <t>docs/testing/evidence/sprint-2/S2-EV-042-s2-learn-05-selected-career-context.png</t>
  </si>
  <si>
    <t>WBS 5.7 is available on the shared branch. Verified learning suggestions preserve the selected Career context and map only to its readiness requirements.</t>
  </si>
  <si>
    <t>Empty Student Skill profile returned a controlled insufficient_profile result with no readiness score, Skill gaps, learning suggestions, or roadmap steps.</t>
  </si>
  <si>
    <t>S2-EV-043</t>
  </si>
  <si>
    <t>docs/testing/evidence/sprint-2/S2-EV-043-s2-learn-06-insufficient-profile-controlled.png</t>
  </si>
  <si>
    <t>WBS 5.7 is available on the shared branch. Verified an empty Student Skill profile is handled as insufficient_profile without generating misleading suggestions.</t>
  </si>
  <si>
    <t>Invalid career_id value "abc" returned 400 Bad Request with validation_error and field-level message "A valid integer is required."</t>
  </si>
  <si>
    <t>S2-EV-044</t>
  </si>
  <si>
    <t>docs/testing/evidence/sprint-2/S2-EV-044-s2-learn-07-invalid-request-validation.png</t>
  </si>
  <si>
    <t>WBS 5.7 is available on the shared branch. Verified invalid learning requests are handled with a controlled API validation error.</t>
  </si>
  <si>
    <t>Two executions with identical StudentProfile 2 and Career 39 input returned the same Career, scored status, readiness score (10.16), 17 suggestions, and identical structured suggestion results.</t>
  </si>
  <si>
    <t>S2-EV-045</t>
  </si>
  <si>
    <t>docs/testing/evidence/sprint-2/S2-EV-045-s2-learn-08-repeated-input-stable.png</t>
  </si>
  <si>
    <t>WBS 5.7 is available on the shared branch. Verified repeated identical structured input produces stable deterministic learning suggestion results.</t>
  </si>
  <si>
    <t>Implemented and available on the shared branch. Career Recommendation API testing completed.</t>
  </si>
  <si>
    <t>Implemented and available on the shared branch. S2-LEARN-01 to S2-LEARN-08 completed successfully; all 8 tests passed.</t>
  </si>
  <si>
    <t>S2-EV-038</t>
  </si>
  <si>
    <t>docs/testing/evidence/sprint-2/S2-EV-038-s2-learn-01-structured-learning-suggestions.png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</si>
</sst>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6"/>
      <color rgb="FFFFFFFF"/>
      <name val="Carlito"/>
    </font>
    <font>
      <b/>
      <sz val="11"/>
      <color rgb="FFFFFFFF"/>
      <name val="Carlito"/>
    </font>
    <font>
      <b/>
      <sz val="11"/>
      <name val="Carlito"/>
    </font>
    <font>
      <b/>
      <sz val="12"/>
      <color rgb="FFFFFFFF"/>
      <name val="Carlito"/>
    </font>
    <font>
      <b/>
      <sz val="11"/>
      <color rgb="FF1F1F1F"/>
      <name val="Carlito"/>
    </font>
    <font>
      <b/>
      <sz val="14"/>
      <color rgb="FFFFFFFF"/>
      <name val="Carlito"/>
    </font>
    <font>
      <sz val="11"/>
      <name val="Carlito"/>
    </font>
  </fonts>
  <fills count="7">
    <fill>
      <patternFill patternType="none"/>
    </fill>
    <fill>
      <patternFill patternType="gray125"/>
    </fill>
    <fill>
      <patternFill patternType="solid">
        <fgColor rgb="FF17365D"/>
      </patternFill>
    </fill>
    <fill>
      <patternFill patternType="solid">
        <fgColor rgb="FFD9EAF7"/>
      </patternFill>
    </fill>
    <fill>
      <patternFill patternType="solid">
        <fgColor rgb="FFE2F0D9"/>
      </patternFill>
    </fill>
    <fill>
      <patternFill patternType="solid">
        <fgColor rgb="FFFFF2CC"/>
      </patternFill>
    </fill>
    <fill>
      <patternFill patternType="solid">
        <fgColor theme="9" tint="0.79998168889431442"/>
        <bgColor indexed="64"/>
      </patternFill>
    </fill>
  </fills>
  <borders count="17">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7" fillId="0" borderId="16"/>
  </cellStyleXfs>
  <cellXfs count="57">
    <xf numFmtId="0" fontId="0" fillId="0" borderId="0" xfId="0"/>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0" fillId="0" borderId="0" xfId="0" applyAlignment="1">
      <alignment vertical="center"/>
    </xf>
    <xf numFmtId="0" fontId="0" fillId="0" borderId="2" xfId="0" applyBorder="1" applyAlignment="1">
      <alignment vertical="center"/>
    </xf>
    <xf numFmtId="0" fontId="3" fillId="0" borderId="4" xfId="0" applyFont="1" applyBorder="1" applyAlignment="1">
      <alignment vertical="center"/>
    </xf>
    <xf numFmtId="0" fontId="0" fillId="0" borderId="5" xfId="0" applyBorder="1" applyAlignment="1">
      <alignment vertical="center"/>
    </xf>
    <xf numFmtId="0" fontId="3" fillId="0" borderId="5" xfId="0" applyFont="1" applyBorder="1" applyAlignment="1">
      <alignment vertical="center"/>
    </xf>
    <xf numFmtId="0" fontId="0" fillId="0" borderId="6" xfId="0" applyBorder="1" applyAlignment="1">
      <alignment vertical="center"/>
    </xf>
    <xf numFmtId="0" fontId="3" fillId="0" borderId="7" xfId="0" applyFont="1"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4" xfId="0" applyBorder="1" applyAlignment="1">
      <alignment vertical="center" wrapText="1"/>
    </xf>
    <xf numFmtId="0" fontId="0" fillId="0" borderId="5" xfId="0" applyBorder="1" applyAlignment="1">
      <alignment vertical="center" wrapText="1"/>
    </xf>
    <xf numFmtId="0" fontId="0" fillId="5" borderId="5" xfId="0" applyFill="1" applyBorder="1" applyAlignment="1">
      <alignment vertical="center" wrapText="1"/>
    </xf>
    <xf numFmtId="0" fontId="0" fillId="0" borderId="6" xfId="0" applyBorder="1" applyAlignment="1">
      <alignment vertical="center" wrapText="1"/>
    </xf>
    <xf numFmtId="0" fontId="0" fillId="4" borderId="5" xfId="0" applyFill="1"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5" borderId="8" xfId="0" applyFill="1" applyBorder="1" applyAlignment="1">
      <alignment vertical="center" wrapText="1"/>
    </xf>
    <xf numFmtId="0" fontId="0" fillId="0" borderId="9" xfId="0" applyBorder="1" applyAlignment="1">
      <alignment vertical="center" wrapText="1"/>
    </xf>
    <xf numFmtId="0" fontId="0" fillId="0" borderId="0" xfId="0" applyAlignment="1">
      <alignment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0" fillId="0" borderId="12" xfId="0"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0" fillId="0" borderId="15" xfId="0" applyBorder="1" applyAlignment="1">
      <alignment vertical="top"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2" fillId="2" borderId="16" xfId="1" applyFont="1" applyFill="1" applyAlignment="1">
      <alignment horizontal="center" vertical="center" wrapText="1"/>
    </xf>
    <xf numFmtId="0" fontId="7" fillId="0" borderId="16" xfId="1" applyAlignment="1">
      <alignment vertical="top" wrapText="1"/>
    </xf>
    <xf numFmtId="0" fontId="0" fillId="0" borderId="0" xfId="0" applyAlignment="1">
      <alignment wrapText="1"/>
    </xf>
    <xf numFmtId="14" fontId="0" fillId="0" borderId="0" xfId="0" applyNumberFormat="1"/>
    <xf numFmtId="0" fontId="0" fillId="0" borderId="16" xfId="0"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center"/>
    </xf>
    <xf numFmtId="0" fontId="7" fillId="0" borderId="16" xfId="1" applyAlignment="1">
      <alignment horizontal="left" vertical="center" wrapText="1"/>
    </xf>
    <xf numFmtId="0" fontId="7" fillId="0" borderId="16" xfId="1" applyAlignment="1">
      <alignment horizontal="left" vertical="top" wrapText="1"/>
    </xf>
    <xf numFmtId="0" fontId="0" fillId="0" borderId="0" xfId="0" applyAlignment="1">
      <alignment horizontal="left" vertical="top" wrapText="1"/>
    </xf>
    <xf numFmtId="0" fontId="0" fillId="6" borderId="0" xfId="0" applyFill="1" applyAlignment="1">
      <alignment wrapText="1"/>
    </xf>
    <xf numFmtId="0" fontId="1" fillId="2" borderId="0" xfId="0" applyFont="1" applyFill="1" applyAlignment="1">
      <alignment horizontal="center" vertical="center"/>
    </xf>
    <xf numFmtId="0" fontId="4" fillId="2" borderId="0" xfId="0" applyFont="1" applyFill="1" applyAlignment="1">
      <alignment horizontal="left" vertical="center"/>
    </xf>
    <xf numFmtId="0" fontId="5" fillId="3" borderId="0" xfId="0" applyFont="1" applyFill="1" applyAlignment="1">
      <alignment vertical="center"/>
    </xf>
    <xf numFmtId="0" fontId="6" fillId="2" borderId="0" xfId="0" applyFont="1" applyFill="1" applyAlignment="1">
      <alignment horizontal="center"/>
    </xf>
  </cellXfs>
  <cellStyles count="2">
    <cellStyle name="Normal" xfId="0" builtinId="0"/>
    <cellStyle name="Normal 2" xfId="1" xr:uid="{03CE8168-D44C-42ED-BFF2-EB81F1D2AF07}"/>
  </cellStyles>
  <dxfs count="14">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ill>
        <patternFill patternType="solid">
          <bgColor rgb="FFE7E6E6"/>
        </patternFill>
      </fill>
    </dxf>
    <dxf>
      <font>
        <b/>
      </font>
      <fill>
        <patternFill patternType="solid">
          <bgColor rgb="FFD9EAF7"/>
        </patternFill>
      </fill>
    </dxf>
    <dxf>
      <font>
        <b/>
      </font>
      <fill>
        <patternFill patternType="solid">
          <bgColor rgb="FFFFF2CC"/>
        </patternFill>
      </fill>
    </dxf>
    <dxf>
      <font>
        <b/>
      </font>
      <fill>
        <patternFill patternType="solid">
          <bgColor rgb="FFFCE4D6"/>
        </patternFill>
      </fill>
    </dxf>
    <dxf>
      <font>
        <b/>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print2TestCases" displayName="Sprint2TestCases" ref="A1:T81" totalsRowShown="0">
  <tableColumns count="20">
    <tableColumn id="1" xr3:uid="{00000000-0010-0000-0000-000001000000}" name="Test ID"/>
    <tableColumn id="2" xr3:uid="{00000000-0010-0000-0000-000002000000}" name="WBS"/>
    <tableColumn id="3" xr3:uid="{00000000-0010-0000-0000-000003000000}" name="Requirement"/>
    <tableColumn id="4" xr3:uid="{00000000-0010-0000-0000-000004000000}" name="Test Type"/>
    <tableColumn id="5" xr3:uid="{00000000-0010-0000-0000-000005000000}" name="Priority"/>
    <tableColumn id="6" xr3:uid="{00000000-0010-0000-0000-000006000000}" name="Area"/>
    <tableColumn id="7" xr3:uid="{00000000-0010-0000-0000-000007000000}" name="Test Case"/>
    <tableColumn id="8" xr3:uid="{00000000-0010-0000-0000-000008000000}" name="Preconditions"/>
    <tableColumn id="9" xr3:uid="{00000000-0010-0000-0000-000009000000}" name="Steps"/>
    <tableColumn id="10" xr3:uid="{00000000-0010-0000-0000-00000A000000}" name="Expected Result"/>
    <tableColumn id="11" xr3:uid="{00000000-0010-0000-0000-00000B000000}" name="Test Owner"/>
    <tableColumn id="12" xr3:uid="{00000000-0010-0000-0000-00000C000000}" name="Status" dataDxfId="8" dataCellStyle="Normal 2"/>
    <tableColumn id="13" xr3:uid="{00000000-0010-0000-0000-00000D000000}" name="Actual Result" dataDxfId="7" dataCellStyle="Normal 2"/>
    <tableColumn id="14" xr3:uid="{00000000-0010-0000-0000-00000E000000}" name="Tester" dataDxfId="6" dataCellStyle="Normal 2"/>
    <tableColumn id="15" xr3:uid="{00000000-0010-0000-0000-00000F000000}" name="Evidence ID" dataDxfId="5" dataCellStyle="Normal 2"/>
    <tableColumn id="16" xr3:uid="{00000000-0010-0000-0000-000010000000}" name="Evidence Reference" dataDxfId="4" dataCellStyle="Normal 2"/>
    <tableColumn id="17" xr3:uid="{00000000-0010-0000-0000-000011000000}" name="Blocked Dependency" dataDxfId="3" dataCellStyle="Normal 2"/>
    <tableColumn id="18" xr3:uid="{00000000-0010-0000-0000-000012000000}" name="Defect Reference" dataDxfId="2" dataCellStyle="Normal 2"/>
    <tableColumn id="19" xr3:uid="{00000000-0010-0000-0000-000013000000}" name="Automation" dataDxfId="1" dataCellStyle="Normal 2"/>
    <tableColumn id="20" xr3:uid="{00000000-0010-0000-0000-000014000000}" name="Notes" dataDxfId="0" dataCellStyle="Normal 2"/>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topLeftCell="A4" workbookViewId="0">
      <selection activeCell="E21" sqref="E21"/>
    </sheetView>
  </sheetViews>
  <sheetFormatPr defaultRowHeight="14.25"/>
  <cols>
    <col min="1" max="1" width="34" customWidth="1"/>
    <col min="2" max="2" width="14" customWidth="1"/>
    <col min="3" max="3" width="45" customWidth="1"/>
    <col min="4" max="4" width="24" customWidth="1"/>
    <col min="5" max="5" width="12" customWidth="1"/>
    <col min="6" max="6" width="4" customWidth="1"/>
    <col min="7" max="7" width="18" customWidth="1"/>
    <col min="8" max="8" width="12" customWidth="1"/>
  </cols>
  <sheetData>
    <row r="1" spans="1:8" ht="22.35" customHeight="1">
      <c r="A1" s="53" t="s">
        <v>0</v>
      </c>
      <c r="B1" s="53"/>
      <c r="C1" s="53"/>
      <c r="D1" s="53"/>
      <c r="E1" s="53"/>
      <c r="F1" s="53"/>
      <c r="G1" s="53"/>
      <c r="H1" s="53"/>
    </row>
    <row r="2" spans="1:8">
      <c r="A2" s="7"/>
      <c r="B2" s="7"/>
      <c r="C2" s="7"/>
      <c r="D2" s="7"/>
      <c r="E2" s="7"/>
      <c r="F2" s="7"/>
      <c r="G2" s="7"/>
      <c r="H2" s="7"/>
    </row>
    <row r="3" spans="1:8" ht="15">
      <c r="A3" s="1" t="s">
        <v>1</v>
      </c>
      <c r="B3" s="2" t="s">
        <v>2</v>
      </c>
      <c r="C3" s="8"/>
      <c r="D3" s="2" t="s">
        <v>3</v>
      </c>
      <c r="E3" s="2" t="s">
        <v>2</v>
      </c>
      <c r="F3" s="8"/>
      <c r="G3" s="2" t="s">
        <v>4</v>
      </c>
      <c r="H3" s="3" t="s">
        <v>2</v>
      </c>
    </row>
    <row r="4" spans="1:8" ht="15">
      <c r="A4" s="9" t="s">
        <v>5</v>
      </c>
      <c r="B4" s="10">
        <f>COUNTA('Test Cases'!A2:A81)</f>
        <v>80</v>
      </c>
      <c r="C4" s="10"/>
      <c r="D4" s="11" t="s">
        <v>6</v>
      </c>
      <c r="E4" s="10">
        <f>COUNTIF('Test Cases'!E2:E81,"Critical")</f>
        <v>29</v>
      </c>
      <c r="F4" s="10"/>
      <c r="G4" s="11" t="s">
        <v>7</v>
      </c>
      <c r="H4" s="12">
        <f>COUNTIF('Test Cases'!K2:K81,"Jerald")</f>
        <v>28</v>
      </c>
    </row>
    <row r="5" spans="1:8" ht="15">
      <c r="A5" s="9" t="s">
        <v>8</v>
      </c>
      <c r="B5" s="10">
        <f>COUNTIF('Test Cases'!L2:L81,"Pass")</f>
        <v>80</v>
      </c>
      <c r="C5" s="10"/>
      <c r="D5" s="11" t="s">
        <v>9</v>
      </c>
      <c r="E5" s="10">
        <f>COUNTIF('Test Cases'!E2:E81,"High")</f>
        <v>40</v>
      </c>
      <c r="F5" s="10"/>
      <c r="G5" s="11" t="s">
        <v>10</v>
      </c>
      <c r="H5" s="12">
        <f>COUNTIF('Test Cases'!K2:K81,"MD")</f>
        <v>18</v>
      </c>
    </row>
    <row r="6" spans="1:8" ht="15">
      <c r="A6" s="9" t="s">
        <v>11</v>
      </c>
      <c r="B6" s="10">
        <f>COUNTIF('Test Cases'!L2:L81,"Fail")</f>
        <v>0</v>
      </c>
      <c r="C6" s="10"/>
      <c r="D6" s="11" t="s">
        <v>12</v>
      </c>
      <c r="E6" s="10">
        <f>COUNTIF('Test Cases'!E2:E81,"Medium")</f>
        <v>11</v>
      </c>
      <c r="F6" s="10"/>
      <c r="G6" s="11" t="s">
        <v>13</v>
      </c>
      <c r="H6" s="12">
        <f>COUNTIF('Test Cases'!K2:K81,"Joyee")</f>
        <v>16</v>
      </c>
    </row>
    <row r="7" spans="1:8" ht="15">
      <c r="A7" s="9" t="s">
        <v>14</v>
      </c>
      <c r="B7" s="10">
        <f>COUNTIF('Test Cases'!L2:L81,"Blocked")</f>
        <v>0</v>
      </c>
      <c r="C7" s="10"/>
      <c r="D7" s="11" t="s">
        <v>15</v>
      </c>
      <c r="E7" s="10">
        <f>COUNTIF('Test Cases'!E2:E81,"Low")</f>
        <v>0</v>
      </c>
      <c r="F7" s="10"/>
      <c r="G7" s="11" t="s">
        <v>16</v>
      </c>
      <c r="H7" s="12">
        <f>COUNTIF('Test Cases'!K2:K81,"All Members")</f>
        <v>16</v>
      </c>
    </row>
    <row r="8" spans="1:8" ht="15">
      <c r="A8" s="9" t="s">
        <v>17</v>
      </c>
      <c r="B8" s="10">
        <f>COUNTIF('Test Cases'!L2:L81,"Retest")</f>
        <v>0</v>
      </c>
      <c r="C8" s="10"/>
      <c r="D8" s="10"/>
      <c r="E8" s="10"/>
      <c r="F8" s="10"/>
      <c r="G8" s="11" t="s">
        <v>18</v>
      </c>
      <c r="H8" s="12">
        <f>COUNTIF('Test Cases'!K2:K81,"Shared")</f>
        <v>2</v>
      </c>
    </row>
    <row r="9" spans="1:8" ht="15">
      <c r="A9" s="13" t="s">
        <v>19</v>
      </c>
      <c r="B9" s="14">
        <f>COUNTIF('Test Cases'!L2:L81,"Not Run")</f>
        <v>0</v>
      </c>
      <c r="C9" s="14"/>
      <c r="D9" s="14"/>
      <c r="E9" s="14"/>
      <c r="F9" s="14"/>
      <c r="G9" s="14"/>
      <c r="H9" s="15"/>
    </row>
    <row r="10" spans="1:8">
      <c r="A10" s="7"/>
      <c r="B10" s="7"/>
      <c r="C10" s="7"/>
      <c r="D10" s="7"/>
      <c r="E10" s="7"/>
      <c r="F10" s="7"/>
      <c r="G10" s="7"/>
      <c r="H10" s="7"/>
    </row>
    <row r="11" spans="1:8" ht="15.75">
      <c r="A11" s="54" t="s">
        <v>20</v>
      </c>
      <c r="B11" s="54"/>
      <c r="C11" s="54"/>
      <c r="D11" s="54"/>
      <c r="E11" s="54"/>
      <c r="F11" s="54"/>
      <c r="G11" s="54"/>
      <c r="H11" s="54"/>
    </row>
    <row r="12" spans="1:8" ht="15">
      <c r="A12" s="4" t="s">
        <v>21</v>
      </c>
      <c r="B12" s="5" t="s">
        <v>4</v>
      </c>
      <c r="C12" s="5" t="s">
        <v>22</v>
      </c>
      <c r="D12" s="6" t="s">
        <v>23</v>
      </c>
      <c r="E12" s="7"/>
      <c r="F12" s="7"/>
      <c r="G12" s="7"/>
      <c r="H12" s="7"/>
    </row>
    <row r="13" spans="1:8" ht="28.5">
      <c r="A13" s="16" t="s">
        <v>24</v>
      </c>
      <c r="B13" s="17" t="s">
        <v>10</v>
      </c>
      <c r="C13" s="52" t="s">
        <v>632</v>
      </c>
      <c r="D13" s="19" t="s">
        <v>25</v>
      </c>
      <c r="E13" s="7"/>
      <c r="F13" s="7"/>
      <c r="G13" s="7"/>
      <c r="H13" s="7"/>
    </row>
    <row r="14" spans="1:8" ht="28.5">
      <c r="A14" s="16" t="s">
        <v>26</v>
      </c>
      <c r="B14" s="17" t="s">
        <v>7</v>
      </c>
      <c r="C14" s="20" t="s">
        <v>27</v>
      </c>
      <c r="D14" s="19" t="s">
        <v>25</v>
      </c>
      <c r="E14" s="7"/>
      <c r="F14" s="7"/>
      <c r="G14" s="7"/>
      <c r="H14" s="7"/>
    </row>
    <row r="15" spans="1:8" ht="42.75">
      <c r="A15" s="16" t="s">
        <v>28</v>
      </c>
      <c r="B15" s="17" t="s">
        <v>10</v>
      </c>
      <c r="C15" s="52" t="s">
        <v>633</v>
      </c>
      <c r="D15" s="19" t="s">
        <v>25</v>
      </c>
      <c r="E15" s="7"/>
      <c r="F15" s="7"/>
      <c r="G15" s="7"/>
      <c r="H15" s="7"/>
    </row>
    <row r="16" spans="1:8" ht="28.5">
      <c r="A16" s="16" t="s">
        <v>30</v>
      </c>
      <c r="B16" s="17" t="s">
        <v>13</v>
      </c>
      <c r="C16" s="18" t="s">
        <v>29</v>
      </c>
      <c r="D16" s="19" t="s">
        <v>25</v>
      </c>
      <c r="E16" s="7"/>
      <c r="F16" s="7"/>
      <c r="G16" s="7"/>
      <c r="H16" s="7"/>
    </row>
    <row r="17" spans="1:8" ht="28.5">
      <c r="A17" s="21" t="s">
        <v>31</v>
      </c>
      <c r="B17" s="22" t="s">
        <v>13</v>
      </c>
      <c r="C17" s="23" t="s">
        <v>32</v>
      </c>
      <c r="D17" s="24" t="s">
        <v>33</v>
      </c>
      <c r="E17" s="7"/>
      <c r="F17" s="7"/>
      <c r="G17" s="7"/>
      <c r="H17" s="7"/>
    </row>
    <row r="18" spans="1:8">
      <c r="A18" s="7"/>
      <c r="B18" s="7"/>
      <c r="C18" s="7"/>
      <c r="D18" s="7"/>
      <c r="E18" s="7"/>
      <c r="F18" s="7"/>
      <c r="G18" s="7"/>
      <c r="H18" s="7"/>
    </row>
    <row r="19" spans="1:8" ht="15">
      <c r="A19" s="55" t="s">
        <v>34</v>
      </c>
      <c r="B19" s="55"/>
      <c r="C19" s="55"/>
      <c r="D19" s="55"/>
      <c r="E19" s="55"/>
      <c r="F19" s="55"/>
      <c r="G19" s="55"/>
      <c r="H19" s="55"/>
    </row>
    <row r="20" spans="1:8" ht="57">
      <c r="A20" s="25" t="s">
        <v>35</v>
      </c>
      <c r="B20" s="25" t="s">
        <v>36</v>
      </c>
      <c r="C20" s="25"/>
      <c r="D20" s="25"/>
      <c r="E20" s="25"/>
      <c r="F20" s="25"/>
      <c r="G20" s="25"/>
      <c r="H20" s="25"/>
    </row>
    <row r="21" spans="1:8" ht="71.25">
      <c r="A21" s="25" t="s">
        <v>37</v>
      </c>
      <c r="B21" s="25" t="s">
        <v>38</v>
      </c>
      <c r="C21" s="25"/>
      <c r="D21" s="25"/>
      <c r="E21" s="25"/>
      <c r="F21" s="25"/>
      <c r="G21" s="25"/>
      <c r="H21" s="25"/>
    </row>
    <row r="22" spans="1:8" ht="57">
      <c r="A22" s="25" t="s">
        <v>39</v>
      </c>
      <c r="B22" s="25" t="s">
        <v>40</v>
      </c>
      <c r="C22" s="25"/>
      <c r="D22" s="25"/>
      <c r="E22" s="25"/>
      <c r="F22" s="25"/>
      <c r="G22" s="25"/>
      <c r="H22" s="25"/>
    </row>
    <row r="23" spans="1:8" ht="85.5">
      <c r="A23" s="25" t="s">
        <v>41</v>
      </c>
      <c r="B23" s="25" t="s">
        <v>42</v>
      </c>
      <c r="C23" s="25"/>
      <c r="D23" s="25"/>
      <c r="E23" s="25"/>
      <c r="F23" s="25"/>
      <c r="G23" s="25"/>
      <c r="H23" s="25"/>
    </row>
    <row r="24" spans="1:8" ht="71.25">
      <c r="A24" s="25" t="s">
        <v>43</v>
      </c>
      <c r="B24" s="25" t="s">
        <v>44</v>
      </c>
      <c r="C24" s="25"/>
      <c r="D24" s="25"/>
      <c r="E24" s="25"/>
      <c r="F24" s="25"/>
      <c r="G24" s="25"/>
      <c r="H24" s="25"/>
    </row>
  </sheetData>
  <mergeCells count="3">
    <mergeCell ref="A1:H1"/>
    <mergeCell ref="A11:H11"/>
    <mergeCell ref="A19:H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81"/>
  <sheetViews>
    <sheetView tabSelected="1" topLeftCell="L52" workbookViewId="0">
      <selection activeCell="Q52" sqref="Q52"/>
    </sheetView>
  </sheetViews>
  <sheetFormatPr defaultRowHeight="14.25"/>
  <cols>
    <col min="1" max="1" width="16" customWidth="1"/>
    <col min="2" max="2" width="8" customWidth="1"/>
    <col min="3" max="3" width="28" customWidth="1"/>
    <col min="4" max="4" width="16" customWidth="1"/>
    <col min="5" max="5" width="11" customWidth="1"/>
    <col min="6" max="6" width="28" customWidth="1"/>
    <col min="7" max="7" width="42" customWidth="1"/>
    <col min="8" max="8" width="34" customWidth="1"/>
    <col min="9" max="9" width="30" customWidth="1"/>
    <col min="10" max="10" width="38" customWidth="1"/>
    <col min="11" max="11" width="14" customWidth="1"/>
    <col min="12" max="12" width="12" customWidth="1"/>
    <col min="13" max="13" width="44" customWidth="1"/>
    <col min="14" max="15" width="14" customWidth="1"/>
    <col min="16" max="16" width="28" customWidth="1"/>
    <col min="17" max="17" width="38" customWidth="1"/>
    <col min="18" max="18" width="20" customWidth="1"/>
    <col min="19" max="19" width="18" customWidth="1"/>
    <col min="20" max="20" width="32" customWidth="1"/>
  </cols>
  <sheetData>
    <row r="1" spans="1:20" ht="28.9" customHeight="1">
      <c r="A1" s="26" t="s">
        <v>45</v>
      </c>
      <c r="B1" s="27" t="s">
        <v>35</v>
      </c>
      <c r="C1" s="27" t="s">
        <v>46</v>
      </c>
      <c r="D1" s="27" t="s">
        <v>47</v>
      </c>
      <c r="E1" s="27" t="s">
        <v>3</v>
      </c>
      <c r="F1" s="27" t="s">
        <v>48</v>
      </c>
      <c r="G1" s="27" t="s">
        <v>49</v>
      </c>
      <c r="H1" s="27" t="s">
        <v>50</v>
      </c>
      <c r="I1" s="27" t="s">
        <v>51</v>
      </c>
      <c r="J1" s="27" t="s">
        <v>52</v>
      </c>
      <c r="K1" s="41" t="s">
        <v>53</v>
      </c>
      <c r="L1" s="41" t="s">
        <v>54</v>
      </c>
      <c r="M1" s="41" t="s">
        <v>55</v>
      </c>
      <c r="N1" s="41" t="s">
        <v>56</v>
      </c>
      <c r="O1" s="41" t="s">
        <v>57</v>
      </c>
      <c r="P1" s="41" t="s">
        <v>58</v>
      </c>
      <c r="Q1" s="41" t="s">
        <v>59</v>
      </c>
      <c r="R1" s="41" t="s">
        <v>60</v>
      </c>
      <c r="S1" s="41" t="s">
        <v>61</v>
      </c>
      <c r="T1" s="41" t="s">
        <v>62</v>
      </c>
    </row>
    <row r="2" spans="1:20" ht="57">
      <c r="A2" s="28" t="s">
        <v>63</v>
      </c>
      <c r="B2" s="29" t="s">
        <v>64</v>
      </c>
      <c r="C2" s="29" t="s">
        <v>65</v>
      </c>
      <c r="D2" s="29" t="s">
        <v>66</v>
      </c>
      <c r="E2" s="29" t="s">
        <v>6</v>
      </c>
      <c r="F2" s="29" t="s">
        <v>67</v>
      </c>
      <c r="G2" s="29" t="s">
        <v>68</v>
      </c>
      <c r="H2" s="29" t="s">
        <v>69</v>
      </c>
      <c r="I2" s="29" t="s">
        <v>70</v>
      </c>
      <c r="J2" s="29" t="s">
        <v>71</v>
      </c>
      <c r="K2" s="42" t="s">
        <v>7</v>
      </c>
      <c r="L2" s="42" t="s">
        <v>8</v>
      </c>
      <c r="M2" s="42" t="s">
        <v>406</v>
      </c>
      <c r="N2" s="42" t="s">
        <v>7</v>
      </c>
      <c r="O2" s="42" t="s">
        <v>407</v>
      </c>
      <c r="P2" s="42" t="s">
        <v>408</v>
      </c>
      <c r="Q2" s="42"/>
      <c r="R2" s="42"/>
      <c r="S2" s="42" t="s">
        <v>72</v>
      </c>
      <c r="T2" s="42" t="s">
        <v>409</v>
      </c>
    </row>
    <row r="3" spans="1:20" ht="42.75">
      <c r="A3" s="28" t="s">
        <v>73</v>
      </c>
      <c r="B3" s="29" t="s">
        <v>64</v>
      </c>
      <c r="C3" s="29" t="s">
        <v>65</v>
      </c>
      <c r="D3" s="29" t="s">
        <v>66</v>
      </c>
      <c r="E3" s="29" t="s">
        <v>6</v>
      </c>
      <c r="F3" s="29" t="s">
        <v>67</v>
      </c>
      <c r="G3" s="29" t="s">
        <v>74</v>
      </c>
      <c r="H3" s="29" t="s">
        <v>69</v>
      </c>
      <c r="I3" s="29" t="s">
        <v>75</v>
      </c>
      <c r="J3" s="29" t="s">
        <v>76</v>
      </c>
      <c r="K3" s="42" t="s">
        <v>7</v>
      </c>
      <c r="L3" s="42" t="s">
        <v>8</v>
      </c>
      <c r="M3" s="42" t="s">
        <v>410</v>
      </c>
      <c r="N3" s="42" t="s">
        <v>7</v>
      </c>
      <c r="O3" s="42" t="s">
        <v>407</v>
      </c>
      <c r="P3" s="42" t="s">
        <v>408</v>
      </c>
      <c r="Q3" s="42"/>
      <c r="R3" s="42"/>
      <c r="S3" s="42" t="s">
        <v>72</v>
      </c>
      <c r="T3" s="42" t="s">
        <v>411</v>
      </c>
    </row>
    <row r="4" spans="1:20" ht="85.5">
      <c r="A4" s="28" t="s">
        <v>77</v>
      </c>
      <c r="B4" s="29" t="s">
        <v>64</v>
      </c>
      <c r="C4" s="29" t="s">
        <v>65</v>
      </c>
      <c r="D4" s="29" t="s">
        <v>66</v>
      </c>
      <c r="E4" s="29" t="s">
        <v>9</v>
      </c>
      <c r="F4" s="29" t="s">
        <v>67</v>
      </c>
      <c r="G4" s="29" t="s">
        <v>78</v>
      </c>
      <c r="H4" s="29" t="s">
        <v>79</v>
      </c>
      <c r="I4" s="29" t="s">
        <v>80</v>
      </c>
      <c r="J4" s="29" t="s">
        <v>81</v>
      </c>
      <c r="K4" s="42" t="s">
        <v>7</v>
      </c>
      <c r="L4" s="42" t="s">
        <v>8</v>
      </c>
      <c r="M4" s="42" t="s">
        <v>412</v>
      </c>
      <c r="N4" s="42" t="s">
        <v>7</v>
      </c>
      <c r="O4" s="42" t="s">
        <v>413</v>
      </c>
      <c r="P4" s="42" t="s">
        <v>414</v>
      </c>
      <c r="Q4" s="42"/>
      <c r="R4" s="42"/>
      <c r="S4" s="42" t="s">
        <v>82</v>
      </c>
      <c r="T4" s="42" t="s">
        <v>415</v>
      </c>
    </row>
    <row r="5" spans="1:20" ht="85.5">
      <c r="A5" s="28" t="s">
        <v>83</v>
      </c>
      <c r="B5" s="29" t="s">
        <v>64</v>
      </c>
      <c r="C5" s="29" t="s">
        <v>84</v>
      </c>
      <c r="D5" s="29" t="s">
        <v>66</v>
      </c>
      <c r="E5" s="29" t="s">
        <v>9</v>
      </c>
      <c r="F5" s="29" t="s">
        <v>67</v>
      </c>
      <c r="G5" s="29" t="s">
        <v>85</v>
      </c>
      <c r="H5" s="29" t="s">
        <v>86</v>
      </c>
      <c r="I5" s="29" t="s">
        <v>87</v>
      </c>
      <c r="J5" s="29" t="s">
        <v>88</v>
      </c>
      <c r="K5" s="42" t="s">
        <v>7</v>
      </c>
      <c r="L5" s="42" t="s">
        <v>8</v>
      </c>
      <c r="M5" s="42" t="s">
        <v>416</v>
      </c>
      <c r="N5" s="42" t="s">
        <v>7</v>
      </c>
      <c r="O5" s="42" t="s">
        <v>417</v>
      </c>
      <c r="P5" s="42" t="s">
        <v>418</v>
      </c>
      <c r="Q5" s="42"/>
      <c r="R5" s="42"/>
      <c r="S5" s="42" t="s">
        <v>72</v>
      </c>
      <c r="T5" s="42" t="s">
        <v>419</v>
      </c>
    </row>
    <row r="6" spans="1:20" ht="85.5">
      <c r="A6" s="28" t="s">
        <v>89</v>
      </c>
      <c r="B6" s="29" t="s">
        <v>64</v>
      </c>
      <c r="C6" s="29" t="s">
        <v>90</v>
      </c>
      <c r="D6" s="29" t="s">
        <v>66</v>
      </c>
      <c r="E6" s="29" t="s">
        <v>9</v>
      </c>
      <c r="F6" s="29" t="s">
        <v>67</v>
      </c>
      <c r="G6" s="29" t="s">
        <v>91</v>
      </c>
      <c r="H6" s="29" t="s">
        <v>92</v>
      </c>
      <c r="I6" s="29" t="s">
        <v>93</v>
      </c>
      <c r="J6" s="29" t="s">
        <v>94</v>
      </c>
      <c r="K6" s="42" t="s">
        <v>7</v>
      </c>
      <c r="L6" s="42" t="s">
        <v>8</v>
      </c>
      <c r="M6" s="42" t="s">
        <v>420</v>
      </c>
      <c r="N6" s="42" t="s">
        <v>7</v>
      </c>
      <c r="O6" s="42" t="s">
        <v>413</v>
      </c>
      <c r="P6" s="42" t="s">
        <v>414</v>
      </c>
      <c r="Q6" s="42"/>
      <c r="R6" s="42"/>
      <c r="S6" s="42" t="s">
        <v>82</v>
      </c>
      <c r="T6" s="42" t="s">
        <v>421</v>
      </c>
    </row>
    <row r="7" spans="1:20" ht="85.5">
      <c r="A7" s="28" t="s">
        <v>95</v>
      </c>
      <c r="B7" s="29" t="s">
        <v>64</v>
      </c>
      <c r="C7" s="29" t="s">
        <v>84</v>
      </c>
      <c r="D7" s="29" t="s">
        <v>66</v>
      </c>
      <c r="E7" s="29" t="s">
        <v>9</v>
      </c>
      <c r="F7" s="29" t="s">
        <v>67</v>
      </c>
      <c r="G7" s="29" t="s">
        <v>96</v>
      </c>
      <c r="H7" s="29" t="s">
        <v>97</v>
      </c>
      <c r="I7" s="29" t="s">
        <v>98</v>
      </c>
      <c r="J7" s="29" t="s">
        <v>99</v>
      </c>
      <c r="K7" s="42" t="s">
        <v>7</v>
      </c>
      <c r="L7" s="42" t="s">
        <v>8</v>
      </c>
      <c r="M7" s="42" t="s">
        <v>422</v>
      </c>
      <c r="N7" s="42" t="s">
        <v>7</v>
      </c>
      <c r="O7" s="42" t="s">
        <v>423</v>
      </c>
      <c r="P7" s="42" t="s">
        <v>424</v>
      </c>
      <c r="Q7" s="42"/>
      <c r="R7" s="42"/>
      <c r="S7" s="42" t="s">
        <v>72</v>
      </c>
      <c r="T7" s="42" t="s">
        <v>425</v>
      </c>
    </row>
    <row r="8" spans="1:20" ht="85.5">
      <c r="A8" s="28" t="s">
        <v>100</v>
      </c>
      <c r="B8" s="29" t="s">
        <v>64</v>
      </c>
      <c r="C8" s="29" t="s">
        <v>101</v>
      </c>
      <c r="D8" s="29" t="s">
        <v>102</v>
      </c>
      <c r="E8" s="29" t="s">
        <v>12</v>
      </c>
      <c r="F8" s="29" t="s">
        <v>67</v>
      </c>
      <c r="G8" s="29" t="s">
        <v>103</v>
      </c>
      <c r="H8" s="29" t="s">
        <v>104</v>
      </c>
      <c r="I8" s="29" t="s">
        <v>105</v>
      </c>
      <c r="J8" s="29" t="s">
        <v>106</v>
      </c>
      <c r="K8" s="42" t="s">
        <v>18</v>
      </c>
      <c r="L8" s="42" t="s">
        <v>8</v>
      </c>
      <c r="M8" s="42" t="s">
        <v>426</v>
      </c>
      <c r="N8" s="42" t="s">
        <v>7</v>
      </c>
      <c r="O8" s="42" t="s">
        <v>427</v>
      </c>
      <c r="P8" s="42" t="s">
        <v>428</v>
      </c>
      <c r="Q8" s="42"/>
      <c r="R8" s="42"/>
      <c r="S8" s="42" t="s">
        <v>107</v>
      </c>
      <c r="T8" s="42" t="s">
        <v>429</v>
      </c>
    </row>
    <row r="9" spans="1:20" ht="213.75">
      <c r="A9" s="28" t="s">
        <v>108</v>
      </c>
      <c r="B9" s="29" t="s">
        <v>64</v>
      </c>
      <c r="C9" s="29" t="s">
        <v>109</v>
      </c>
      <c r="D9" s="29" t="s">
        <v>110</v>
      </c>
      <c r="E9" s="29" t="s">
        <v>12</v>
      </c>
      <c r="F9" s="29" t="s">
        <v>67</v>
      </c>
      <c r="G9" s="29" t="s">
        <v>111</v>
      </c>
      <c r="H9" s="29" t="s">
        <v>112</v>
      </c>
      <c r="I9" s="29" t="s">
        <v>113</v>
      </c>
      <c r="J9" s="29" t="s">
        <v>114</v>
      </c>
      <c r="K9" s="42" t="s">
        <v>18</v>
      </c>
      <c r="L9" s="42" t="s">
        <v>8</v>
      </c>
      <c r="M9" s="42" t="s">
        <v>478</v>
      </c>
      <c r="N9" s="42" t="s">
        <v>7</v>
      </c>
      <c r="O9" s="42" t="s">
        <v>479</v>
      </c>
      <c r="P9" s="42" t="s">
        <v>480</v>
      </c>
      <c r="Q9" s="42"/>
      <c r="R9" s="42"/>
      <c r="S9" s="42" t="s">
        <v>115</v>
      </c>
      <c r="T9" s="42" t="s">
        <v>481</v>
      </c>
    </row>
    <row r="10" spans="1:20" ht="85.5">
      <c r="A10" s="28" t="s">
        <v>116</v>
      </c>
      <c r="B10" s="29" t="s">
        <v>117</v>
      </c>
      <c r="C10" s="29" t="s">
        <v>118</v>
      </c>
      <c r="D10" s="29" t="s">
        <v>119</v>
      </c>
      <c r="E10" s="29" t="s">
        <v>6</v>
      </c>
      <c r="F10" s="29" t="s">
        <v>120</v>
      </c>
      <c r="G10" s="29" t="s">
        <v>121</v>
      </c>
      <c r="H10" s="29" t="s">
        <v>122</v>
      </c>
      <c r="I10" s="29" t="s">
        <v>123</v>
      </c>
      <c r="J10" s="29" t="s">
        <v>124</v>
      </c>
      <c r="K10" s="42" t="s">
        <v>7</v>
      </c>
      <c r="L10" s="42" t="s">
        <v>8</v>
      </c>
      <c r="M10" s="42" t="s">
        <v>430</v>
      </c>
      <c r="N10" s="42" t="s">
        <v>7</v>
      </c>
      <c r="O10" s="42" t="s">
        <v>413</v>
      </c>
      <c r="P10" s="42" t="s">
        <v>414</v>
      </c>
      <c r="Q10" s="42"/>
      <c r="R10" s="42"/>
      <c r="S10" s="42" t="s">
        <v>82</v>
      </c>
      <c r="T10" s="42" t="s">
        <v>431</v>
      </c>
    </row>
    <row r="11" spans="1:20" ht="85.5">
      <c r="A11" s="28" t="s">
        <v>125</v>
      </c>
      <c r="B11" s="29" t="s">
        <v>117</v>
      </c>
      <c r="C11" s="29" t="s">
        <v>118</v>
      </c>
      <c r="D11" s="29" t="s">
        <v>119</v>
      </c>
      <c r="E11" s="29" t="s">
        <v>6</v>
      </c>
      <c r="F11" s="29" t="s">
        <v>120</v>
      </c>
      <c r="G11" s="29" t="s">
        <v>126</v>
      </c>
      <c r="H11" s="29" t="s">
        <v>122</v>
      </c>
      <c r="I11" s="29" t="s">
        <v>123</v>
      </c>
      <c r="J11" s="29" t="s">
        <v>127</v>
      </c>
      <c r="K11" s="42" t="s">
        <v>7</v>
      </c>
      <c r="L11" s="42" t="s">
        <v>8</v>
      </c>
      <c r="M11" s="42" t="s">
        <v>432</v>
      </c>
      <c r="N11" s="42" t="s">
        <v>7</v>
      </c>
      <c r="O11" s="42" t="s">
        <v>413</v>
      </c>
      <c r="P11" s="42" t="s">
        <v>414</v>
      </c>
      <c r="Q11" s="42"/>
      <c r="R11" s="42"/>
      <c r="S11" s="42" t="s">
        <v>82</v>
      </c>
      <c r="T11" s="42" t="s">
        <v>431</v>
      </c>
    </row>
    <row r="12" spans="1:20" ht="85.5">
      <c r="A12" s="28" t="s">
        <v>128</v>
      </c>
      <c r="B12" s="29" t="s">
        <v>117</v>
      </c>
      <c r="C12" s="29" t="s">
        <v>118</v>
      </c>
      <c r="D12" s="29" t="s">
        <v>119</v>
      </c>
      <c r="E12" s="29" t="s">
        <v>6</v>
      </c>
      <c r="F12" s="29" t="s">
        <v>120</v>
      </c>
      <c r="G12" s="29" t="s">
        <v>129</v>
      </c>
      <c r="H12" s="29" t="s">
        <v>122</v>
      </c>
      <c r="I12" s="29" t="s">
        <v>123</v>
      </c>
      <c r="J12" s="29" t="s">
        <v>130</v>
      </c>
      <c r="K12" s="42" t="s">
        <v>7</v>
      </c>
      <c r="L12" s="42" t="s">
        <v>8</v>
      </c>
      <c r="M12" s="42" t="s">
        <v>433</v>
      </c>
      <c r="N12" s="42" t="s">
        <v>7</v>
      </c>
      <c r="O12" s="42" t="s">
        <v>413</v>
      </c>
      <c r="P12" s="42" t="s">
        <v>414</v>
      </c>
      <c r="Q12" s="42"/>
      <c r="R12" s="42"/>
      <c r="S12" s="42" t="s">
        <v>82</v>
      </c>
      <c r="T12" s="42" t="s">
        <v>431</v>
      </c>
    </row>
    <row r="13" spans="1:20" ht="85.5">
      <c r="A13" s="28" t="s">
        <v>131</v>
      </c>
      <c r="B13" s="29" t="s">
        <v>117</v>
      </c>
      <c r="C13" s="29" t="s">
        <v>118</v>
      </c>
      <c r="D13" s="29" t="s">
        <v>119</v>
      </c>
      <c r="E13" s="29" t="s">
        <v>6</v>
      </c>
      <c r="F13" s="29" t="s">
        <v>120</v>
      </c>
      <c r="G13" s="29" t="s">
        <v>132</v>
      </c>
      <c r="H13" s="29" t="s">
        <v>122</v>
      </c>
      <c r="I13" s="29" t="s">
        <v>123</v>
      </c>
      <c r="J13" s="29" t="s">
        <v>133</v>
      </c>
      <c r="K13" s="42" t="s">
        <v>7</v>
      </c>
      <c r="L13" s="42" t="s">
        <v>8</v>
      </c>
      <c r="M13" s="42" t="s">
        <v>434</v>
      </c>
      <c r="N13" s="42" t="s">
        <v>7</v>
      </c>
      <c r="O13" s="42" t="s">
        <v>413</v>
      </c>
      <c r="P13" s="42" t="s">
        <v>414</v>
      </c>
      <c r="Q13" s="42"/>
      <c r="R13" s="42"/>
      <c r="S13" s="42" t="s">
        <v>82</v>
      </c>
      <c r="T13" s="42" t="s">
        <v>431</v>
      </c>
    </row>
    <row r="14" spans="1:20" ht="85.5">
      <c r="A14" s="28" t="s">
        <v>134</v>
      </c>
      <c r="B14" s="29" t="s">
        <v>117</v>
      </c>
      <c r="C14" s="29" t="s">
        <v>118</v>
      </c>
      <c r="D14" s="29" t="s">
        <v>119</v>
      </c>
      <c r="E14" s="29" t="s">
        <v>9</v>
      </c>
      <c r="F14" s="29" t="s">
        <v>120</v>
      </c>
      <c r="G14" s="29" t="s">
        <v>135</v>
      </c>
      <c r="H14" s="29" t="s">
        <v>122</v>
      </c>
      <c r="I14" s="29" t="s">
        <v>123</v>
      </c>
      <c r="J14" s="29" t="s">
        <v>136</v>
      </c>
      <c r="K14" s="42" t="s">
        <v>7</v>
      </c>
      <c r="L14" s="42" t="s">
        <v>8</v>
      </c>
      <c r="M14" s="42" t="s">
        <v>435</v>
      </c>
      <c r="N14" s="42" t="s">
        <v>7</v>
      </c>
      <c r="O14" s="42" t="s">
        <v>413</v>
      </c>
      <c r="P14" s="42" t="s">
        <v>414</v>
      </c>
      <c r="Q14" s="42"/>
      <c r="R14" s="42"/>
      <c r="S14" s="42" t="s">
        <v>82</v>
      </c>
      <c r="T14" s="42" t="s">
        <v>431</v>
      </c>
    </row>
    <row r="15" spans="1:20" ht="85.5">
      <c r="A15" s="28" t="s">
        <v>137</v>
      </c>
      <c r="B15" s="29" t="s">
        <v>117</v>
      </c>
      <c r="C15" s="29" t="s">
        <v>118</v>
      </c>
      <c r="D15" s="29" t="s">
        <v>119</v>
      </c>
      <c r="E15" s="29" t="s">
        <v>9</v>
      </c>
      <c r="F15" s="29" t="s">
        <v>120</v>
      </c>
      <c r="G15" s="29" t="s">
        <v>138</v>
      </c>
      <c r="H15" s="29" t="s">
        <v>122</v>
      </c>
      <c r="I15" s="29" t="s">
        <v>123</v>
      </c>
      <c r="J15" s="29" t="s">
        <v>139</v>
      </c>
      <c r="K15" s="42" t="s">
        <v>7</v>
      </c>
      <c r="L15" s="42" t="s">
        <v>8</v>
      </c>
      <c r="M15" s="42" t="s">
        <v>436</v>
      </c>
      <c r="N15" s="42" t="s">
        <v>7</v>
      </c>
      <c r="O15" s="42" t="s">
        <v>413</v>
      </c>
      <c r="P15" s="42" t="s">
        <v>414</v>
      </c>
      <c r="Q15" s="42"/>
      <c r="R15" s="42"/>
      <c r="S15" s="42" t="s">
        <v>82</v>
      </c>
      <c r="T15" s="42" t="s">
        <v>431</v>
      </c>
    </row>
    <row r="16" spans="1:20" ht="85.5">
      <c r="A16" s="28" t="s">
        <v>140</v>
      </c>
      <c r="B16" s="29" t="s">
        <v>117</v>
      </c>
      <c r="C16" s="29" t="s">
        <v>118</v>
      </c>
      <c r="D16" s="29" t="s">
        <v>119</v>
      </c>
      <c r="E16" s="29" t="s">
        <v>9</v>
      </c>
      <c r="F16" s="29" t="s">
        <v>120</v>
      </c>
      <c r="G16" s="29" t="s">
        <v>141</v>
      </c>
      <c r="H16" s="29" t="s">
        <v>122</v>
      </c>
      <c r="I16" s="29" t="s">
        <v>123</v>
      </c>
      <c r="J16" s="29" t="s">
        <v>142</v>
      </c>
      <c r="K16" s="42" t="s">
        <v>7</v>
      </c>
      <c r="L16" s="42" t="s">
        <v>8</v>
      </c>
      <c r="M16" s="42" t="s">
        <v>437</v>
      </c>
      <c r="N16" s="42" t="s">
        <v>7</v>
      </c>
      <c r="O16" s="42" t="s">
        <v>413</v>
      </c>
      <c r="P16" s="42" t="s">
        <v>414</v>
      </c>
      <c r="Q16" s="42"/>
      <c r="R16" s="42"/>
      <c r="S16" s="42" t="s">
        <v>82</v>
      </c>
      <c r="T16" s="42" t="s">
        <v>431</v>
      </c>
    </row>
    <row r="17" spans="1:20" ht="85.5">
      <c r="A17" s="28" t="s">
        <v>143</v>
      </c>
      <c r="B17" s="29" t="s">
        <v>117</v>
      </c>
      <c r="C17" s="29" t="s">
        <v>118</v>
      </c>
      <c r="D17" s="29" t="s">
        <v>119</v>
      </c>
      <c r="E17" s="29" t="s">
        <v>9</v>
      </c>
      <c r="F17" s="29" t="s">
        <v>120</v>
      </c>
      <c r="G17" s="29" t="s">
        <v>144</v>
      </c>
      <c r="H17" s="29" t="s">
        <v>122</v>
      </c>
      <c r="I17" s="29" t="s">
        <v>123</v>
      </c>
      <c r="J17" s="29" t="s">
        <v>145</v>
      </c>
      <c r="K17" s="42" t="s">
        <v>7</v>
      </c>
      <c r="L17" s="42" t="s">
        <v>8</v>
      </c>
      <c r="M17" s="42" t="s">
        <v>438</v>
      </c>
      <c r="N17" s="42" t="s">
        <v>7</v>
      </c>
      <c r="O17" s="42" t="s">
        <v>413</v>
      </c>
      <c r="P17" s="42" t="s">
        <v>414</v>
      </c>
      <c r="Q17" s="42"/>
      <c r="R17" s="42"/>
      <c r="S17" s="42" t="s">
        <v>82</v>
      </c>
      <c r="T17" s="42" t="s">
        <v>431</v>
      </c>
    </row>
    <row r="18" spans="1:20" ht="85.5">
      <c r="A18" s="28" t="s">
        <v>146</v>
      </c>
      <c r="B18" s="29" t="s">
        <v>117</v>
      </c>
      <c r="C18" s="29" t="s">
        <v>118</v>
      </c>
      <c r="D18" s="29" t="s">
        <v>119</v>
      </c>
      <c r="E18" s="29" t="s">
        <v>9</v>
      </c>
      <c r="F18" s="29" t="s">
        <v>120</v>
      </c>
      <c r="G18" s="29" t="s">
        <v>147</v>
      </c>
      <c r="H18" s="29" t="s">
        <v>122</v>
      </c>
      <c r="I18" s="29" t="s">
        <v>123</v>
      </c>
      <c r="J18" s="29" t="s">
        <v>148</v>
      </c>
      <c r="K18" s="42" t="s">
        <v>7</v>
      </c>
      <c r="L18" s="42" t="s">
        <v>8</v>
      </c>
      <c r="M18" s="42" t="s">
        <v>439</v>
      </c>
      <c r="N18" s="42" t="s">
        <v>7</v>
      </c>
      <c r="O18" s="42" t="s">
        <v>413</v>
      </c>
      <c r="P18" s="42" t="s">
        <v>414</v>
      </c>
      <c r="Q18" s="42"/>
      <c r="R18" s="42"/>
      <c r="S18" s="42" t="s">
        <v>82</v>
      </c>
      <c r="T18" s="42" t="s">
        <v>431</v>
      </c>
    </row>
    <row r="19" spans="1:20" ht="85.5">
      <c r="A19" s="28" t="s">
        <v>149</v>
      </c>
      <c r="B19" s="29" t="s">
        <v>117</v>
      </c>
      <c r="C19" s="29" t="s">
        <v>118</v>
      </c>
      <c r="D19" s="29" t="s">
        <v>119</v>
      </c>
      <c r="E19" s="29" t="s">
        <v>12</v>
      </c>
      <c r="F19" s="29" t="s">
        <v>120</v>
      </c>
      <c r="G19" s="29" t="s">
        <v>150</v>
      </c>
      <c r="H19" s="29" t="s">
        <v>122</v>
      </c>
      <c r="I19" s="29" t="s">
        <v>123</v>
      </c>
      <c r="J19" s="29" t="s">
        <v>151</v>
      </c>
      <c r="K19" s="42" t="s">
        <v>7</v>
      </c>
      <c r="L19" s="42" t="s">
        <v>8</v>
      </c>
      <c r="M19" s="42" t="s">
        <v>440</v>
      </c>
      <c r="N19" s="42" t="s">
        <v>7</v>
      </c>
      <c r="O19" s="42" t="s">
        <v>413</v>
      </c>
      <c r="P19" s="42" t="s">
        <v>414</v>
      </c>
      <c r="Q19" s="42"/>
      <c r="R19" s="42"/>
      <c r="S19" s="42" t="s">
        <v>82</v>
      </c>
      <c r="T19" s="42" t="s">
        <v>431</v>
      </c>
    </row>
    <row r="20" spans="1:20" ht="85.5">
      <c r="A20" s="28" t="s">
        <v>152</v>
      </c>
      <c r="B20" s="29" t="s">
        <v>153</v>
      </c>
      <c r="C20" s="29" t="s">
        <v>154</v>
      </c>
      <c r="D20" s="29" t="s">
        <v>155</v>
      </c>
      <c r="E20" s="29" t="s">
        <v>6</v>
      </c>
      <c r="F20" s="29" t="s">
        <v>156</v>
      </c>
      <c r="G20" s="29" t="s">
        <v>157</v>
      </c>
      <c r="H20" s="29" t="s">
        <v>158</v>
      </c>
      <c r="I20" s="29" t="s">
        <v>159</v>
      </c>
      <c r="J20" s="29" t="s">
        <v>160</v>
      </c>
      <c r="K20" s="42" t="s">
        <v>10</v>
      </c>
      <c r="L20" s="42" t="s">
        <v>8</v>
      </c>
      <c r="M20" s="42" t="s">
        <v>441</v>
      </c>
      <c r="N20" s="42" t="s">
        <v>7</v>
      </c>
      <c r="O20" s="42" t="s">
        <v>442</v>
      </c>
      <c r="P20" s="42" t="s">
        <v>443</v>
      </c>
      <c r="Q20" s="42"/>
      <c r="R20" s="42"/>
      <c r="S20" s="42" t="s">
        <v>82</v>
      </c>
      <c r="T20" s="42" t="s">
        <v>444</v>
      </c>
    </row>
    <row r="21" spans="1:20" ht="85.5">
      <c r="A21" s="28" t="s">
        <v>161</v>
      </c>
      <c r="B21" s="29" t="s">
        <v>153</v>
      </c>
      <c r="C21" s="29" t="s">
        <v>154</v>
      </c>
      <c r="D21" s="29" t="s">
        <v>155</v>
      </c>
      <c r="E21" s="29" t="s">
        <v>6</v>
      </c>
      <c r="F21" s="29" t="s">
        <v>156</v>
      </c>
      <c r="G21" s="29" t="s">
        <v>162</v>
      </c>
      <c r="H21" s="29" t="s">
        <v>158</v>
      </c>
      <c r="I21" s="29" t="s">
        <v>159</v>
      </c>
      <c r="J21" s="29" t="s">
        <v>163</v>
      </c>
      <c r="K21" s="42" t="s">
        <v>10</v>
      </c>
      <c r="L21" s="42" t="s">
        <v>8</v>
      </c>
      <c r="M21" s="42" t="s">
        <v>445</v>
      </c>
      <c r="N21" s="42" t="s">
        <v>7</v>
      </c>
      <c r="O21" s="42" t="s">
        <v>442</v>
      </c>
      <c r="P21" s="42" t="s">
        <v>443</v>
      </c>
      <c r="Q21" s="42"/>
      <c r="R21" s="42"/>
      <c r="S21" s="42" t="s">
        <v>82</v>
      </c>
      <c r="T21" s="42" t="s">
        <v>444</v>
      </c>
    </row>
    <row r="22" spans="1:20" ht="85.5">
      <c r="A22" s="28" t="s">
        <v>164</v>
      </c>
      <c r="B22" s="29" t="s">
        <v>153</v>
      </c>
      <c r="C22" s="29" t="s">
        <v>154</v>
      </c>
      <c r="D22" s="29" t="s">
        <v>155</v>
      </c>
      <c r="E22" s="29" t="s">
        <v>6</v>
      </c>
      <c r="F22" s="29" t="s">
        <v>156</v>
      </c>
      <c r="G22" s="29" t="s">
        <v>165</v>
      </c>
      <c r="H22" s="29" t="s">
        <v>158</v>
      </c>
      <c r="I22" s="29" t="s">
        <v>159</v>
      </c>
      <c r="J22" s="29" t="s">
        <v>166</v>
      </c>
      <c r="K22" s="42" t="s">
        <v>10</v>
      </c>
      <c r="L22" s="42" t="s">
        <v>8</v>
      </c>
      <c r="M22" s="42" t="s">
        <v>446</v>
      </c>
      <c r="N22" s="42" t="s">
        <v>7</v>
      </c>
      <c r="O22" s="42" t="s">
        <v>442</v>
      </c>
      <c r="P22" s="42" t="s">
        <v>443</v>
      </c>
      <c r="Q22" s="42"/>
      <c r="R22" s="42"/>
      <c r="S22" s="42" t="s">
        <v>82</v>
      </c>
      <c r="T22" s="42" t="s">
        <v>444</v>
      </c>
    </row>
    <row r="23" spans="1:20" ht="85.5">
      <c r="A23" s="28" t="s">
        <v>167</v>
      </c>
      <c r="B23" s="29" t="s">
        <v>153</v>
      </c>
      <c r="C23" s="29" t="s">
        <v>154</v>
      </c>
      <c r="D23" s="29" t="s">
        <v>155</v>
      </c>
      <c r="E23" s="29" t="s">
        <v>6</v>
      </c>
      <c r="F23" s="29" t="s">
        <v>156</v>
      </c>
      <c r="G23" s="29" t="s">
        <v>168</v>
      </c>
      <c r="H23" s="29" t="s">
        <v>158</v>
      </c>
      <c r="I23" s="29" t="s">
        <v>159</v>
      </c>
      <c r="J23" s="29" t="s">
        <v>169</v>
      </c>
      <c r="K23" s="42" t="s">
        <v>10</v>
      </c>
      <c r="L23" s="42" t="s">
        <v>8</v>
      </c>
      <c r="M23" s="42" t="s">
        <v>447</v>
      </c>
      <c r="N23" s="42" t="s">
        <v>7</v>
      </c>
      <c r="O23" s="42" t="s">
        <v>442</v>
      </c>
      <c r="P23" s="42" t="s">
        <v>443</v>
      </c>
      <c r="Q23" s="42"/>
      <c r="R23" s="42"/>
      <c r="S23" s="42" t="s">
        <v>82</v>
      </c>
      <c r="T23" s="42" t="s">
        <v>444</v>
      </c>
    </row>
    <row r="24" spans="1:20" ht="85.5">
      <c r="A24" s="28" t="s">
        <v>170</v>
      </c>
      <c r="B24" s="29" t="s">
        <v>153</v>
      </c>
      <c r="C24" s="29" t="s">
        <v>154</v>
      </c>
      <c r="D24" s="29" t="s">
        <v>155</v>
      </c>
      <c r="E24" s="29" t="s">
        <v>6</v>
      </c>
      <c r="F24" s="29" t="s">
        <v>156</v>
      </c>
      <c r="G24" s="29" t="s">
        <v>171</v>
      </c>
      <c r="H24" s="29" t="s">
        <v>158</v>
      </c>
      <c r="I24" s="29" t="s">
        <v>159</v>
      </c>
      <c r="J24" s="29" t="s">
        <v>172</v>
      </c>
      <c r="K24" s="42" t="s">
        <v>10</v>
      </c>
      <c r="L24" s="42" t="s">
        <v>8</v>
      </c>
      <c r="M24" s="42" t="s">
        <v>448</v>
      </c>
      <c r="N24" s="42" t="s">
        <v>7</v>
      </c>
      <c r="O24" s="42" t="s">
        <v>442</v>
      </c>
      <c r="P24" s="42" t="s">
        <v>443</v>
      </c>
      <c r="Q24" s="42"/>
      <c r="R24" s="42"/>
      <c r="S24" s="42" t="s">
        <v>82</v>
      </c>
      <c r="T24" s="42" t="s">
        <v>444</v>
      </c>
    </row>
    <row r="25" spans="1:20" ht="85.5">
      <c r="A25" s="28" t="s">
        <v>173</v>
      </c>
      <c r="B25" s="29" t="s">
        <v>153</v>
      </c>
      <c r="C25" s="29" t="s">
        <v>154</v>
      </c>
      <c r="D25" s="29" t="s">
        <v>155</v>
      </c>
      <c r="E25" s="29" t="s">
        <v>9</v>
      </c>
      <c r="F25" s="29" t="s">
        <v>156</v>
      </c>
      <c r="G25" s="29" t="s">
        <v>174</v>
      </c>
      <c r="H25" s="29" t="s">
        <v>158</v>
      </c>
      <c r="I25" s="29" t="s">
        <v>159</v>
      </c>
      <c r="J25" s="29" t="s">
        <v>175</v>
      </c>
      <c r="K25" s="42" t="s">
        <v>10</v>
      </c>
      <c r="L25" s="42" t="s">
        <v>8</v>
      </c>
      <c r="M25" s="42" t="s">
        <v>449</v>
      </c>
      <c r="N25" s="42" t="s">
        <v>7</v>
      </c>
      <c r="O25" s="42" t="s">
        <v>442</v>
      </c>
      <c r="P25" s="42" t="s">
        <v>443</v>
      </c>
      <c r="Q25" s="42"/>
      <c r="R25" s="42"/>
      <c r="S25" s="42" t="s">
        <v>82</v>
      </c>
      <c r="T25" s="42" t="s">
        <v>444</v>
      </c>
    </row>
    <row r="26" spans="1:20" ht="85.5">
      <c r="A26" s="28" t="s">
        <v>176</v>
      </c>
      <c r="B26" s="29" t="s">
        <v>153</v>
      </c>
      <c r="C26" s="29" t="s">
        <v>154</v>
      </c>
      <c r="D26" s="29" t="s">
        <v>155</v>
      </c>
      <c r="E26" s="29" t="s">
        <v>9</v>
      </c>
      <c r="F26" s="29" t="s">
        <v>156</v>
      </c>
      <c r="G26" s="29" t="s">
        <v>132</v>
      </c>
      <c r="H26" s="29" t="s">
        <v>158</v>
      </c>
      <c r="I26" s="29" t="s">
        <v>159</v>
      </c>
      <c r="J26" s="29" t="s">
        <v>177</v>
      </c>
      <c r="K26" s="42" t="s">
        <v>10</v>
      </c>
      <c r="L26" s="42" t="s">
        <v>8</v>
      </c>
      <c r="M26" s="42" t="s">
        <v>450</v>
      </c>
      <c r="N26" s="42" t="s">
        <v>7</v>
      </c>
      <c r="O26" s="42" t="s">
        <v>442</v>
      </c>
      <c r="P26" s="42" t="s">
        <v>443</v>
      </c>
      <c r="Q26" s="42"/>
      <c r="R26" s="42"/>
      <c r="S26" s="42" t="s">
        <v>82</v>
      </c>
      <c r="T26" s="42" t="s">
        <v>444</v>
      </c>
    </row>
    <row r="27" spans="1:20" ht="85.5">
      <c r="A27" s="28" t="s">
        <v>178</v>
      </c>
      <c r="B27" s="29" t="s">
        <v>153</v>
      </c>
      <c r="C27" s="29" t="s">
        <v>154</v>
      </c>
      <c r="D27" s="29" t="s">
        <v>155</v>
      </c>
      <c r="E27" s="29" t="s">
        <v>9</v>
      </c>
      <c r="F27" s="29" t="s">
        <v>156</v>
      </c>
      <c r="G27" s="29" t="s">
        <v>179</v>
      </c>
      <c r="H27" s="29" t="s">
        <v>158</v>
      </c>
      <c r="I27" s="29" t="s">
        <v>159</v>
      </c>
      <c r="J27" s="29" t="s">
        <v>180</v>
      </c>
      <c r="K27" s="42" t="s">
        <v>10</v>
      </c>
      <c r="L27" s="42" t="s">
        <v>8</v>
      </c>
      <c r="M27" s="42" t="s">
        <v>451</v>
      </c>
      <c r="N27" s="42" t="s">
        <v>7</v>
      </c>
      <c r="O27" s="42" t="s">
        <v>442</v>
      </c>
      <c r="P27" s="42" t="s">
        <v>443</v>
      </c>
      <c r="Q27" s="42"/>
      <c r="R27" s="42"/>
      <c r="S27" s="42" t="s">
        <v>82</v>
      </c>
      <c r="T27" s="42" t="s">
        <v>452</v>
      </c>
    </row>
    <row r="28" spans="1:20" ht="85.5">
      <c r="A28" s="28" t="s">
        <v>181</v>
      </c>
      <c r="B28" s="29" t="s">
        <v>153</v>
      </c>
      <c r="C28" s="29" t="s">
        <v>154</v>
      </c>
      <c r="D28" s="29" t="s">
        <v>155</v>
      </c>
      <c r="E28" s="29" t="s">
        <v>9</v>
      </c>
      <c r="F28" s="29" t="s">
        <v>156</v>
      </c>
      <c r="G28" s="29" t="s">
        <v>182</v>
      </c>
      <c r="H28" s="29" t="s">
        <v>158</v>
      </c>
      <c r="I28" s="29" t="s">
        <v>159</v>
      </c>
      <c r="J28" s="29" t="s">
        <v>183</v>
      </c>
      <c r="K28" s="42" t="s">
        <v>10</v>
      </c>
      <c r="L28" s="42" t="s">
        <v>8</v>
      </c>
      <c r="M28" s="42" t="s">
        <v>453</v>
      </c>
      <c r="N28" s="42" t="s">
        <v>7</v>
      </c>
      <c r="O28" s="42" t="s">
        <v>442</v>
      </c>
      <c r="P28" s="42" t="s">
        <v>443</v>
      </c>
      <c r="Q28" s="42"/>
      <c r="R28" s="42"/>
      <c r="S28" s="42" t="s">
        <v>82</v>
      </c>
      <c r="T28" s="42" t="s">
        <v>444</v>
      </c>
    </row>
    <row r="29" spans="1:20" ht="85.5">
      <c r="A29" s="28" t="s">
        <v>184</v>
      </c>
      <c r="B29" s="29" t="s">
        <v>153</v>
      </c>
      <c r="C29" s="29" t="s">
        <v>154</v>
      </c>
      <c r="D29" s="29" t="s">
        <v>155</v>
      </c>
      <c r="E29" s="29" t="s">
        <v>12</v>
      </c>
      <c r="F29" s="29" t="s">
        <v>156</v>
      </c>
      <c r="G29" s="29" t="s">
        <v>185</v>
      </c>
      <c r="H29" s="29" t="s">
        <v>158</v>
      </c>
      <c r="I29" s="29" t="s">
        <v>159</v>
      </c>
      <c r="J29" s="29" t="s">
        <v>186</v>
      </c>
      <c r="K29" s="42" t="s">
        <v>10</v>
      </c>
      <c r="L29" s="42" t="s">
        <v>8</v>
      </c>
      <c r="M29" s="42" t="s">
        <v>454</v>
      </c>
      <c r="N29" s="42" t="s">
        <v>7</v>
      </c>
      <c r="O29" s="42" t="s">
        <v>442</v>
      </c>
      <c r="P29" s="42" t="s">
        <v>443</v>
      </c>
      <c r="Q29" s="42"/>
      <c r="R29" s="42"/>
      <c r="S29" s="42" t="s">
        <v>82</v>
      </c>
      <c r="T29" s="42" t="s">
        <v>444</v>
      </c>
    </row>
    <row r="30" spans="1:20" ht="85.5">
      <c r="A30" s="28" t="s">
        <v>187</v>
      </c>
      <c r="B30" s="29" t="s">
        <v>188</v>
      </c>
      <c r="C30" s="29" t="s">
        <v>189</v>
      </c>
      <c r="D30" s="29" t="s">
        <v>190</v>
      </c>
      <c r="E30" s="29" t="s">
        <v>6</v>
      </c>
      <c r="F30" s="29" t="s">
        <v>191</v>
      </c>
      <c r="G30" s="29" t="s">
        <v>192</v>
      </c>
      <c r="H30" s="29" t="s">
        <v>193</v>
      </c>
      <c r="I30" s="29" t="s">
        <v>194</v>
      </c>
      <c r="J30" s="29" t="s">
        <v>195</v>
      </c>
      <c r="K30" s="42" t="s">
        <v>7</v>
      </c>
      <c r="L30" s="42" t="s">
        <v>8</v>
      </c>
      <c r="M30" s="42" t="s">
        <v>455</v>
      </c>
      <c r="N30" s="42" t="s">
        <v>7</v>
      </c>
      <c r="O30" s="42" t="s">
        <v>417</v>
      </c>
      <c r="P30" s="42" t="s">
        <v>418</v>
      </c>
      <c r="Q30" s="42"/>
      <c r="R30" s="42"/>
      <c r="S30" s="42" t="s">
        <v>72</v>
      </c>
      <c r="T30" s="42" t="s">
        <v>456</v>
      </c>
    </row>
    <row r="31" spans="1:20" ht="85.5">
      <c r="A31" s="28" t="s">
        <v>196</v>
      </c>
      <c r="B31" s="29" t="s">
        <v>188</v>
      </c>
      <c r="C31" s="29" t="s">
        <v>189</v>
      </c>
      <c r="D31" s="29" t="s">
        <v>190</v>
      </c>
      <c r="E31" s="29" t="s">
        <v>6</v>
      </c>
      <c r="F31" s="29" t="s">
        <v>191</v>
      </c>
      <c r="G31" s="29" t="s">
        <v>197</v>
      </c>
      <c r="H31" s="29" t="s">
        <v>193</v>
      </c>
      <c r="I31" s="29" t="s">
        <v>194</v>
      </c>
      <c r="J31" s="29" t="s">
        <v>198</v>
      </c>
      <c r="K31" s="42" t="s">
        <v>7</v>
      </c>
      <c r="L31" s="42" t="s">
        <v>8</v>
      </c>
      <c r="M31" s="42" t="s">
        <v>457</v>
      </c>
      <c r="N31" s="42" t="s">
        <v>7</v>
      </c>
      <c r="O31" s="42" t="s">
        <v>417</v>
      </c>
      <c r="P31" s="42" t="s">
        <v>418</v>
      </c>
      <c r="Q31" s="42"/>
      <c r="R31" s="42"/>
      <c r="S31" s="42" t="s">
        <v>72</v>
      </c>
      <c r="T31" s="42" t="s">
        <v>456</v>
      </c>
    </row>
    <row r="32" spans="1:20" ht="85.5">
      <c r="A32" s="28" t="s">
        <v>199</v>
      </c>
      <c r="B32" s="29" t="s">
        <v>188</v>
      </c>
      <c r="C32" s="29" t="s">
        <v>189</v>
      </c>
      <c r="D32" s="29" t="s">
        <v>190</v>
      </c>
      <c r="E32" s="29" t="s">
        <v>6</v>
      </c>
      <c r="F32" s="29" t="s">
        <v>191</v>
      </c>
      <c r="G32" s="29" t="s">
        <v>200</v>
      </c>
      <c r="H32" s="29" t="s">
        <v>193</v>
      </c>
      <c r="I32" s="29" t="s">
        <v>194</v>
      </c>
      <c r="J32" s="29" t="s">
        <v>201</v>
      </c>
      <c r="K32" s="42" t="s">
        <v>7</v>
      </c>
      <c r="L32" s="42" t="s">
        <v>8</v>
      </c>
      <c r="M32" s="42" t="s">
        <v>458</v>
      </c>
      <c r="N32" s="42" t="s">
        <v>7</v>
      </c>
      <c r="O32" s="42" t="s">
        <v>417</v>
      </c>
      <c r="P32" s="42" t="s">
        <v>418</v>
      </c>
      <c r="Q32" s="42"/>
      <c r="R32" s="42"/>
      <c r="S32" s="42" t="s">
        <v>72</v>
      </c>
      <c r="T32" s="42" t="s">
        <v>456</v>
      </c>
    </row>
    <row r="33" spans="1:20" ht="85.5">
      <c r="A33" s="28" t="s">
        <v>202</v>
      </c>
      <c r="B33" s="29" t="s">
        <v>188</v>
      </c>
      <c r="C33" s="29" t="s">
        <v>189</v>
      </c>
      <c r="D33" s="29" t="s">
        <v>190</v>
      </c>
      <c r="E33" s="29" t="s">
        <v>6</v>
      </c>
      <c r="F33" s="29" t="s">
        <v>191</v>
      </c>
      <c r="G33" s="29" t="s">
        <v>203</v>
      </c>
      <c r="H33" s="29" t="s">
        <v>193</v>
      </c>
      <c r="I33" s="29" t="s">
        <v>194</v>
      </c>
      <c r="J33" s="29" t="s">
        <v>204</v>
      </c>
      <c r="K33" s="42" t="s">
        <v>7</v>
      </c>
      <c r="L33" s="42" t="s">
        <v>8</v>
      </c>
      <c r="M33" s="42" t="s">
        <v>459</v>
      </c>
      <c r="N33" s="42" t="s">
        <v>7</v>
      </c>
      <c r="O33" s="42" t="s">
        <v>417</v>
      </c>
      <c r="P33" s="42" t="s">
        <v>418</v>
      </c>
      <c r="Q33" s="42"/>
      <c r="R33" s="42"/>
      <c r="S33" s="42" t="s">
        <v>72</v>
      </c>
      <c r="T33" s="42" t="s">
        <v>456</v>
      </c>
    </row>
    <row r="34" spans="1:20" ht="85.5">
      <c r="A34" s="28" t="s">
        <v>205</v>
      </c>
      <c r="B34" s="29" t="s">
        <v>188</v>
      </c>
      <c r="C34" s="29" t="s">
        <v>189</v>
      </c>
      <c r="D34" s="29" t="s">
        <v>190</v>
      </c>
      <c r="E34" s="29" t="s">
        <v>6</v>
      </c>
      <c r="F34" s="29" t="s">
        <v>191</v>
      </c>
      <c r="G34" s="29" t="s">
        <v>206</v>
      </c>
      <c r="H34" s="29" t="s">
        <v>193</v>
      </c>
      <c r="I34" s="29" t="s">
        <v>194</v>
      </c>
      <c r="J34" s="29" t="s">
        <v>207</v>
      </c>
      <c r="K34" s="42" t="s">
        <v>7</v>
      </c>
      <c r="L34" s="42" t="s">
        <v>8</v>
      </c>
      <c r="M34" s="42" t="s">
        <v>460</v>
      </c>
      <c r="N34" s="42" t="s">
        <v>7</v>
      </c>
      <c r="O34" s="42" t="s">
        <v>417</v>
      </c>
      <c r="P34" s="42" t="s">
        <v>418</v>
      </c>
      <c r="Q34" s="42"/>
      <c r="R34" s="42"/>
      <c r="S34" s="42" t="s">
        <v>72</v>
      </c>
      <c r="T34" s="42" t="s">
        <v>456</v>
      </c>
    </row>
    <row r="35" spans="1:20" ht="85.5">
      <c r="A35" s="28" t="s">
        <v>208</v>
      </c>
      <c r="B35" s="29" t="s">
        <v>188</v>
      </c>
      <c r="C35" s="29" t="s">
        <v>189</v>
      </c>
      <c r="D35" s="29" t="s">
        <v>190</v>
      </c>
      <c r="E35" s="29" t="s">
        <v>9</v>
      </c>
      <c r="F35" s="29" t="s">
        <v>191</v>
      </c>
      <c r="G35" s="29" t="s">
        <v>209</v>
      </c>
      <c r="H35" s="29" t="s">
        <v>193</v>
      </c>
      <c r="I35" s="29" t="s">
        <v>194</v>
      </c>
      <c r="J35" s="29" t="s">
        <v>210</v>
      </c>
      <c r="K35" s="42" t="s">
        <v>7</v>
      </c>
      <c r="L35" s="42" t="s">
        <v>8</v>
      </c>
      <c r="M35" s="42" t="s">
        <v>461</v>
      </c>
      <c r="N35" s="42" t="s">
        <v>7</v>
      </c>
      <c r="O35" s="42" t="s">
        <v>417</v>
      </c>
      <c r="P35" s="42" t="s">
        <v>418</v>
      </c>
      <c r="Q35" s="42"/>
      <c r="R35" s="42"/>
      <c r="S35" s="42" t="s">
        <v>72</v>
      </c>
      <c r="T35" s="42" t="s">
        <v>456</v>
      </c>
    </row>
    <row r="36" spans="1:20" ht="85.5">
      <c r="A36" s="28" t="s">
        <v>211</v>
      </c>
      <c r="B36" s="29" t="s">
        <v>188</v>
      </c>
      <c r="C36" s="29" t="s">
        <v>189</v>
      </c>
      <c r="D36" s="29" t="s">
        <v>190</v>
      </c>
      <c r="E36" s="29" t="s">
        <v>9</v>
      </c>
      <c r="F36" s="29" t="s">
        <v>191</v>
      </c>
      <c r="G36" s="29" t="s">
        <v>212</v>
      </c>
      <c r="H36" s="29" t="s">
        <v>193</v>
      </c>
      <c r="I36" s="29" t="s">
        <v>194</v>
      </c>
      <c r="J36" s="29" t="s">
        <v>213</v>
      </c>
      <c r="K36" s="42" t="s">
        <v>7</v>
      </c>
      <c r="L36" s="42" t="s">
        <v>8</v>
      </c>
      <c r="M36" s="42" t="s">
        <v>462</v>
      </c>
      <c r="N36" s="42" t="s">
        <v>7</v>
      </c>
      <c r="O36" s="42" t="s">
        <v>417</v>
      </c>
      <c r="P36" s="42" t="s">
        <v>418</v>
      </c>
      <c r="Q36" s="42"/>
      <c r="R36" s="42"/>
      <c r="S36" s="42" t="s">
        <v>72</v>
      </c>
      <c r="T36" s="42" t="s">
        <v>456</v>
      </c>
    </row>
    <row r="37" spans="1:20" ht="85.5">
      <c r="A37" s="28" t="s">
        <v>214</v>
      </c>
      <c r="B37" s="29" t="s">
        <v>188</v>
      </c>
      <c r="C37" s="29" t="s">
        <v>189</v>
      </c>
      <c r="D37" s="29" t="s">
        <v>190</v>
      </c>
      <c r="E37" s="29" t="s">
        <v>9</v>
      </c>
      <c r="F37" s="29" t="s">
        <v>191</v>
      </c>
      <c r="G37" s="29" t="s">
        <v>215</v>
      </c>
      <c r="H37" s="29" t="s">
        <v>193</v>
      </c>
      <c r="I37" s="29" t="s">
        <v>194</v>
      </c>
      <c r="J37" s="29" t="s">
        <v>216</v>
      </c>
      <c r="K37" s="42" t="s">
        <v>7</v>
      </c>
      <c r="L37" s="42" t="s">
        <v>8</v>
      </c>
      <c r="M37" s="42" t="s">
        <v>463</v>
      </c>
      <c r="N37" s="42" t="s">
        <v>7</v>
      </c>
      <c r="O37" s="42" t="s">
        <v>417</v>
      </c>
      <c r="P37" s="42" t="s">
        <v>418</v>
      </c>
      <c r="Q37" s="42"/>
      <c r="R37" s="42"/>
      <c r="S37" s="42" t="s">
        <v>72</v>
      </c>
      <c r="T37" s="42" t="s">
        <v>456</v>
      </c>
    </row>
    <row r="38" spans="1:20" ht="85.5">
      <c r="A38" s="28" t="s">
        <v>217</v>
      </c>
      <c r="B38" s="29" t="s">
        <v>188</v>
      </c>
      <c r="C38" s="29" t="s">
        <v>189</v>
      </c>
      <c r="D38" s="29" t="s">
        <v>190</v>
      </c>
      <c r="E38" s="29" t="s">
        <v>9</v>
      </c>
      <c r="F38" s="29" t="s">
        <v>191</v>
      </c>
      <c r="G38" s="29" t="s">
        <v>218</v>
      </c>
      <c r="H38" s="29" t="s">
        <v>193</v>
      </c>
      <c r="I38" s="29" t="s">
        <v>194</v>
      </c>
      <c r="J38" s="29" t="s">
        <v>219</v>
      </c>
      <c r="K38" s="42" t="s">
        <v>7</v>
      </c>
      <c r="L38" s="42" t="s">
        <v>8</v>
      </c>
      <c r="M38" s="42" t="s">
        <v>464</v>
      </c>
      <c r="N38" s="42" t="s">
        <v>7</v>
      </c>
      <c r="O38" s="42" t="s">
        <v>417</v>
      </c>
      <c r="P38" s="42" t="s">
        <v>418</v>
      </c>
      <c r="Q38" s="42"/>
      <c r="R38" s="42"/>
      <c r="S38" s="42" t="s">
        <v>72</v>
      </c>
      <c r="T38" s="42" t="s">
        <v>456</v>
      </c>
    </row>
    <row r="39" spans="1:20" ht="85.5">
      <c r="A39" s="28" t="s">
        <v>220</v>
      </c>
      <c r="B39" s="29" t="s">
        <v>188</v>
      </c>
      <c r="C39" s="29" t="s">
        <v>189</v>
      </c>
      <c r="D39" s="29" t="s">
        <v>190</v>
      </c>
      <c r="E39" s="29" t="s">
        <v>9</v>
      </c>
      <c r="F39" s="29" t="s">
        <v>191</v>
      </c>
      <c r="G39" s="29" t="s">
        <v>221</v>
      </c>
      <c r="H39" s="29" t="s">
        <v>193</v>
      </c>
      <c r="I39" s="29" t="s">
        <v>194</v>
      </c>
      <c r="J39" s="29" t="s">
        <v>136</v>
      </c>
      <c r="K39" s="42" t="s">
        <v>7</v>
      </c>
      <c r="L39" s="42" t="s">
        <v>8</v>
      </c>
      <c r="M39" s="42" t="s">
        <v>465</v>
      </c>
      <c r="N39" s="42" t="s">
        <v>7</v>
      </c>
      <c r="O39" s="42" t="s">
        <v>417</v>
      </c>
      <c r="P39" s="42" t="s">
        <v>418</v>
      </c>
      <c r="Q39" s="42"/>
      <c r="R39" s="42"/>
      <c r="S39" s="42" t="s">
        <v>72</v>
      </c>
      <c r="T39" s="42" t="s">
        <v>456</v>
      </c>
    </row>
    <row r="40" spans="1:20" ht="85.5">
      <c r="A40" s="28" t="s">
        <v>222</v>
      </c>
      <c r="B40" s="29" t="s">
        <v>188</v>
      </c>
      <c r="C40" s="29" t="s">
        <v>189</v>
      </c>
      <c r="D40" s="29" t="s">
        <v>190</v>
      </c>
      <c r="E40" s="29" t="s">
        <v>9</v>
      </c>
      <c r="F40" s="29" t="s">
        <v>191</v>
      </c>
      <c r="G40" s="29" t="s">
        <v>223</v>
      </c>
      <c r="H40" s="29" t="s">
        <v>193</v>
      </c>
      <c r="I40" s="29" t="s">
        <v>194</v>
      </c>
      <c r="J40" s="29" t="s">
        <v>224</v>
      </c>
      <c r="K40" s="42" t="s">
        <v>7</v>
      </c>
      <c r="L40" s="42" t="s">
        <v>8</v>
      </c>
      <c r="M40" s="42" t="s">
        <v>466</v>
      </c>
      <c r="N40" s="42" t="s">
        <v>7</v>
      </c>
      <c r="O40" s="42" t="s">
        <v>417</v>
      </c>
      <c r="P40" s="42" t="s">
        <v>418</v>
      </c>
      <c r="Q40" s="42"/>
      <c r="R40" s="42"/>
      <c r="S40" s="42" t="s">
        <v>72</v>
      </c>
      <c r="T40" s="42" t="s">
        <v>456</v>
      </c>
    </row>
    <row r="41" spans="1:20" ht="71.25">
      <c r="A41" s="28" t="s">
        <v>225</v>
      </c>
      <c r="B41" s="29" t="s">
        <v>188</v>
      </c>
      <c r="C41" s="29" t="s">
        <v>189</v>
      </c>
      <c r="D41" s="29" t="s">
        <v>190</v>
      </c>
      <c r="E41" s="29" t="s">
        <v>12</v>
      </c>
      <c r="F41" s="29" t="s">
        <v>191</v>
      </c>
      <c r="G41" s="29" t="s">
        <v>226</v>
      </c>
      <c r="H41" s="29" t="s">
        <v>193</v>
      </c>
      <c r="I41" s="29" t="s">
        <v>194</v>
      </c>
      <c r="J41" s="29" t="s">
        <v>227</v>
      </c>
      <c r="K41" s="42" t="s">
        <v>7</v>
      </c>
      <c r="L41" s="42" t="s">
        <v>8</v>
      </c>
      <c r="M41" s="42" t="s">
        <v>467</v>
      </c>
      <c r="N41" s="42" t="s">
        <v>7</v>
      </c>
      <c r="O41" s="42" t="s">
        <v>468</v>
      </c>
      <c r="P41" s="42" t="s">
        <v>469</v>
      </c>
      <c r="Q41" s="42"/>
      <c r="R41" s="42"/>
      <c r="S41" s="42" t="s">
        <v>72</v>
      </c>
      <c r="T41" s="42" t="s">
        <v>470</v>
      </c>
    </row>
    <row r="42" spans="1:20" ht="57">
      <c r="A42" s="28" t="s">
        <v>228</v>
      </c>
      <c r="B42" s="29" t="s">
        <v>229</v>
      </c>
      <c r="C42" s="29" t="s">
        <v>230</v>
      </c>
      <c r="D42" s="29" t="s">
        <v>231</v>
      </c>
      <c r="E42" s="29" t="s">
        <v>6</v>
      </c>
      <c r="F42" s="29" t="s">
        <v>232</v>
      </c>
      <c r="G42" s="29" t="s">
        <v>233</v>
      </c>
      <c r="H42" s="29" t="s">
        <v>234</v>
      </c>
      <c r="I42" s="29" t="s">
        <v>235</v>
      </c>
      <c r="J42" s="29" t="s">
        <v>236</v>
      </c>
      <c r="K42" s="42" t="s">
        <v>13</v>
      </c>
      <c r="L42" s="42" t="s">
        <v>8</v>
      </c>
      <c r="M42" s="42" t="s">
        <v>482</v>
      </c>
      <c r="N42" s="42" t="s">
        <v>7</v>
      </c>
      <c r="O42" s="42" t="s">
        <v>483</v>
      </c>
      <c r="P42" s="42" t="s">
        <v>484</v>
      </c>
      <c r="Q42" s="42"/>
      <c r="R42" s="42"/>
      <c r="S42" s="42" t="s">
        <v>237</v>
      </c>
      <c r="T42" s="42" t="s">
        <v>485</v>
      </c>
    </row>
    <row r="43" spans="1:20" ht="57">
      <c r="A43" s="28" t="s">
        <v>238</v>
      </c>
      <c r="B43" s="29" t="s">
        <v>229</v>
      </c>
      <c r="C43" s="29" t="s">
        <v>230</v>
      </c>
      <c r="D43" s="29" t="s">
        <v>231</v>
      </c>
      <c r="E43" s="29" t="s">
        <v>6</v>
      </c>
      <c r="F43" s="29" t="s">
        <v>232</v>
      </c>
      <c r="G43" s="29" t="s">
        <v>239</v>
      </c>
      <c r="H43" s="29" t="s">
        <v>234</v>
      </c>
      <c r="I43" s="29" t="s">
        <v>235</v>
      </c>
      <c r="J43" s="29" t="s">
        <v>240</v>
      </c>
      <c r="K43" s="42" t="s">
        <v>13</v>
      </c>
      <c r="L43" s="42" t="s">
        <v>8</v>
      </c>
      <c r="M43" s="42" t="s">
        <v>486</v>
      </c>
      <c r="N43" s="42" t="s">
        <v>7</v>
      </c>
      <c r="O43" s="42" t="s">
        <v>483</v>
      </c>
      <c r="P43" s="42" t="s">
        <v>484</v>
      </c>
      <c r="Q43" s="42"/>
      <c r="R43" s="42"/>
      <c r="S43" s="42" t="s">
        <v>237</v>
      </c>
      <c r="T43" s="42" t="s">
        <v>487</v>
      </c>
    </row>
    <row r="44" spans="1:20" ht="57">
      <c r="A44" s="28" t="s">
        <v>241</v>
      </c>
      <c r="B44" s="29" t="s">
        <v>229</v>
      </c>
      <c r="C44" s="29" t="s">
        <v>230</v>
      </c>
      <c r="D44" s="29" t="s">
        <v>231</v>
      </c>
      <c r="E44" s="29" t="s">
        <v>6</v>
      </c>
      <c r="F44" s="29" t="s">
        <v>232</v>
      </c>
      <c r="G44" s="29" t="s">
        <v>242</v>
      </c>
      <c r="H44" s="29" t="s">
        <v>234</v>
      </c>
      <c r="I44" s="29" t="s">
        <v>235</v>
      </c>
      <c r="J44" s="29" t="s">
        <v>243</v>
      </c>
      <c r="K44" s="42" t="s">
        <v>13</v>
      </c>
      <c r="L44" s="42" t="s">
        <v>8</v>
      </c>
      <c r="M44" s="42" t="s">
        <v>488</v>
      </c>
      <c r="N44" s="42" t="s">
        <v>7</v>
      </c>
      <c r="O44" s="42" t="s">
        <v>483</v>
      </c>
      <c r="P44" s="42" t="s">
        <v>489</v>
      </c>
      <c r="Q44" s="42"/>
      <c r="R44" s="42"/>
      <c r="S44" s="42" t="s">
        <v>237</v>
      </c>
      <c r="T44" s="42" t="s">
        <v>490</v>
      </c>
    </row>
    <row r="45" spans="1:20" ht="57">
      <c r="A45" s="28" t="s">
        <v>244</v>
      </c>
      <c r="B45" s="29" t="s">
        <v>229</v>
      </c>
      <c r="C45" s="29" t="s">
        <v>230</v>
      </c>
      <c r="D45" s="29" t="s">
        <v>231</v>
      </c>
      <c r="E45" s="29" t="s">
        <v>9</v>
      </c>
      <c r="F45" s="29" t="s">
        <v>232</v>
      </c>
      <c r="G45" s="29" t="s">
        <v>245</v>
      </c>
      <c r="H45" s="29" t="s">
        <v>234</v>
      </c>
      <c r="I45" s="29" t="s">
        <v>235</v>
      </c>
      <c r="J45" s="29" t="s">
        <v>246</v>
      </c>
      <c r="K45" s="42" t="s">
        <v>13</v>
      </c>
      <c r="L45" s="42" t="s">
        <v>8</v>
      </c>
      <c r="M45" s="42" t="s">
        <v>491</v>
      </c>
      <c r="N45" s="42" t="s">
        <v>7</v>
      </c>
      <c r="O45" s="42" t="s">
        <v>492</v>
      </c>
      <c r="P45" s="42" t="s">
        <v>493</v>
      </c>
      <c r="Q45" s="42"/>
      <c r="R45" s="42"/>
      <c r="S45" s="42" t="s">
        <v>237</v>
      </c>
      <c r="T45" s="42" t="s">
        <v>494</v>
      </c>
    </row>
    <row r="46" spans="1:20" ht="114">
      <c r="A46" s="28" t="s">
        <v>247</v>
      </c>
      <c r="B46" s="29" t="s">
        <v>229</v>
      </c>
      <c r="C46" s="29" t="s">
        <v>230</v>
      </c>
      <c r="D46" s="29" t="s">
        <v>231</v>
      </c>
      <c r="E46" s="29" t="s">
        <v>9</v>
      </c>
      <c r="F46" s="29" t="s">
        <v>232</v>
      </c>
      <c r="G46" s="29" t="s">
        <v>248</v>
      </c>
      <c r="H46" s="29" t="s">
        <v>234</v>
      </c>
      <c r="I46" s="29" t="s">
        <v>235</v>
      </c>
      <c r="J46" s="29" t="s">
        <v>249</v>
      </c>
      <c r="K46" s="42" t="s">
        <v>13</v>
      </c>
      <c r="L46" s="42" t="s">
        <v>8</v>
      </c>
      <c r="M46" s="42" t="s">
        <v>495</v>
      </c>
      <c r="N46" s="42" t="s">
        <v>7</v>
      </c>
      <c r="O46" s="42" t="s">
        <v>496</v>
      </c>
      <c r="P46" s="42" t="s">
        <v>497</v>
      </c>
      <c r="Q46" s="42"/>
      <c r="R46" s="42"/>
      <c r="S46" s="42" t="s">
        <v>237</v>
      </c>
      <c r="T46" s="42" t="s">
        <v>498</v>
      </c>
    </row>
    <row r="47" spans="1:20" ht="57">
      <c r="A47" s="28" t="s">
        <v>250</v>
      </c>
      <c r="B47" s="29" t="s">
        <v>229</v>
      </c>
      <c r="C47" s="29" t="s">
        <v>230</v>
      </c>
      <c r="D47" s="29" t="s">
        <v>231</v>
      </c>
      <c r="E47" s="29" t="s">
        <v>9</v>
      </c>
      <c r="F47" s="29" t="s">
        <v>232</v>
      </c>
      <c r="G47" s="29" t="s">
        <v>251</v>
      </c>
      <c r="H47" s="29" t="s">
        <v>234</v>
      </c>
      <c r="I47" s="29" t="s">
        <v>235</v>
      </c>
      <c r="J47" s="29" t="s">
        <v>252</v>
      </c>
      <c r="K47" s="42" t="s">
        <v>13</v>
      </c>
      <c r="L47" s="42" t="s">
        <v>8</v>
      </c>
      <c r="M47" s="42" t="s">
        <v>499</v>
      </c>
      <c r="N47" s="42" t="s">
        <v>7</v>
      </c>
      <c r="O47" s="42" t="s">
        <v>492</v>
      </c>
      <c r="P47" s="42" t="s">
        <v>493</v>
      </c>
      <c r="Q47" s="42"/>
      <c r="R47" s="42"/>
      <c r="S47" s="42" t="s">
        <v>237</v>
      </c>
      <c r="T47" s="42" t="s">
        <v>500</v>
      </c>
    </row>
    <row r="48" spans="1:20" ht="171">
      <c r="A48" s="28" t="s">
        <v>253</v>
      </c>
      <c r="B48" s="29" t="s">
        <v>229</v>
      </c>
      <c r="C48" s="29" t="s">
        <v>230</v>
      </c>
      <c r="D48" s="29" t="s">
        <v>231</v>
      </c>
      <c r="E48" s="29" t="s">
        <v>9</v>
      </c>
      <c r="F48" s="29" t="s">
        <v>232</v>
      </c>
      <c r="G48" s="29" t="s">
        <v>254</v>
      </c>
      <c r="H48" s="29" t="s">
        <v>234</v>
      </c>
      <c r="I48" s="29" t="s">
        <v>235</v>
      </c>
      <c r="J48" s="29" t="s">
        <v>255</v>
      </c>
      <c r="K48" s="42" t="s">
        <v>13</v>
      </c>
      <c r="L48" s="42" t="s">
        <v>8</v>
      </c>
      <c r="M48" s="25" t="s">
        <v>562</v>
      </c>
      <c r="N48" s="42" t="s">
        <v>7</v>
      </c>
      <c r="O48" s="42" t="s">
        <v>563</v>
      </c>
      <c r="P48" s="42" t="s">
        <v>501</v>
      </c>
      <c r="Q48" s="42"/>
      <c r="R48" s="42" t="s">
        <v>502</v>
      </c>
      <c r="S48" s="42" t="s">
        <v>237</v>
      </c>
      <c r="T48" s="42" t="s">
        <v>564</v>
      </c>
    </row>
    <row r="49" spans="1:20" ht="57">
      <c r="A49" s="28" t="s">
        <v>256</v>
      </c>
      <c r="B49" s="29" t="s">
        <v>229</v>
      </c>
      <c r="C49" s="29" t="s">
        <v>230</v>
      </c>
      <c r="D49" s="29" t="s">
        <v>231</v>
      </c>
      <c r="E49" s="29" t="s">
        <v>9</v>
      </c>
      <c r="F49" s="29" t="s">
        <v>232</v>
      </c>
      <c r="G49" s="29" t="s">
        <v>257</v>
      </c>
      <c r="H49" s="29" t="s">
        <v>234</v>
      </c>
      <c r="I49" s="29" t="s">
        <v>235</v>
      </c>
      <c r="J49" s="29" t="s">
        <v>258</v>
      </c>
      <c r="K49" s="42" t="s">
        <v>13</v>
      </c>
      <c r="L49" s="42" t="s">
        <v>8</v>
      </c>
      <c r="M49" s="42" t="s">
        <v>503</v>
      </c>
      <c r="N49" s="42" t="s">
        <v>7</v>
      </c>
      <c r="O49" s="42" t="s">
        <v>504</v>
      </c>
      <c r="P49" s="42" t="s">
        <v>505</v>
      </c>
      <c r="Q49" s="42"/>
      <c r="R49" s="42"/>
      <c r="S49" s="42" t="s">
        <v>237</v>
      </c>
      <c r="T49" s="42" t="s">
        <v>506</v>
      </c>
    </row>
    <row r="50" spans="1:20" ht="185.25">
      <c r="A50" s="28" t="s">
        <v>259</v>
      </c>
      <c r="B50" s="29" t="s">
        <v>229</v>
      </c>
      <c r="C50" s="29" t="s">
        <v>230</v>
      </c>
      <c r="D50" s="29" t="s">
        <v>231</v>
      </c>
      <c r="E50" s="29" t="s">
        <v>9</v>
      </c>
      <c r="F50" s="29" t="s">
        <v>232</v>
      </c>
      <c r="G50" s="29" t="s">
        <v>260</v>
      </c>
      <c r="H50" s="29" t="s">
        <v>234</v>
      </c>
      <c r="I50" s="29" t="s">
        <v>235</v>
      </c>
      <c r="J50" s="29" t="s">
        <v>261</v>
      </c>
      <c r="K50" s="42" t="s">
        <v>13</v>
      </c>
      <c r="L50" s="42" t="s">
        <v>8</v>
      </c>
      <c r="M50" s="25" t="s">
        <v>568</v>
      </c>
      <c r="N50" s="42" t="s">
        <v>7</v>
      </c>
      <c r="O50" s="42" t="s">
        <v>569</v>
      </c>
      <c r="P50" s="42" t="s">
        <v>570</v>
      </c>
      <c r="Q50" s="42"/>
      <c r="R50" s="42" t="s">
        <v>502</v>
      </c>
      <c r="S50" s="42" t="s">
        <v>237</v>
      </c>
      <c r="T50" s="42" t="s">
        <v>571</v>
      </c>
    </row>
    <row r="51" spans="1:20" ht="285">
      <c r="A51" s="28" t="s">
        <v>262</v>
      </c>
      <c r="B51" s="29" t="s">
        <v>229</v>
      </c>
      <c r="C51" s="29" t="s">
        <v>230</v>
      </c>
      <c r="D51" s="29" t="s">
        <v>231</v>
      </c>
      <c r="E51" s="29" t="s">
        <v>12</v>
      </c>
      <c r="F51" s="29" t="s">
        <v>232</v>
      </c>
      <c r="G51" s="29" t="s">
        <v>263</v>
      </c>
      <c r="H51" s="29" t="s">
        <v>234</v>
      </c>
      <c r="I51" s="29" t="s">
        <v>235</v>
      </c>
      <c r="J51" s="29" t="s">
        <v>264</v>
      </c>
      <c r="K51" s="42" t="s">
        <v>13</v>
      </c>
      <c r="L51" s="42" t="s">
        <v>8</v>
      </c>
      <c r="M51" s="42" t="s">
        <v>578</v>
      </c>
      <c r="N51" s="42" t="s">
        <v>7</v>
      </c>
      <c r="O51" s="46" t="s">
        <v>579</v>
      </c>
      <c r="P51" s="42" t="s">
        <v>580</v>
      </c>
      <c r="Q51" s="42" t="s">
        <v>509</v>
      </c>
      <c r="R51" s="42" t="s">
        <v>581</v>
      </c>
      <c r="S51" s="42" t="s">
        <v>237</v>
      </c>
      <c r="T51" s="42" t="s">
        <v>582</v>
      </c>
    </row>
    <row r="52" spans="1:20" ht="71.25">
      <c r="A52" s="28" t="s">
        <v>265</v>
      </c>
      <c r="B52" s="29" t="s">
        <v>266</v>
      </c>
      <c r="C52" s="29" t="s">
        <v>267</v>
      </c>
      <c r="D52" s="29" t="s">
        <v>155</v>
      </c>
      <c r="E52" s="29" t="s">
        <v>6</v>
      </c>
      <c r="F52" s="29" t="s">
        <v>268</v>
      </c>
      <c r="G52" s="29" t="s">
        <v>269</v>
      </c>
      <c r="H52" s="29" t="s">
        <v>270</v>
      </c>
      <c r="I52" s="29" t="s">
        <v>271</v>
      </c>
      <c r="J52" s="29" t="s">
        <v>272</v>
      </c>
      <c r="K52" s="42" t="s">
        <v>10</v>
      </c>
      <c r="L52" s="42" t="s">
        <v>8</v>
      </c>
      <c r="M52" s="51" t="s">
        <v>602</v>
      </c>
      <c r="N52" s="49" t="s">
        <v>10</v>
      </c>
      <c r="O52" s="48" t="s">
        <v>634</v>
      </c>
      <c r="P52" s="51" t="s">
        <v>635</v>
      </c>
      <c r="Q52" s="42"/>
      <c r="R52" s="42"/>
      <c r="S52" s="42" t="s">
        <v>107</v>
      </c>
      <c r="T52" s="51" t="s">
        <v>603</v>
      </c>
    </row>
    <row r="53" spans="1:20" ht="57">
      <c r="A53" s="28" t="s">
        <v>273</v>
      </c>
      <c r="B53" s="29" t="s">
        <v>266</v>
      </c>
      <c r="C53" s="29" t="s">
        <v>267</v>
      </c>
      <c r="D53" s="29" t="s">
        <v>155</v>
      </c>
      <c r="E53" s="29" t="s">
        <v>6</v>
      </c>
      <c r="F53" s="29" t="s">
        <v>268</v>
      </c>
      <c r="G53" s="29" t="s">
        <v>274</v>
      </c>
      <c r="H53" s="29" t="s">
        <v>270</v>
      </c>
      <c r="I53" s="29" t="s">
        <v>271</v>
      </c>
      <c r="J53" s="29" t="s">
        <v>275</v>
      </c>
      <c r="K53" s="42" t="s">
        <v>10</v>
      </c>
      <c r="L53" s="42" t="s">
        <v>8</v>
      </c>
      <c r="M53" s="42" t="s">
        <v>606</v>
      </c>
      <c r="N53" s="42" t="s">
        <v>10</v>
      </c>
      <c r="O53" s="48" t="s">
        <v>604</v>
      </c>
      <c r="P53" s="50" t="s">
        <v>605</v>
      </c>
      <c r="Q53" s="42"/>
      <c r="R53" s="42"/>
      <c r="S53" s="42" t="s">
        <v>107</v>
      </c>
      <c r="T53" s="42" t="s">
        <v>607</v>
      </c>
    </row>
    <row r="54" spans="1:20" ht="57">
      <c r="A54" s="28" t="s">
        <v>276</v>
      </c>
      <c r="B54" s="29" t="s">
        <v>266</v>
      </c>
      <c r="C54" s="29" t="s">
        <v>267</v>
      </c>
      <c r="D54" s="29" t="s">
        <v>155</v>
      </c>
      <c r="E54" s="29" t="s">
        <v>6</v>
      </c>
      <c r="F54" s="29" t="s">
        <v>268</v>
      </c>
      <c r="G54" s="29" t="s">
        <v>277</v>
      </c>
      <c r="H54" s="29" t="s">
        <v>270</v>
      </c>
      <c r="I54" s="29" t="s">
        <v>271</v>
      </c>
      <c r="J54" s="29" t="s">
        <v>278</v>
      </c>
      <c r="K54" s="42" t="s">
        <v>10</v>
      </c>
      <c r="L54" s="42" t="s">
        <v>8</v>
      </c>
      <c r="M54" s="42" t="s">
        <v>608</v>
      </c>
      <c r="N54" s="49" t="s">
        <v>10</v>
      </c>
      <c r="O54" s="42" t="s">
        <v>609</v>
      </c>
      <c r="P54" s="50" t="s">
        <v>610</v>
      </c>
      <c r="Q54" s="42"/>
      <c r="R54" s="42"/>
      <c r="S54" s="42" t="s">
        <v>107</v>
      </c>
      <c r="T54" s="42" t="s">
        <v>611</v>
      </c>
    </row>
    <row r="55" spans="1:20" ht="57">
      <c r="A55" s="28" t="s">
        <v>279</v>
      </c>
      <c r="B55" s="29" t="s">
        <v>266</v>
      </c>
      <c r="C55" s="29" t="s">
        <v>267</v>
      </c>
      <c r="D55" s="29" t="s">
        <v>155</v>
      </c>
      <c r="E55" s="29" t="s">
        <v>9</v>
      </c>
      <c r="F55" s="29" t="s">
        <v>268</v>
      </c>
      <c r="G55" s="29" t="s">
        <v>280</v>
      </c>
      <c r="H55" s="29" t="s">
        <v>270</v>
      </c>
      <c r="I55" s="29" t="s">
        <v>271</v>
      </c>
      <c r="J55" s="29" t="s">
        <v>281</v>
      </c>
      <c r="K55" s="42" t="s">
        <v>10</v>
      </c>
      <c r="L55" s="42" t="s">
        <v>8</v>
      </c>
      <c r="M55" s="42" t="s">
        <v>612</v>
      </c>
      <c r="N55" s="42" t="s">
        <v>10</v>
      </c>
      <c r="O55" s="42" t="s">
        <v>613</v>
      </c>
      <c r="P55" s="42" t="s">
        <v>614</v>
      </c>
      <c r="Q55" s="42"/>
      <c r="R55" s="42"/>
      <c r="S55" s="42" t="s">
        <v>107</v>
      </c>
      <c r="T55" s="42" t="s">
        <v>615</v>
      </c>
    </row>
    <row r="56" spans="1:20" ht="71.25">
      <c r="A56" s="28" t="s">
        <v>282</v>
      </c>
      <c r="B56" s="29" t="s">
        <v>266</v>
      </c>
      <c r="C56" s="29" t="s">
        <v>267</v>
      </c>
      <c r="D56" s="29" t="s">
        <v>155</v>
      </c>
      <c r="E56" s="29" t="s">
        <v>9</v>
      </c>
      <c r="F56" s="29" t="s">
        <v>268</v>
      </c>
      <c r="G56" s="29" t="s">
        <v>283</v>
      </c>
      <c r="H56" s="29" t="s">
        <v>270</v>
      </c>
      <c r="I56" s="29" t="s">
        <v>271</v>
      </c>
      <c r="J56" s="29" t="s">
        <v>284</v>
      </c>
      <c r="K56" s="42" t="s">
        <v>10</v>
      </c>
      <c r="L56" s="42" t="s">
        <v>8</v>
      </c>
      <c r="M56" s="42" t="s">
        <v>616</v>
      </c>
      <c r="N56" s="49" t="s">
        <v>10</v>
      </c>
      <c r="O56" s="42" t="s">
        <v>617</v>
      </c>
      <c r="P56" s="42" t="s">
        <v>618</v>
      </c>
      <c r="Q56" s="42"/>
      <c r="R56" s="42"/>
      <c r="S56" s="42" t="s">
        <v>107</v>
      </c>
      <c r="T56" s="42" t="s">
        <v>619</v>
      </c>
    </row>
    <row r="57" spans="1:20" ht="71.25">
      <c r="A57" s="28" t="s">
        <v>285</v>
      </c>
      <c r="B57" s="29" t="s">
        <v>266</v>
      </c>
      <c r="C57" s="29" t="s">
        <v>267</v>
      </c>
      <c r="D57" s="29" t="s">
        <v>155</v>
      </c>
      <c r="E57" s="29" t="s">
        <v>9</v>
      </c>
      <c r="F57" s="29" t="s">
        <v>268</v>
      </c>
      <c r="G57" s="29" t="s">
        <v>286</v>
      </c>
      <c r="H57" s="29" t="s">
        <v>270</v>
      </c>
      <c r="I57" s="29" t="s">
        <v>271</v>
      </c>
      <c r="J57" s="29" t="s">
        <v>287</v>
      </c>
      <c r="K57" s="42" t="s">
        <v>10</v>
      </c>
      <c r="L57" s="42" t="s">
        <v>8</v>
      </c>
      <c r="M57" s="42" t="s">
        <v>620</v>
      </c>
      <c r="N57" s="42" t="s">
        <v>10</v>
      </c>
      <c r="O57" s="42" t="s">
        <v>621</v>
      </c>
      <c r="P57" s="42" t="s">
        <v>622</v>
      </c>
      <c r="Q57" s="42"/>
      <c r="R57" s="42"/>
      <c r="S57" s="42" t="s">
        <v>107</v>
      </c>
      <c r="T57" s="42" t="s">
        <v>623</v>
      </c>
    </row>
    <row r="58" spans="1:20" ht="57">
      <c r="A58" s="28" t="s">
        <v>288</v>
      </c>
      <c r="B58" s="29" t="s">
        <v>266</v>
      </c>
      <c r="C58" s="29" t="s">
        <v>267</v>
      </c>
      <c r="D58" s="29" t="s">
        <v>155</v>
      </c>
      <c r="E58" s="29" t="s">
        <v>9</v>
      </c>
      <c r="F58" s="29" t="s">
        <v>268</v>
      </c>
      <c r="G58" s="29" t="s">
        <v>289</v>
      </c>
      <c r="H58" s="29" t="s">
        <v>270</v>
      </c>
      <c r="I58" s="29" t="s">
        <v>271</v>
      </c>
      <c r="J58" s="29" t="s">
        <v>290</v>
      </c>
      <c r="K58" s="42" t="s">
        <v>10</v>
      </c>
      <c r="L58" s="42" t="s">
        <v>8</v>
      </c>
      <c r="M58" s="42" t="s">
        <v>624</v>
      </c>
      <c r="N58" s="49" t="s">
        <v>10</v>
      </c>
      <c r="O58" s="42" t="s">
        <v>625</v>
      </c>
      <c r="P58" s="42" t="s">
        <v>626</v>
      </c>
      <c r="Q58" s="42"/>
      <c r="R58" s="42"/>
      <c r="S58" s="42" t="s">
        <v>107</v>
      </c>
      <c r="T58" s="42" t="s">
        <v>627</v>
      </c>
    </row>
    <row r="59" spans="1:20" ht="71.25">
      <c r="A59" s="28" t="s">
        <v>291</v>
      </c>
      <c r="B59" s="29" t="s">
        <v>266</v>
      </c>
      <c r="C59" s="29" t="s">
        <v>267</v>
      </c>
      <c r="D59" s="29" t="s">
        <v>155</v>
      </c>
      <c r="E59" s="29" t="s">
        <v>12</v>
      </c>
      <c r="F59" s="29" t="s">
        <v>268</v>
      </c>
      <c r="G59" s="29" t="s">
        <v>292</v>
      </c>
      <c r="H59" s="29" t="s">
        <v>270</v>
      </c>
      <c r="I59" s="29" t="s">
        <v>271</v>
      </c>
      <c r="J59" s="29" t="s">
        <v>293</v>
      </c>
      <c r="K59" s="42" t="s">
        <v>10</v>
      </c>
      <c r="L59" s="42" t="s">
        <v>8</v>
      </c>
      <c r="M59" s="42" t="s">
        <v>628</v>
      </c>
      <c r="N59" s="42" t="s">
        <v>10</v>
      </c>
      <c r="O59" s="42" t="s">
        <v>629</v>
      </c>
      <c r="P59" s="42" t="s">
        <v>630</v>
      </c>
      <c r="Q59" s="42"/>
      <c r="R59" s="42"/>
      <c r="S59" s="42" t="s">
        <v>107</v>
      </c>
      <c r="T59" s="42" t="s">
        <v>631</v>
      </c>
    </row>
    <row r="60" spans="1:20" ht="42.75">
      <c r="A60" s="28" t="s">
        <v>294</v>
      </c>
      <c r="B60" s="29" t="s">
        <v>295</v>
      </c>
      <c r="C60" s="29" t="s">
        <v>296</v>
      </c>
      <c r="D60" s="29" t="s">
        <v>231</v>
      </c>
      <c r="E60" s="29" t="s">
        <v>6</v>
      </c>
      <c r="F60" s="29" t="s">
        <v>297</v>
      </c>
      <c r="G60" s="29" t="s">
        <v>298</v>
      </c>
      <c r="H60" s="29" t="s">
        <v>299</v>
      </c>
      <c r="I60" s="29" t="s">
        <v>300</v>
      </c>
      <c r="J60" s="29" t="s">
        <v>301</v>
      </c>
      <c r="K60" s="42" t="s">
        <v>13</v>
      </c>
      <c r="L60" s="42" t="s">
        <v>8</v>
      </c>
      <c r="M60" s="42" t="s">
        <v>510</v>
      </c>
      <c r="N60" s="42" t="s">
        <v>7</v>
      </c>
      <c r="O60" s="42" t="s">
        <v>511</v>
      </c>
      <c r="P60" s="42" t="s">
        <v>512</v>
      </c>
      <c r="Q60" s="42"/>
      <c r="R60" s="42"/>
      <c r="S60" s="42" t="s">
        <v>237</v>
      </c>
      <c r="T60" s="42" t="s">
        <v>513</v>
      </c>
    </row>
    <row r="61" spans="1:20" ht="57">
      <c r="A61" s="28" t="s">
        <v>302</v>
      </c>
      <c r="B61" s="29" t="s">
        <v>295</v>
      </c>
      <c r="C61" s="29" t="s">
        <v>296</v>
      </c>
      <c r="D61" s="29" t="s">
        <v>231</v>
      </c>
      <c r="E61" s="29" t="s">
        <v>6</v>
      </c>
      <c r="F61" s="29" t="s">
        <v>297</v>
      </c>
      <c r="G61" s="29" t="s">
        <v>303</v>
      </c>
      <c r="H61" s="29" t="s">
        <v>299</v>
      </c>
      <c r="I61" s="29" t="s">
        <v>300</v>
      </c>
      <c r="J61" s="29" t="s">
        <v>304</v>
      </c>
      <c r="K61" s="42" t="s">
        <v>13</v>
      </c>
      <c r="L61" s="42" t="s">
        <v>8</v>
      </c>
      <c r="M61" s="42" t="s">
        <v>514</v>
      </c>
      <c r="N61" s="42" t="s">
        <v>7</v>
      </c>
      <c r="O61" s="42" t="s">
        <v>511</v>
      </c>
      <c r="P61" s="42" t="s">
        <v>512</v>
      </c>
      <c r="Q61" s="42"/>
      <c r="R61" s="42"/>
      <c r="S61" s="42" t="s">
        <v>237</v>
      </c>
      <c r="T61" s="42" t="s">
        <v>515</v>
      </c>
    </row>
    <row r="62" spans="1:20" ht="99.75">
      <c r="A62" s="28" t="s">
        <v>305</v>
      </c>
      <c r="B62" s="29" t="s">
        <v>295</v>
      </c>
      <c r="C62" s="29" t="s">
        <v>296</v>
      </c>
      <c r="D62" s="29" t="s">
        <v>231</v>
      </c>
      <c r="E62" s="29" t="s">
        <v>9</v>
      </c>
      <c r="F62" s="29" t="s">
        <v>297</v>
      </c>
      <c r="G62" s="29" t="s">
        <v>306</v>
      </c>
      <c r="H62" s="29" t="s">
        <v>299</v>
      </c>
      <c r="I62" s="29" t="s">
        <v>300</v>
      </c>
      <c r="J62" s="29" t="s">
        <v>307</v>
      </c>
      <c r="K62" s="42" t="s">
        <v>13</v>
      </c>
      <c r="L62" s="42" t="s">
        <v>8</v>
      </c>
      <c r="M62" s="42" t="s">
        <v>516</v>
      </c>
      <c r="N62" s="42" t="s">
        <v>7</v>
      </c>
      <c r="O62" s="42" t="s">
        <v>517</v>
      </c>
      <c r="P62" s="42" t="s">
        <v>518</v>
      </c>
      <c r="Q62" s="42"/>
      <c r="R62" s="42"/>
      <c r="S62" s="42" t="s">
        <v>237</v>
      </c>
      <c r="T62" s="42" t="s">
        <v>519</v>
      </c>
    </row>
    <row r="63" spans="1:20" ht="57">
      <c r="A63" s="28" t="s">
        <v>308</v>
      </c>
      <c r="B63" s="29" t="s">
        <v>295</v>
      </c>
      <c r="C63" s="29" t="s">
        <v>296</v>
      </c>
      <c r="D63" s="29" t="s">
        <v>231</v>
      </c>
      <c r="E63" s="29" t="s">
        <v>9</v>
      </c>
      <c r="F63" s="29" t="s">
        <v>297</v>
      </c>
      <c r="G63" s="29" t="s">
        <v>309</v>
      </c>
      <c r="H63" s="29" t="s">
        <v>299</v>
      </c>
      <c r="I63" s="29" t="s">
        <v>300</v>
      </c>
      <c r="J63" s="29" t="s">
        <v>310</v>
      </c>
      <c r="K63" s="42" t="s">
        <v>13</v>
      </c>
      <c r="L63" s="42" t="s">
        <v>8</v>
      </c>
      <c r="M63" s="42" t="s">
        <v>520</v>
      </c>
      <c r="N63" s="42" t="s">
        <v>7</v>
      </c>
      <c r="O63" s="42" t="s">
        <v>521</v>
      </c>
      <c r="P63" s="42" t="s">
        <v>522</v>
      </c>
      <c r="Q63" s="42"/>
      <c r="R63" s="42"/>
      <c r="S63" s="42" t="s">
        <v>237</v>
      </c>
      <c r="T63" s="42" t="s">
        <v>523</v>
      </c>
    </row>
    <row r="64" spans="1:20" ht="42.75">
      <c r="A64" s="28" t="s">
        <v>311</v>
      </c>
      <c r="B64" s="29" t="s">
        <v>295</v>
      </c>
      <c r="C64" s="29" t="s">
        <v>296</v>
      </c>
      <c r="D64" s="29" t="s">
        <v>231</v>
      </c>
      <c r="E64" s="29" t="s">
        <v>9</v>
      </c>
      <c r="F64" s="29" t="s">
        <v>297</v>
      </c>
      <c r="G64" s="29" t="s">
        <v>312</v>
      </c>
      <c r="H64" s="29" t="s">
        <v>299</v>
      </c>
      <c r="I64" s="29" t="s">
        <v>300</v>
      </c>
      <c r="J64" s="29" t="s">
        <v>313</v>
      </c>
      <c r="K64" s="42" t="s">
        <v>13</v>
      </c>
      <c r="L64" s="42" t="s">
        <v>8</v>
      </c>
      <c r="M64" s="42" t="s">
        <v>524</v>
      </c>
      <c r="N64" s="42" t="s">
        <v>7</v>
      </c>
      <c r="O64" s="42" t="s">
        <v>511</v>
      </c>
      <c r="P64" s="42" t="s">
        <v>525</v>
      </c>
      <c r="Q64" s="42"/>
      <c r="R64" s="42"/>
      <c r="S64" s="42" t="s">
        <v>237</v>
      </c>
      <c r="T64" s="42" t="s">
        <v>526</v>
      </c>
    </row>
    <row r="65" spans="1:20" ht="42.75">
      <c r="A65" s="28" t="s">
        <v>314</v>
      </c>
      <c r="B65" s="29" t="s">
        <v>295</v>
      </c>
      <c r="C65" s="29" t="s">
        <v>296</v>
      </c>
      <c r="D65" s="29" t="s">
        <v>231</v>
      </c>
      <c r="E65" s="29" t="s">
        <v>9</v>
      </c>
      <c r="F65" s="29" t="s">
        <v>297</v>
      </c>
      <c r="G65" s="29" t="s">
        <v>315</v>
      </c>
      <c r="H65" s="29" t="s">
        <v>299</v>
      </c>
      <c r="I65" s="29" t="s">
        <v>300</v>
      </c>
      <c r="J65" s="29" t="s">
        <v>316</v>
      </c>
      <c r="K65" s="42" t="s">
        <v>13</v>
      </c>
      <c r="L65" s="42" t="s">
        <v>8</v>
      </c>
      <c r="M65" s="42" t="s">
        <v>527</v>
      </c>
      <c r="N65" s="42" t="s">
        <v>7</v>
      </c>
      <c r="O65" s="42" t="s">
        <v>511</v>
      </c>
      <c r="P65" s="42" t="s">
        <v>528</v>
      </c>
      <c r="Q65" s="42"/>
      <c r="R65" s="42"/>
      <c r="S65" s="42" t="s">
        <v>237</v>
      </c>
      <c r="T65" s="42" t="s">
        <v>529</v>
      </c>
    </row>
    <row r="66" spans="1:20" ht="156.75">
      <c r="A66" s="28" t="s">
        <v>317</v>
      </c>
      <c r="B66" s="29" t="s">
        <v>295</v>
      </c>
      <c r="C66" s="29" t="s">
        <v>296</v>
      </c>
      <c r="D66" s="29" t="s">
        <v>231</v>
      </c>
      <c r="E66" s="29" t="s">
        <v>12</v>
      </c>
      <c r="F66" s="29" t="s">
        <v>297</v>
      </c>
      <c r="G66" s="29" t="s">
        <v>318</v>
      </c>
      <c r="H66" s="29" t="s">
        <v>299</v>
      </c>
      <c r="I66" s="29" t="s">
        <v>300</v>
      </c>
      <c r="J66" s="29" t="s">
        <v>319</v>
      </c>
      <c r="K66" s="42" t="s">
        <v>16</v>
      </c>
      <c r="L66" s="42" t="s">
        <v>8</v>
      </c>
      <c r="M66" s="42" t="s">
        <v>530</v>
      </c>
      <c r="N66" s="42" t="s">
        <v>7</v>
      </c>
      <c r="O66" s="42" t="s">
        <v>531</v>
      </c>
      <c r="P66" s="42" t="s">
        <v>532</v>
      </c>
      <c r="Q66" s="42"/>
      <c r="R66" s="42"/>
      <c r="S66" s="42" t="s">
        <v>237</v>
      </c>
      <c r="T66" s="42" t="s">
        <v>533</v>
      </c>
    </row>
    <row r="67" spans="1:20" ht="256.5">
      <c r="A67" s="28" t="s">
        <v>320</v>
      </c>
      <c r="B67" s="29" t="s">
        <v>321</v>
      </c>
      <c r="C67" s="29" t="s">
        <v>322</v>
      </c>
      <c r="D67" s="29" t="s">
        <v>323</v>
      </c>
      <c r="E67" s="29" t="s">
        <v>6</v>
      </c>
      <c r="F67" s="29" t="s">
        <v>324</v>
      </c>
      <c r="G67" s="29" t="s">
        <v>325</v>
      </c>
      <c r="H67" s="29" t="s">
        <v>326</v>
      </c>
      <c r="I67" s="29" t="s">
        <v>327</v>
      </c>
      <c r="J67" s="29" t="s">
        <v>328</v>
      </c>
      <c r="K67" s="42" t="s">
        <v>16</v>
      </c>
      <c r="L67" s="42" t="s">
        <v>8</v>
      </c>
      <c r="M67" s="42" t="s">
        <v>534</v>
      </c>
      <c r="N67" s="42" t="s">
        <v>7</v>
      </c>
      <c r="O67" s="42" t="s">
        <v>479</v>
      </c>
      <c r="P67" s="42" t="s">
        <v>535</v>
      </c>
      <c r="Q67" s="42"/>
      <c r="R67" s="42"/>
      <c r="S67" s="42" t="s">
        <v>329</v>
      </c>
      <c r="T67" s="42" t="s">
        <v>536</v>
      </c>
    </row>
    <row r="68" spans="1:20" ht="409.5">
      <c r="A68" s="28" t="s">
        <v>330</v>
      </c>
      <c r="B68" s="29" t="s">
        <v>321</v>
      </c>
      <c r="C68" s="29" t="s">
        <v>322</v>
      </c>
      <c r="D68" s="29" t="s">
        <v>323</v>
      </c>
      <c r="E68" s="29" t="s">
        <v>6</v>
      </c>
      <c r="F68" s="29" t="s">
        <v>324</v>
      </c>
      <c r="G68" s="29" t="s">
        <v>331</v>
      </c>
      <c r="H68" s="29" t="s">
        <v>326</v>
      </c>
      <c r="I68" s="29" t="s">
        <v>327</v>
      </c>
      <c r="J68" s="29" t="s">
        <v>332</v>
      </c>
      <c r="K68" s="42" t="s">
        <v>16</v>
      </c>
      <c r="L68" s="42" t="s">
        <v>8</v>
      </c>
      <c r="M68" s="43" t="s">
        <v>583</v>
      </c>
      <c r="N68" s="42" t="s">
        <v>7</v>
      </c>
      <c r="O68" s="46" t="s">
        <v>584</v>
      </c>
      <c r="P68" s="47" t="s">
        <v>586</v>
      </c>
      <c r="Q68" s="42" t="s">
        <v>537</v>
      </c>
      <c r="R68" s="42"/>
      <c r="S68" s="42" t="s">
        <v>329</v>
      </c>
      <c r="T68" s="43" t="s">
        <v>585</v>
      </c>
    </row>
    <row r="69" spans="1:20" ht="142.5">
      <c r="A69" s="28" t="s">
        <v>333</v>
      </c>
      <c r="B69" s="29" t="s">
        <v>321</v>
      </c>
      <c r="C69" s="29" t="s">
        <v>322</v>
      </c>
      <c r="D69" s="29" t="s">
        <v>323</v>
      </c>
      <c r="E69" s="29" t="s">
        <v>6</v>
      </c>
      <c r="F69" s="29" t="s">
        <v>324</v>
      </c>
      <c r="G69" s="29" t="s">
        <v>334</v>
      </c>
      <c r="H69" s="29" t="s">
        <v>326</v>
      </c>
      <c r="I69" s="29" t="s">
        <v>327</v>
      </c>
      <c r="J69" s="29" t="s">
        <v>335</v>
      </c>
      <c r="K69" s="42" t="s">
        <v>16</v>
      </c>
      <c r="L69" s="42" t="s">
        <v>8</v>
      </c>
      <c r="M69" s="42" t="s">
        <v>589</v>
      </c>
      <c r="N69" s="42" t="s">
        <v>7</v>
      </c>
      <c r="O69" s="42" t="s">
        <v>591</v>
      </c>
      <c r="P69" s="42" t="s">
        <v>592</v>
      </c>
      <c r="Q69" s="42"/>
      <c r="R69" s="46" t="s">
        <v>590</v>
      </c>
      <c r="S69" s="42" t="s">
        <v>329</v>
      </c>
      <c r="T69" s="42" t="s">
        <v>593</v>
      </c>
    </row>
    <row r="70" spans="1:20" ht="99.75">
      <c r="A70" s="28" t="s">
        <v>336</v>
      </c>
      <c r="B70" s="29" t="s">
        <v>321</v>
      </c>
      <c r="C70" s="29" t="s">
        <v>322</v>
      </c>
      <c r="D70" s="29" t="s">
        <v>323</v>
      </c>
      <c r="E70" s="29" t="s">
        <v>9</v>
      </c>
      <c r="F70" s="29" t="s">
        <v>324</v>
      </c>
      <c r="G70" s="29" t="s">
        <v>337</v>
      </c>
      <c r="H70" s="29" t="s">
        <v>326</v>
      </c>
      <c r="I70" s="29" t="s">
        <v>327</v>
      </c>
      <c r="J70" s="29" t="s">
        <v>338</v>
      </c>
      <c r="K70" s="42" t="s">
        <v>16</v>
      </c>
      <c r="L70" s="42" t="s">
        <v>8</v>
      </c>
      <c r="M70" s="42" t="s">
        <v>538</v>
      </c>
      <c r="N70" s="42" t="s">
        <v>7</v>
      </c>
      <c r="O70" s="42" t="s">
        <v>539</v>
      </c>
      <c r="P70" s="42" t="s">
        <v>540</v>
      </c>
      <c r="Q70" s="42"/>
      <c r="R70" s="42"/>
      <c r="S70" s="42" t="s">
        <v>329</v>
      </c>
      <c r="T70" s="42" t="s">
        <v>541</v>
      </c>
    </row>
    <row r="71" spans="1:20" ht="128.25">
      <c r="A71" s="28" t="s">
        <v>339</v>
      </c>
      <c r="B71" s="29" t="s">
        <v>321</v>
      </c>
      <c r="C71" s="29" t="s">
        <v>322</v>
      </c>
      <c r="D71" s="29" t="s">
        <v>323</v>
      </c>
      <c r="E71" s="29" t="s">
        <v>9</v>
      </c>
      <c r="F71" s="29" t="s">
        <v>324</v>
      </c>
      <c r="G71" s="29" t="s">
        <v>340</v>
      </c>
      <c r="H71" s="29" t="s">
        <v>326</v>
      </c>
      <c r="I71" s="29" t="s">
        <v>327</v>
      </c>
      <c r="J71" s="29" t="s">
        <v>341</v>
      </c>
      <c r="K71" s="42" t="s">
        <v>16</v>
      </c>
      <c r="L71" s="42" t="s">
        <v>8</v>
      </c>
      <c r="M71" s="42" t="s">
        <v>596</v>
      </c>
      <c r="N71" s="42" t="s">
        <v>7</v>
      </c>
      <c r="O71" s="42" t="s">
        <v>594</v>
      </c>
      <c r="P71" s="42" t="s">
        <v>595</v>
      </c>
      <c r="Q71" s="42" t="s">
        <v>544</v>
      </c>
      <c r="R71" s="42"/>
      <c r="S71" s="42" t="s">
        <v>329</v>
      </c>
      <c r="T71" s="42" t="s">
        <v>597</v>
      </c>
    </row>
    <row r="72" spans="1:20" ht="171">
      <c r="A72" s="28" t="s">
        <v>342</v>
      </c>
      <c r="B72" s="29" t="s">
        <v>321</v>
      </c>
      <c r="C72" s="29" t="s">
        <v>343</v>
      </c>
      <c r="D72" s="29" t="s">
        <v>102</v>
      </c>
      <c r="E72" s="29" t="s">
        <v>6</v>
      </c>
      <c r="F72" s="29" t="s">
        <v>344</v>
      </c>
      <c r="G72" s="29" t="s">
        <v>345</v>
      </c>
      <c r="H72" s="29" t="s">
        <v>346</v>
      </c>
      <c r="I72" s="29" t="s">
        <v>347</v>
      </c>
      <c r="J72" s="29" t="s">
        <v>348</v>
      </c>
      <c r="K72" s="42" t="s">
        <v>16</v>
      </c>
      <c r="L72" s="42" t="s">
        <v>8</v>
      </c>
      <c r="M72" s="42" t="s">
        <v>471</v>
      </c>
      <c r="N72" s="42" t="s">
        <v>7</v>
      </c>
      <c r="O72" s="42" t="s">
        <v>472</v>
      </c>
      <c r="P72" s="42" t="s">
        <v>473</v>
      </c>
      <c r="Q72" s="42"/>
      <c r="R72" s="42"/>
      <c r="S72" s="42" t="s">
        <v>82</v>
      </c>
      <c r="T72" s="42" t="s">
        <v>474</v>
      </c>
    </row>
    <row r="73" spans="1:20" ht="171">
      <c r="A73" s="28" t="s">
        <v>349</v>
      </c>
      <c r="B73" s="29" t="s">
        <v>321</v>
      </c>
      <c r="C73" s="29" t="s">
        <v>343</v>
      </c>
      <c r="D73" s="29" t="s">
        <v>102</v>
      </c>
      <c r="E73" s="29" t="s">
        <v>9</v>
      </c>
      <c r="F73" s="29" t="s">
        <v>344</v>
      </c>
      <c r="G73" s="29" t="s">
        <v>350</v>
      </c>
      <c r="H73" s="29" t="s">
        <v>346</v>
      </c>
      <c r="I73" s="29" t="s">
        <v>347</v>
      </c>
      <c r="J73" s="29" t="s">
        <v>351</v>
      </c>
      <c r="K73" s="42" t="s">
        <v>16</v>
      </c>
      <c r="L73" s="42" t="s">
        <v>8</v>
      </c>
      <c r="M73" s="42" t="s">
        <v>475</v>
      </c>
      <c r="N73" s="42" t="s">
        <v>7</v>
      </c>
      <c r="O73" s="42" t="s">
        <v>472</v>
      </c>
      <c r="P73" s="42" t="s">
        <v>473</v>
      </c>
      <c r="Q73" s="42"/>
      <c r="R73" s="42"/>
      <c r="S73" s="42" t="s">
        <v>82</v>
      </c>
      <c r="T73" s="42" t="s">
        <v>474</v>
      </c>
    </row>
    <row r="74" spans="1:20" ht="171">
      <c r="A74" s="28" t="s">
        <v>352</v>
      </c>
      <c r="B74" s="29" t="s">
        <v>321</v>
      </c>
      <c r="C74" s="29" t="s">
        <v>343</v>
      </c>
      <c r="D74" s="29" t="s">
        <v>102</v>
      </c>
      <c r="E74" s="29" t="s">
        <v>9</v>
      </c>
      <c r="F74" s="29" t="s">
        <v>344</v>
      </c>
      <c r="G74" s="29" t="s">
        <v>353</v>
      </c>
      <c r="H74" s="29" t="s">
        <v>346</v>
      </c>
      <c r="I74" s="29" t="s">
        <v>347</v>
      </c>
      <c r="J74" s="29" t="s">
        <v>354</v>
      </c>
      <c r="K74" s="42" t="s">
        <v>16</v>
      </c>
      <c r="L74" s="42" t="s">
        <v>8</v>
      </c>
      <c r="M74" s="42" t="s">
        <v>476</v>
      </c>
      <c r="N74" s="42" t="s">
        <v>7</v>
      </c>
      <c r="O74" s="42" t="s">
        <v>472</v>
      </c>
      <c r="P74" s="42" t="s">
        <v>473</v>
      </c>
      <c r="Q74" s="42"/>
      <c r="R74" s="42"/>
      <c r="S74" s="42" t="s">
        <v>82</v>
      </c>
      <c r="T74" s="42" t="s">
        <v>474</v>
      </c>
    </row>
    <row r="75" spans="1:20" ht="171">
      <c r="A75" s="28" t="s">
        <v>355</v>
      </c>
      <c r="B75" s="29" t="s">
        <v>321</v>
      </c>
      <c r="C75" s="29" t="s">
        <v>343</v>
      </c>
      <c r="D75" s="29" t="s">
        <v>102</v>
      </c>
      <c r="E75" s="29" t="s">
        <v>9</v>
      </c>
      <c r="F75" s="29" t="s">
        <v>344</v>
      </c>
      <c r="G75" s="29" t="s">
        <v>356</v>
      </c>
      <c r="H75" s="29" t="s">
        <v>346</v>
      </c>
      <c r="I75" s="29" t="s">
        <v>347</v>
      </c>
      <c r="J75" s="29" t="s">
        <v>357</v>
      </c>
      <c r="K75" s="42" t="s">
        <v>16</v>
      </c>
      <c r="L75" s="42" t="s">
        <v>8</v>
      </c>
      <c r="M75" s="42" t="s">
        <v>477</v>
      </c>
      <c r="N75" s="42" t="s">
        <v>7</v>
      </c>
      <c r="O75" s="42" t="s">
        <v>472</v>
      </c>
      <c r="P75" s="42" t="s">
        <v>473</v>
      </c>
      <c r="Q75" s="42"/>
      <c r="R75" s="42"/>
      <c r="S75" s="42" t="s">
        <v>82</v>
      </c>
      <c r="T75" s="42" t="s">
        <v>474</v>
      </c>
    </row>
    <row r="76" spans="1:20" ht="57">
      <c r="A76" s="28" t="s">
        <v>358</v>
      </c>
      <c r="B76" s="29" t="s">
        <v>321</v>
      </c>
      <c r="C76" s="29" t="s">
        <v>343</v>
      </c>
      <c r="D76" s="29" t="s">
        <v>102</v>
      </c>
      <c r="E76" s="29" t="s">
        <v>12</v>
      </c>
      <c r="F76" s="29" t="s">
        <v>344</v>
      </c>
      <c r="G76" s="29" t="s">
        <v>359</v>
      </c>
      <c r="H76" s="29" t="s">
        <v>346</v>
      </c>
      <c r="I76" s="29" t="s">
        <v>347</v>
      </c>
      <c r="J76" s="29" t="s">
        <v>360</v>
      </c>
      <c r="K76" s="42" t="s">
        <v>16</v>
      </c>
      <c r="L76" s="42" t="s">
        <v>8</v>
      </c>
      <c r="M76" s="42" t="s">
        <v>545</v>
      </c>
      <c r="N76" s="42" t="s">
        <v>7</v>
      </c>
      <c r="O76" s="42" t="s">
        <v>542</v>
      </c>
      <c r="P76" s="42" t="s">
        <v>543</v>
      </c>
      <c r="Q76" s="42"/>
      <c r="R76" s="42"/>
      <c r="S76" s="42" t="s">
        <v>107</v>
      </c>
      <c r="T76" s="42" t="s">
        <v>546</v>
      </c>
    </row>
    <row r="77" spans="1:20" ht="71.25">
      <c r="A77" s="28" t="s">
        <v>361</v>
      </c>
      <c r="B77" s="29" t="s">
        <v>321</v>
      </c>
      <c r="C77" s="29" t="s">
        <v>362</v>
      </c>
      <c r="D77" s="29" t="s">
        <v>363</v>
      </c>
      <c r="E77" s="29" t="s">
        <v>6</v>
      </c>
      <c r="F77" s="29" t="s">
        <v>364</v>
      </c>
      <c r="G77" s="29" t="s">
        <v>365</v>
      </c>
      <c r="H77" s="29" t="s">
        <v>366</v>
      </c>
      <c r="I77" s="29" t="s">
        <v>367</v>
      </c>
      <c r="J77" s="29" t="s">
        <v>368</v>
      </c>
      <c r="K77" s="42" t="s">
        <v>16</v>
      </c>
      <c r="L77" s="42" t="s">
        <v>8</v>
      </c>
      <c r="M77" s="42" t="s">
        <v>547</v>
      </c>
      <c r="N77" s="42" t="s">
        <v>7</v>
      </c>
      <c r="O77" s="42" t="s">
        <v>548</v>
      </c>
      <c r="P77" s="42" t="s">
        <v>549</v>
      </c>
      <c r="Q77" s="42"/>
      <c r="R77" s="42"/>
      <c r="S77" s="42" t="s">
        <v>115</v>
      </c>
      <c r="T77" s="42" t="s">
        <v>550</v>
      </c>
    </row>
    <row r="78" spans="1:20" ht="42.75">
      <c r="A78" s="28" t="s">
        <v>369</v>
      </c>
      <c r="B78" s="29" t="s">
        <v>321</v>
      </c>
      <c r="C78" s="29" t="s">
        <v>362</v>
      </c>
      <c r="D78" s="29" t="s">
        <v>363</v>
      </c>
      <c r="E78" s="29" t="s">
        <v>9</v>
      </c>
      <c r="F78" s="29" t="s">
        <v>364</v>
      </c>
      <c r="G78" s="29" t="s">
        <v>370</v>
      </c>
      <c r="H78" s="29" t="s">
        <v>366</v>
      </c>
      <c r="I78" s="29" t="s">
        <v>367</v>
      </c>
      <c r="J78" s="29" t="s">
        <v>371</v>
      </c>
      <c r="K78" s="42" t="s">
        <v>16</v>
      </c>
      <c r="L78" s="42" t="s">
        <v>8</v>
      </c>
      <c r="M78" s="42" t="s">
        <v>551</v>
      </c>
      <c r="N78" s="42" t="s">
        <v>7</v>
      </c>
      <c r="O78" s="42" t="s">
        <v>507</v>
      </c>
      <c r="P78" s="42" t="s">
        <v>508</v>
      </c>
      <c r="Q78" s="42"/>
      <c r="R78" s="42"/>
      <c r="S78" s="42" t="s">
        <v>115</v>
      </c>
      <c r="T78" s="42" t="s">
        <v>552</v>
      </c>
    </row>
    <row r="79" spans="1:20" ht="409.5">
      <c r="A79" s="28" t="s">
        <v>372</v>
      </c>
      <c r="B79" s="29" t="s">
        <v>321</v>
      </c>
      <c r="C79" s="29" t="s">
        <v>362</v>
      </c>
      <c r="D79" s="29" t="s">
        <v>363</v>
      </c>
      <c r="E79" s="29" t="s">
        <v>9</v>
      </c>
      <c r="F79" s="29" t="s">
        <v>364</v>
      </c>
      <c r="G79" s="29" t="s">
        <v>373</v>
      </c>
      <c r="H79" s="29" t="s">
        <v>366</v>
      </c>
      <c r="I79" s="29" t="s">
        <v>367</v>
      </c>
      <c r="J79" s="29" t="s">
        <v>374</v>
      </c>
      <c r="K79" s="42" t="s">
        <v>16</v>
      </c>
      <c r="L79" s="42" t="s">
        <v>8</v>
      </c>
      <c r="M79" s="42" t="s">
        <v>553</v>
      </c>
      <c r="N79" s="42" t="s">
        <v>7</v>
      </c>
      <c r="O79" s="42" t="s">
        <v>554</v>
      </c>
      <c r="P79" s="42" t="s">
        <v>555</v>
      </c>
      <c r="Q79" s="42"/>
      <c r="R79" s="42"/>
      <c r="S79" s="42" t="s">
        <v>115</v>
      </c>
      <c r="T79" s="42" t="s">
        <v>556</v>
      </c>
    </row>
    <row r="80" spans="1:20" ht="85.5">
      <c r="A80" s="28" t="s">
        <v>375</v>
      </c>
      <c r="B80" s="29" t="s">
        <v>321</v>
      </c>
      <c r="C80" s="29" t="s">
        <v>362</v>
      </c>
      <c r="D80" s="29" t="s">
        <v>363</v>
      </c>
      <c r="E80" s="29" t="s">
        <v>12</v>
      </c>
      <c r="F80" s="29" t="s">
        <v>364</v>
      </c>
      <c r="G80" s="29" t="s">
        <v>376</v>
      </c>
      <c r="H80" s="29" t="s">
        <v>366</v>
      </c>
      <c r="I80" s="29" t="s">
        <v>367</v>
      </c>
      <c r="J80" s="29" t="s">
        <v>377</v>
      </c>
      <c r="K80" s="42" t="s">
        <v>16</v>
      </c>
      <c r="L80" s="42" t="s">
        <v>8</v>
      </c>
      <c r="M80" s="42" t="s">
        <v>600</v>
      </c>
      <c r="N80" s="42" t="s">
        <v>7</v>
      </c>
      <c r="O80" s="42" t="s">
        <v>598</v>
      </c>
      <c r="P80" s="42" t="s">
        <v>599</v>
      </c>
      <c r="Q80" s="42" t="s">
        <v>557</v>
      </c>
      <c r="R80" s="42"/>
      <c r="S80" s="42" t="s">
        <v>115</v>
      </c>
      <c r="T80" s="42" t="s">
        <v>601</v>
      </c>
    </row>
    <row r="81" spans="1:20" ht="85.5">
      <c r="A81" s="30" t="s">
        <v>378</v>
      </c>
      <c r="B81" s="31" t="s">
        <v>321</v>
      </c>
      <c r="C81" s="31" t="s">
        <v>362</v>
      </c>
      <c r="D81" s="31" t="s">
        <v>363</v>
      </c>
      <c r="E81" s="31" t="s">
        <v>12</v>
      </c>
      <c r="F81" s="31" t="s">
        <v>364</v>
      </c>
      <c r="G81" s="31" t="s">
        <v>379</v>
      </c>
      <c r="H81" s="31" t="s">
        <v>366</v>
      </c>
      <c r="I81" s="31" t="s">
        <v>367</v>
      </c>
      <c r="J81" s="31" t="s">
        <v>380</v>
      </c>
      <c r="K81" s="42" t="s">
        <v>16</v>
      </c>
      <c r="L81" s="42" t="s">
        <v>8</v>
      </c>
      <c r="M81" s="42" t="s">
        <v>558</v>
      </c>
      <c r="N81" s="42" t="s">
        <v>7</v>
      </c>
      <c r="O81" s="42" t="s">
        <v>559</v>
      </c>
      <c r="P81" s="42" t="s">
        <v>560</v>
      </c>
      <c r="Q81" s="42"/>
      <c r="R81" s="42"/>
      <c r="S81" s="42" t="s">
        <v>115</v>
      </c>
      <c r="T81" s="42" t="s">
        <v>561</v>
      </c>
    </row>
  </sheetData>
  <conditionalFormatting sqref="L2:L81">
    <cfRule type="expression" dxfId="13" priority="1">
      <formula>L2="Pass"</formula>
    </cfRule>
    <cfRule type="expression" dxfId="12" priority="2">
      <formula>L2="Fail"</formula>
    </cfRule>
    <cfRule type="expression" dxfId="11" priority="3">
      <formula>L2="Blocked"</formula>
    </cfRule>
    <cfRule type="expression" dxfId="10" priority="4">
      <formula>L2="Retest"</formula>
    </cfRule>
    <cfRule type="expression" dxfId="9" priority="5">
      <formula>L2="Not Run"</formula>
    </cfRule>
  </conditionalFormatting>
  <dataValidations count="3">
    <dataValidation type="list" sqref="E2:E81" xr:uid="{00000000-0002-0000-0100-000000000000}">
      <formula1>"Critical,High,Medium,Low"</formula1>
    </dataValidation>
    <dataValidation type="list" sqref="K2:K81" xr:uid="{00000000-0002-0000-0100-000001000000}">
      <formula1>"Jerald,MD,Joyee,All Members,Shared"</formula1>
    </dataValidation>
    <dataValidation type="list" sqref="L2:L81" xr:uid="{DCF1EC1C-CC04-4C9A-8106-67F8E0406AD5}">
      <formula1>"Pass,Fail,Blocked,Retest,Not Run"</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workbookViewId="0">
      <selection activeCell="H13" sqref="H13"/>
    </sheetView>
  </sheetViews>
  <sheetFormatPr defaultRowHeight="14.25"/>
  <cols>
    <col min="1" max="1" width="16" customWidth="1"/>
    <col min="2" max="2" width="28" customWidth="1"/>
    <col min="3" max="3" width="20" customWidth="1"/>
    <col min="4" max="4" width="48" customWidth="1"/>
    <col min="5" max="5" width="42" customWidth="1"/>
    <col min="6" max="6" width="16" customWidth="1"/>
    <col min="7" max="7" width="14" customWidth="1"/>
    <col min="8" max="8" width="36" customWidth="1"/>
  </cols>
  <sheetData>
    <row r="1" spans="1:8" ht="18">
      <c r="A1" s="56" t="s">
        <v>381</v>
      </c>
      <c r="B1" s="56"/>
      <c r="C1" s="56"/>
      <c r="D1" s="56"/>
      <c r="E1" s="56"/>
      <c r="F1" s="56"/>
      <c r="G1" s="56"/>
      <c r="H1" s="56"/>
    </row>
    <row r="3" spans="1:8" ht="15">
      <c r="A3" s="32" t="s">
        <v>57</v>
      </c>
      <c r="B3" s="33" t="s">
        <v>382</v>
      </c>
      <c r="C3" s="33" t="s">
        <v>383</v>
      </c>
      <c r="D3" s="33" t="s">
        <v>384</v>
      </c>
      <c r="E3" s="33" t="s">
        <v>385</v>
      </c>
      <c r="F3" s="33" t="s">
        <v>386</v>
      </c>
      <c r="G3" s="33" t="s">
        <v>387</v>
      </c>
      <c r="H3" s="34" t="s">
        <v>62</v>
      </c>
    </row>
    <row r="4" spans="1:8" ht="28.5">
      <c r="A4" s="35"/>
      <c r="B4" s="36" t="s">
        <v>388</v>
      </c>
      <c r="C4" s="36" t="s">
        <v>72</v>
      </c>
      <c r="D4" s="36" t="s">
        <v>389</v>
      </c>
      <c r="E4" s="36"/>
      <c r="F4" s="36"/>
      <c r="G4" s="36"/>
      <c r="H4" s="37" t="s">
        <v>390</v>
      </c>
    </row>
    <row r="5" spans="1:8" ht="28.5">
      <c r="A5" s="35"/>
      <c r="B5" s="36" t="s">
        <v>391</v>
      </c>
      <c r="C5" s="36" t="s">
        <v>82</v>
      </c>
      <c r="D5" s="36" t="s">
        <v>392</v>
      </c>
      <c r="E5" s="36"/>
      <c r="F5" s="36"/>
      <c r="G5" s="36"/>
      <c r="H5" s="37" t="s">
        <v>393</v>
      </c>
    </row>
    <row r="6" spans="1:8" ht="28.5">
      <c r="A6" s="35"/>
      <c r="B6" s="36" t="s">
        <v>394</v>
      </c>
      <c r="C6" s="36" t="s">
        <v>72</v>
      </c>
      <c r="D6" s="36" t="s">
        <v>395</v>
      </c>
      <c r="E6" s="36"/>
      <c r="F6" s="36"/>
      <c r="G6" s="36"/>
      <c r="H6" s="37" t="s">
        <v>393</v>
      </c>
    </row>
    <row r="7" spans="1:8" ht="28.5">
      <c r="A7" s="35"/>
      <c r="B7" s="36" t="s">
        <v>396</v>
      </c>
      <c r="C7" s="36" t="s">
        <v>155</v>
      </c>
      <c r="D7" s="36" t="s">
        <v>397</v>
      </c>
      <c r="E7" s="36"/>
      <c r="F7" s="36"/>
      <c r="G7" s="36"/>
      <c r="H7" s="37" t="s">
        <v>398</v>
      </c>
    </row>
    <row r="8" spans="1:8" ht="28.5">
      <c r="A8" s="35"/>
      <c r="B8" s="36" t="s">
        <v>399</v>
      </c>
      <c r="C8" s="36" t="s">
        <v>400</v>
      </c>
      <c r="D8" s="36" t="s">
        <v>401</v>
      </c>
      <c r="E8" s="36"/>
      <c r="F8" s="36"/>
      <c r="G8" s="36"/>
      <c r="H8" s="37" t="s">
        <v>398</v>
      </c>
    </row>
    <row r="9" spans="1:8" ht="28.5">
      <c r="A9" s="38"/>
      <c r="B9" s="39" t="s">
        <v>402</v>
      </c>
      <c r="C9" s="39" t="s">
        <v>403</v>
      </c>
      <c r="D9" s="39" t="s">
        <v>404</v>
      </c>
      <c r="E9" s="39"/>
      <c r="F9" s="39"/>
      <c r="G9" s="39"/>
      <c r="H9" s="40" t="s">
        <v>405</v>
      </c>
    </row>
    <row r="10" spans="1:8" ht="114">
      <c r="A10" t="s">
        <v>563</v>
      </c>
      <c r="B10" t="s">
        <v>253</v>
      </c>
      <c r="C10" s="36" t="s">
        <v>400</v>
      </c>
      <c r="D10" s="43" t="s">
        <v>565</v>
      </c>
      <c r="E10" s="43" t="s">
        <v>566</v>
      </c>
      <c r="F10" t="s">
        <v>7</v>
      </c>
      <c r="G10" s="44">
        <v>46285</v>
      </c>
      <c r="H10" s="43" t="s">
        <v>567</v>
      </c>
    </row>
    <row r="11" spans="1:8" ht="85.5">
      <c r="A11" t="s">
        <v>569</v>
      </c>
      <c r="B11" t="s">
        <v>259</v>
      </c>
      <c r="C11" t="s">
        <v>400</v>
      </c>
      <c r="D11" s="43" t="s">
        <v>572</v>
      </c>
      <c r="E11" s="43" t="s">
        <v>570</v>
      </c>
      <c r="F11" t="s">
        <v>7</v>
      </c>
      <c r="G11" s="44">
        <v>46285</v>
      </c>
      <c r="H11" s="43" t="s">
        <v>573</v>
      </c>
    </row>
    <row r="12" spans="1:8" ht="156.75">
      <c r="A12" t="s">
        <v>574</v>
      </c>
      <c r="B12" t="s">
        <v>333</v>
      </c>
      <c r="C12" t="s">
        <v>400</v>
      </c>
      <c r="D12" s="45" t="s">
        <v>576</v>
      </c>
      <c r="E12" s="43" t="s">
        <v>575</v>
      </c>
      <c r="F12" t="s">
        <v>7</v>
      </c>
      <c r="G12" s="44">
        <v>46285</v>
      </c>
      <c r="H12" s="43" t="s">
        <v>577</v>
      </c>
    </row>
    <row r="13" spans="1:8" ht="285">
      <c r="A13" t="s">
        <v>584</v>
      </c>
      <c r="B13" t="s">
        <v>330</v>
      </c>
      <c r="C13" t="s">
        <v>400</v>
      </c>
      <c r="D13" s="43" t="s">
        <v>587</v>
      </c>
      <c r="E13" s="43" t="s">
        <v>586</v>
      </c>
      <c r="F13" t="s">
        <v>7</v>
      </c>
      <c r="G13" s="44">
        <v>46285</v>
      </c>
      <c r="H13" t="s">
        <v>588</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Test Cases</vt:lpstr>
      <vt:lpstr>Evidence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2026-09-23T10:45:37Z</dcterms:modified>
</cp:coreProperties>
</file>