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5a051af261022392/Documents/Personal Projects/GradNavi/docs/testing/"/>
    </mc:Choice>
  </mc:AlternateContent>
  <xr:revisionPtr revIDLastSave="1" documentId="11_CE0AF99AD583CFB709907525EF79E0E0997F2BE2" xr6:coauthVersionLast="47" xr6:coauthVersionMax="47" xr10:uidLastSave="{BE728EA1-E17E-48CF-8E10-E745AF16BB1E}"/>
  <bookViews>
    <workbookView xWindow="22932" yWindow="1332" windowWidth="23256" windowHeight="12456" activeTab="1" xr2:uid="{00000000-000D-0000-FFFF-FFFF00000000}"/>
  </bookViews>
  <sheets>
    <sheet name="Dashboard" sheetId="1" r:id="rId1"/>
    <sheet name="Test Cases" sheetId="2" r:id="rId2"/>
    <sheet name="Evidence Index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1" l="1"/>
  <c r="H8" i="1"/>
  <c r="B8" i="1"/>
  <c r="H7" i="1"/>
  <c r="E7" i="1"/>
  <c r="B7" i="1"/>
  <c r="H6" i="1"/>
  <c r="E6" i="1"/>
  <c r="B6" i="1"/>
  <c r="H5" i="1"/>
  <c r="E5" i="1"/>
  <c r="B5" i="1"/>
  <c r="H4" i="1"/>
  <c r="E4" i="1"/>
  <c r="B4" i="1"/>
</calcChain>
</file>

<file path=xl/sharedStrings.xml><?xml version="1.0" encoding="utf-8"?>
<sst xmlns="http://schemas.openxmlformats.org/spreadsheetml/2006/main" count="1432" uniqueCount="491">
  <si>
    <t>GradNavi Sprint 2 Test Dashboard</t>
  </si>
  <si>
    <t>Metric</t>
  </si>
  <si>
    <t>Count</t>
  </si>
  <si>
    <t>Priority</t>
  </si>
  <si>
    <t>Owner</t>
  </si>
  <si>
    <t>Total Cases</t>
  </si>
  <si>
    <t>Critical</t>
  </si>
  <si>
    <t>Jerald</t>
  </si>
  <si>
    <t>Pass</t>
  </si>
  <si>
    <t>High</t>
  </si>
  <si>
    <t>MD</t>
  </si>
  <si>
    <t>Fail</t>
  </si>
  <si>
    <t>Medium</t>
  </si>
  <si>
    <t>Joyee</t>
  </si>
  <si>
    <t>Blocked</t>
  </si>
  <si>
    <t>Low</t>
  </si>
  <si>
    <t>All Members</t>
  </si>
  <si>
    <t>Retest</t>
  </si>
  <si>
    <t>Shared</t>
  </si>
  <si>
    <t>Not Run</t>
  </si>
  <si>
    <t>Sprint 2 Integration Gate</t>
  </si>
  <si>
    <t>Required predecessor</t>
  </si>
  <si>
    <t>Current state on feature/sprint-2</t>
  </si>
  <si>
    <t>Gate for WBS 5.9</t>
  </si>
  <si>
    <t>WBS 5.4 Career Recommendation API</t>
  </si>
  <si>
    <t>Not present. careers/views.py is still the Django placeholder.</t>
  </si>
  <si>
    <t>Required</t>
  </si>
  <si>
    <t>WBS 5.5 Skill Gap and Readiness</t>
  </si>
  <si>
    <t>Merged in feature/sprint-2. Implementation and design are present.</t>
  </si>
  <si>
    <t>WBS 5.7 Learning Suggestions and Roadmap API</t>
  </si>
  <si>
    <t>Not present in the shared Sprint 2 branch at this checkpoint.</t>
  </si>
  <si>
    <t>WBS 5.8 Learning Roadmap Interface</t>
  </si>
  <si>
    <t>WBS 5.6 Recommendation and Readiness Interface</t>
  </si>
  <si>
    <t>Not present. Required for the integrated UI flow.</t>
  </si>
  <si>
    <t>Required for UI flow</t>
  </si>
  <si>
    <t>Repository verification basis</t>
  </si>
  <si>
    <t>WBS</t>
  </si>
  <si>
    <t>docs/project-management/work-breakdown-structure.md</t>
  </si>
  <si>
    <t>Recommendation design</t>
  </si>
  <si>
    <t>docs/system-design/recommendation-scoring-design.md</t>
  </si>
  <si>
    <t>Readiness design</t>
  </si>
  <si>
    <t>docs/system-design/readiness_scoring_design.md</t>
  </si>
  <si>
    <t>Current services</t>
  </si>
  <si>
    <t>backend/careers/services/recommendation_scoring.py and readiness_scoring.py</t>
  </si>
  <si>
    <t>Current API checkpoint</t>
  </si>
  <si>
    <t>backend/careers/views.py contains the default Django placeholder</t>
  </si>
  <si>
    <t>Test ID</t>
  </si>
  <si>
    <t>Requirement</t>
  </si>
  <si>
    <t>Test Type</t>
  </si>
  <si>
    <t>Area</t>
  </si>
  <si>
    <t>Test Case</t>
  </si>
  <si>
    <t>Preconditions</t>
  </si>
  <si>
    <t>Steps</t>
  </si>
  <si>
    <t>Expected Result</t>
  </si>
  <si>
    <t>Test Owner</t>
  </si>
  <si>
    <t>Status</t>
  </si>
  <si>
    <t>Actual Result</t>
  </si>
  <si>
    <t>Tester</t>
  </si>
  <si>
    <t>Evidence ID</t>
  </si>
  <si>
    <t>Evidence Reference</t>
  </si>
  <si>
    <t>Blocked Dependency</t>
  </si>
  <si>
    <t>Defect Reference</t>
  </si>
  <si>
    <t>Automation</t>
  </si>
  <si>
    <t>Notes</t>
  </si>
  <si>
    <t>S2-DATA-01</t>
  </si>
  <si>
    <t>5.2</t>
  </si>
  <si>
    <t>FR-03, FR-05</t>
  </si>
  <si>
    <t>Database</t>
  </si>
  <si>
    <t>Reference Data</t>
  </si>
  <si>
    <t>Career reference data is available</t>
  </si>
  <si>
    <t>Dataset 1.0 loaded</t>
  </si>
  <si>
    <t>Query active Career records</t>
  </si>
  <si>
    <t>Active Career records are available</t>
  </si>
  <si>
    <t>Automated/Script</t>
  </si>
  <si>
    <t>S2-DATA-02</t>
  </si>
  <si>
    <t>Canonical Skill reference data is available</t>
  </si>
  <si>
    <t>Query Skills used by CareerSkill evidence</t>
  </si>
  <si>
    <t>Canonical Skills resolve through CareerSkill relationships</t>
  </si>
  <si>
    <t>S2-DATA-03</t>
  </si>
  <si>
    <t>CareerSkill evidence loads from active datasets</t>
  </si>
  <si>
    <t>Reference datasets loaded</t>
  </si>
  <si>
    <t>Load eligible evidence through scoring loaders</t>
  </si>
  <si>
    <t>Only eligible active source-backed evidence is returned</t>
  </si>
  <si>
    <t>Automated</t>
  </si>
  <si>
    <t>S2-DATA-04</t>
  </si>
  <si>
    <t>NFR-08</t>
  </si>
  <si>
    <t>Duplicate readiness evidence does not silently double count</t>
  </si>
  <si>
    <t>Dataset loaded</t>
  </si>
  <si>
    <t>Check duplicate CareerSkill readiness requirements</t>
  </si>
  <si>
    <t>No duplicate readiness requirements</t>
  </si>
  <si>
    <t>S2-DATA-05</t>
  </si>
  <si>
    <t>FR-04</t>
  </si>
  <si>
    <t>O*NET and ESCO evidence roles stay separated</t>
  </si>
  <si>
    <t>Reference data loaded</t>
  </si>
  <si>
    <t>Inspect numerical and explanation loaders</t>
  </si>
  <si>
    <t>Numerical and explanation evidence keep intended roles</t>
  </si>
  <si>
    <t>S2-DATA-06</t>
  </si>
  <si>
    <t>Read-only validation does not modify Dataset 1.0</t>
  </si>
  <si>
    <t>Baseline counts captured</t>
  </si>
  <si>
    <t>Run Dataset validation and compare counts</t>
  </si>
  <si>
    <t>Database counts remain unchanged</t>
  </si>
  <si>
    <t>S2-DATA-07</t>
  </si>
  <si>
    <t>NFR-07</t>
  </si>
  <si>
    <t>Regression</t>
  </si>
  <si>
    <t>Reference importer is repeatable</t>
  </si>
  <si>
    <t>Disposable test database available</t>
  </si>
  <si>
    <t>Run importer twice and compare rows</t>
  </si>
  <si>
    <t>Second import creates no unintended duplicates</t>
  </si>
  <si>
    <t>Automated/Manual</t>
  </si>
  <si>
    <t>S2-DATA-08</t>
  </si>
  <si>
    <t>NFR-06</t>
  </si>
  <si>
    <t>Security</t>
  </si>
  <si>
    <t>Student flow does not modify shared reference data</t>
  </si>
  <si>
    <t>Authenticated Student available</t>
  </si>
  <si>
    <t>Use Student flow then recheck shared records</t>
  </si>
  <si>
    <t>Shared Career and Skill records remain unchanged</t>
  </si>
  <si>
    <t>Manual</t>
  </si>
  <si>
    <t>S2-REC-01</t>
  </si>
  <si>
    <t>5.3</t>
  </si>
  <si>
    <t>FR-03, FR-04, NFR-08, NFR-09</t>
  </si>
  <si>
    <t>Unit</t>
  </si>
  <si>
    <t>Recommendation Engine</t>
  </si>
  <si>
    <t>Full Skill match returns 100.00</t>
  </si>
  <si>
    <t>WBS 5.3 service available</t>
  </si>
  <si>
    <t>Run automated fixture</t>
  </si>
  <si>
    <t>Full weighted match produces 100.00</t>
  </si>
  <si>
    <t>S2-REC-02</t>
  </si>
  <si>
    <t>Partial Skill match uses Importance weighting</t>
  </si>
  <si>
    <t>Score matches approved weighted ratio</t>
  </si>
  <si>
    <t>S2-REC-03</t>
  </si>
  <si>
    <t>No matching Skills returns scored zero</t>
  </si>
  <si>
    <t>Documented unrelated Skills produce 0.00</t>
  </si>
  <si>
    <t>S2-REC-04</t>
  </si>
  <si>
    <t>Empty Student Skill profile is controlled</t>
  </si>
  <si>
    <t>Null score with insufficient_profile</t>
  </si>
  <si>
    <t>S2-REC-05</t>
  </si>
  <si>
    <t>Career without numerical evidence is controlled</t>
  </si>
  <si>
    <t>Null score with insufficient_evidence</t>
  </si>
  <si>
    <t>S2-REC-06</t>
  </si>
  <si>
    <t>Duplicate Student Skill IDs do not double count</t>
  </si>
  <si>
    <t>Each canonical Skill counts once</t>
  </si>
  <si>
    <t>S2-REC-07</t>
  </si>
  <si>
    <t>Duplicate CareerSkill evidence is rejected</t>
  </si>
  <si>
    <t>Duplicate evidence cannot increase weight</t>
  </si>
  <si>
    <t>S2-REC-08</t>
  </si>
  <si>
    <t>Recommendation ranking is deterministic</t>
  </si>
  <si>
    <t>Same inputs produce same order</t>
  </si>
  <si>
    <t>S2-REC-09</t>
  </si>
  <si>
    <t>Tie handling follows stable rule</t>
  </si>
  <si>
    <t>Equal ratios resolve by stable rule</t>
  </si>
  <si>
    <t>S2-REC-10</t>
  </si>
  <si>
    <t>Explanation evidence does not modify numerical rank</t>
  </si>
  <si>
    <t>Explanation enriches result only</t>
  </si>
  <si>
    <t>S2-API-01</t>
  </si>
  <si>
    <t>5.4</t>
  </si>
  <si>
    <t>FR-03, FR-04, NFR-05, NFR-06, NFR-08</t>
  </si>
  <si>
    <t>API</t>
  </si>
  <si>
    <t>Career Recommendation API</t>
  </si>
  <si>
    <t>Authenticated Student receives recommendations</t>
  </si>
  <si>
    <t>WBS 5.4 merged</t>
  </si>
  <si>
    <t>Call merged endpoint</t>
  </si>
  <si>
    <t>Structured ranked results returned</t>
  </si>
  <si>
    <t>S2-API-02</t>
  </si>
  <si>
    <t>Unauthenticated request is rejected</t>
  </si>
  <si>
    <t>Protected endpoint response returned</t>
  </si>
  <si>
    <t>S2-API-03</t>
  </si>
  <si>
    <t>API uses authenticated Student Profile</t>
  </si>
  <si>
    <t>Student A data only</t>
  </si>
  <si>
    <t>S2-API-04</t>
  </si>
  <si>
    <t>API preserves service ranking order</t>
  </si>
  <si>
    <t>Serialized order matches service</t>
  </si>
  <si>
    <t>S2-API-05</t>
  </si>
  <si>
    <t>API serializes score and rank</t>
  </si>
  <si>
    <t>Fields match service result</t>
  </si>
  <si>
    <t>S2-API-06</t>
  </si>
  <si>
    <t>API serializes explanation</t>
  </si>
  <si>
    <t>Approved explanation fields returned</t>
  </si>
  <si>
    <t>S2-API-07</t>
  </si>
  <si>
    <t>Controlled insufficient-profile response</t>
  </si>
  <si>
    <t>S2-API-08</t>
  </si>
  <si>
    <t>Invalid request uses approved error structure</t>
  </si>
  <si>
    <t>REST error conventions followed</t>
  </si>
  <si>
    <t>S2-API-09</t>
  </si>
  <si>
    <t>Repeated unchanged API request is stable</t>
  </si>
  <si>
    <t>Scores/ranks/statuses identical</t>
  </si>
  <si>
    <t>S2-API-10</t>
  </si>
  <si>
    <t>Another Student's profile data is not exposed</t>
  </si>
  <si>
    <t>No Student B private data appears</t>
  </si>
  <si>
    <t>S2-READ-01</t>
  </si>
  <si>
    <t>5.5</t>
  </si>
  <si>
    <t>FR-05, FR-06, NFR-08, NFR-09</t>
  </si>
  <si>
    <t>Unit/Database</t>
  </si>
  <si>
    <t>Skill Gap and Readiness</t>
  </si>
  <si>
    <t>Foundational maps to 25</t>
  </si>
  <si>
    <t>WBS 5.5 service available</t>
  </si>
  <si>
    <t>Run automated test or validation</t>
  </si>
  <si>
    <t>Mapped value is 25</t>
  </si>
  <si>
    <t>S2-READ-02</t>
  </si>
  <si>
    <t>Developing maps to 50</t>
  </si>
  <si>
    <t>Mapped value is 50</t>
  </si>
  <si>
    <t>S2-READ-03</t>
  </si>
  <si>
    <t>Proficient maps to 75</t>
  </si>
  <si>
    <t>Mapped value is 75</t>
  </si>
  <si>
    <t>S2-READ-04</t>
  </si>
  <si>
    <t>Advanced maps to 100</t>
  </si>
  <si>
    <t>Mapped value is 100</t>
  </si>
  <si>
    <t>S2-READ-05</t>
  </si>
  <si>
    <t>Missing Skill maps to zero and missing</t>
  </si>
  <si>
    <t>Zero score and full gap</t>
  </si>
  <si>
    <t>S2-READ-06</t>
  </si>
  <si>
    <t>Below requirement receives partial attainment</t>
  </si>
  <si>
    <t>Partial attainment and below status</t>
  </si>
  <si>
    <t>S2-READ-07</t>
  </si>
  <si>
    <t>Meets requirement is capped at full</t>
  </si>
  <si>
    <t>Attainment 1.00 and meets status</t>
  </si>
  <si>
    <t>S2-READ-08</t>
  </si>
  <si>
    <t>Career readiness uses Importance weighting</t>
  </si>
  <si>
    <t>Score matches weighted formula</t>
  </si>
  <si>
    <t>S2-READ-09</t>
  </si>
  <si>
    <t>Empty profile returns insufficient_profile</t>
  </si>
  <si>
    <t>Null readiness score</t>
  </si>
  <si>
    <t>S2-READ-10</t>
  </si>
  <si>
    <t>Career without readiness evidence is controlled</t>
  </si>
  <si>
    <t>S2-READ-11</t>
  </si>
  <si>
    <t>Skill Gap ordering is deterministic</t>
  </si>
  <si>
    <t>Approved ordering used</t>
  </si>
  <si>
    <t>S2-READ-12</t>
  </si>
  <si>
    <t>Dataset 1.0 readiness validation is non-destructive</t>
  </si>
  <si>
    <t>1,849 requirements, formula match, DB unchanged</t>
  </si>
  <si>
    <t>S2-UI-01</t>
  </si>
  <si>
    <t>5.6</t>
  </si>
  <si>
    <t>FR-03, FR-04, FR-05, FR-06, NFR-01, NFR-02, NFR-10</t>
  </si>
  <si>
    <t>Frontend</t>
  </si>
  <si>
    <t>Recommendation and Readiness UI</t>
  </si>
  <si>
    <t>Recommendation list loads from API</t>
  </si>
  <si>
    <t>WBS 5.6 integrated</t>
  </si>
  <si>
    <t>Execute frontend scenario</t>
  </si>
  <si>
    <t>Ranked list appears</t>
  </si>
  <si>
    <t>Manual/Frontend</t>
  </si>
  <si>
    <t>S2-UI-02</t>
  </si>
  <si>
    <t>Frontend preserves API rank order</t>
  </si>
  <si>
    <t>Display order matches API</t>
  </si>
  <si>
    <t>S2-UI-03</t>
  </si>
  <si>
    <t>Score and explanation display</t>
  </si>
  <si>
    <t>Approved factors visible</t>
  </si>
  <si>
    <t>S2-UI-04</t>
  </si>
  <si>
    <t>Career selection loads readiness</t>
  </si>
  <si>
    <t>Selected Career readiness appears</t>
  </si>
  <si>
    <t>S2-UI-05</t>
  </si>
  <si>
    <t>Readiness and recommendation scores are distinct</t>
  </si>
  <si>
    <t>Both metrics clearly separated</t>
  </si>
  <si>
    <t>S2-UI-06</t>
  </si>
  <si>
    <t>Missing and below Skills are distinguishable</t>
  </si>
  <si>
    <t>UI differentiates statuses</t>
  </si>
  <si>
    <t>S2-UI-07</t>
  </si>
  <si>
    <t>Insufficient-profile state is understandable</t>
  </si>
  <si>
    <t>Controlled empty guidance</t>
  </si>
  <si>
    <t>S2-UI-08</t>
  </si>
  <si>
    <t>Insufficient-evidence state is understandable</t>
  </si>
  <si>
    <t>Controlled evidence state</t>
  </si>
  <si>
    <t>S2-UI-09</t>
  </si>
  <si>
    <t>Loading and API error states are controlled</t>
  </si>
  <si>
    <t>No false data shown</t>
  </si>
  <si>
    <t>S2-UI-10</t>
  </si>
  <si>
    <t>Responsive and keyboard behaviour is acceptable</t>
  </si>
  <si>
    <t>Core flow remains usable</t>
  </si>
  <si>
    <t>S2-LEARN-01</t>
  </si>
  <si>
    <t>5.7</t>
  </si>
  <si>
    <t>FR-11, FR-12, NFR-08, NFR-09</t>
  </si>
  <si>
    <t>Learning Suggestions API</t>
  </si>
  <si>
    <t>Learning API accepts unresolved gaps</t>
  </si>
  <si>
    <t>WBS 5.7 merged</t>
  </si>
  <si>
    <t>Execute learning API scenario</t>
  </si>
  <si>
    <t>Structured suggestions returned</t>
  </si>
  <si>
    <t>S2-LEARN-02</t>
  </si>
  <si>
    <t>Missing Skills receive relevant suggestions</t>
  </si>
  <si>
    <t>Suggestions map to missing Skills</t>
  </si>
  <si>
    <t>S2-LEARN-03</t>
  </si>
  <si>
    <t>Below-requirement Skills receive relevant suggestions</t>
  </si>
  <si>
    <t>Suggestions map to partial gaps</t>
  </si>
  <si>
    <t>S2-LEARN-04</t>
  </si>
  <si>
    <t>Met requirements are not prioritised</t>
  </si>
  <si>
    <t>Met Skills excluded from unresolved priorities</t>
  </si>
  <si>
    <t>S2-LEARN-05</t>
  </si>
  <si>
    <t>Selected Career context is preserved</t>
  </si>
  <si>
    <t>Suggestions stay linked to selected Career</t>
  </si>
  <si>
    <t>S2-LEARN-06</t>
  </si>
  <si>
    <t>Empty or insufficient input is controlled</t>
  </si>
  <si>
    <t>Controlled empty or insufficient result</t>
  </si>
  <si>
    <t>S2-LEARN-07</t>
  </si>
  <si>
    <t>Invalid learning request is controlled</t>
  </si>
  <si>
    <t>Validation error returned</t>
  </si>
  <si>
    <t>S2-LEARN-08</t>
  </si>
  <si>
    <t>Repeated structured input is stable</t>
  </si>
  <si>
    <t>Stable result where applicable</t>
  </si>
  <si>
    <t>S2-ROAD-01</t>
  </si>
  <si>
    <t>5.8</t>
  </si>
  <si>
    <t>FR-12, NFR-01, NFR-02, NFR-10</t>
  </si>
  <si>
    <t>Learning Roadmap UI</t>
  </si>
  <si>
    <t>Roadmap loads from backend</t>
  </si>
  <si>
    <t>WBS 5.8 integrated</t>
  </si>
  <si>
    <t>Execute roadmap UI scenario</t>
  </si>
  <si>
    <t>Ordered roadmap renders</t>
  </si>
  <si>
    <t>S2-ROAD-02</t>
  </si>
  <si>
    <t>Roadmap order matches API</t>
  </si>
  <si>
    <t>Display order matches response</t>
  </si>
  <si>
    <t>S2-ROAD-03</t>
  </si>
  <si>
    <t>Roadmap Skill names match selected Career gaps</t>
  </si>
  <si>
    <t>Correct Skill names shown</t>
  </si>
  <si>
    <t>S2-ROAD-04</t>
  </si>
  <si>
    <t>Resources/actions map to correct Skill</t>
  </si>
  <si>
    <t>Correct gap mapping</t>
  </si>
  <si>
    <t>S2-ROAD-05</t>
  </si>
  <si>
    <t>Empty roadmap state is controlled</t>
  </si>
  <si>
    <t>No false roadmap data</t>
  </si>
  <si>
    <t>S2-ROAD-06</t>
  </si>
  <si>
    <t>Roadmap API-error state is controlled</t>
  </si>
  <si>
    <t>Controlled error displayed</t>
  </si>
  <si>
    <t>S2-ROAD-07</t>
  </si>
  <si>
    <t>Navigation preserves selected Career context</t>
  </si>
  <si>
    <t>Context remains consistent</t>
  </si>
  <si>
    <t>S2-E2E-01</t>
  </si>
  <si>
    <t>5.9</t>
  </si>
  <si>
    <t>FR-03, FR-04, FR-05, FR-06, FR-11, FR-12, NFR-05, NFR-06</t>
  </si>
  <si>
    <t>End-to-End</t>
  </si>
  <si>
    <t>Sprint 2 Integration</t>
  </si>
  <si>
    <t>Partial-match Student completes full Career Analysis</t>
  </si>
  <si>
    <t>All Sprint 2 components merged</t>
  </si>
  <si>
    <t>Run full Career Analysis flow</t>
  </si>
  <si>
    <t>Flow completes with linked data</t>
  </si>
  <si>
    <t>Manual/Integration</t>
  </si>
  <si>
    <t>S2-E2E-02</t>
  </si>
  <si>
    <t>Unrelated Skills produce controlled low/zero results</t>
  </si>
  <si>
    <t>No false matches</t>
  </si>
  <si>
    <t>S2-E2E-03</t>
  </si>
  <si>
    <t>Empty Student Skill profile receives controlled flow</t>
  </si>
  <si>
    <t>No misleading scored results</t>
  </si>
  <si>
    <t>S2-E2E-04</t>
  </si>
  <si>
    <t>Insufficient-readiness Career remains controlled</t>
  </si>
  <si>
    <t>insufficient_evidence propagates safely</t>
  </si>
  <si>
    <t>S2-E2E-05</t>
  </si>
  <si>
    <t>Second Student cannot access first Student derived results</t>
  </si>
  <si>
    <t>Authenticated ownership isolation holds</t>
  </si>
  <si>
    <t>S2-REG-01</t>
  </si>
  <si>
    <t>NFR-05, NFR-06, NFR-08, NFR-12</t>
  </si>
  <si>
    <t>Sprint 1 Regression</t>
  </si>
  <si>
    <t>Sprint 1 registration and login still work</t>
  </si>
  <si>
    <t>Sprint 2 integration branch available</t>
  </si>
  <si>
    <t>Run regression scenario</t>
  </si>
  <si>
    <t>Authentication remains functional</t>
  </si>
  <si>
    <t>S2-REG-02</t>
  </si>
  <si>
    <t>Student Profile load/update still work</t>
  </si>
  <si>
    <t>Profile flow remains functional</t>
  </si>
  <si>
    <t>S2-REG-03</t>
  </si>
  <si>
    <t>StudentSkill proficiency persists correctly</t>
  </si>
  <si>
    <t>Stored proficiency remains correct</t>
  </si>
  <si>
    <t>S2-REG-04</t>
  </si>
  <si>
    <t>Cross-student Student Profile isolation still holds</t>
  </si>
  <si>
    <t>No protected cross-user data exposed</t>
  </si>
  <si>
    <t>S2-REG-05</t>
  </si>
  <si>
    <t>PostgreSQL connectivity and migration history remain valid</t>
  </si>
  <si>
    <t>Connection succeeds and no migration drift</t>
  </si>
  <si>
    <t>S2-QUAL-01</t>
  </si>
  <si>
    <t>NFR-01, NFR-02, NFR-03, NFR-10, NFR-11, NFR-12</t>
  </si>
  <si>
    <t>Quality</t>
  </si>
  <si>
    <t>Quality and Exit</t>
  </si>
  <si>
    <t>Representative API response observed against 2-second target</t>
  </si>
  <si>
    <t>Relevant components available</t>
  </si>
  <si>
    <t>Execute quality check</t>
  </si>
  <si>
    <t>Response time recorded with environment context</t>
  </si>
  <si>
    <t>S2-QUAL-02</t>
  </si>
  <si>
    <t>Career Analysis is keyboard accessible</t>
  </si>
  <si>
    <t>Core controls keyboard usable</t>
  </si>
  <si>
    <t>S2-QUAL-03</t>
  </si>
  <si>
    <t>Layout works on common widths</t>
  </si>
  <si>
    <t>Desktop/tablet/mobile usable</t>
  </si>
  <si>
    <t>S2-QUAL-04</t>
  </si>
  <si>
    <t>Flow works in Chrome, Edge, Firefox</t>
  </si>
  <si>
    <t>Core flow consistent</t>
  </si>
  <si>
    <t>S2-QUAL-05</t>
  </si>
  <si>
    <t>Evidence package and defect references are complete</t>
  </si>
  <si>
    <t>Critical results traceable</t>
  </si>
  <si>
    <t>Sprint 2 Evidence Index</t>
  </si>
  <si>
    <t>Test ID(s)</t>
  </si>
  <si>
    <t>Evidence Type</t>
  </si>
  <si>
    <t>Description</t>
  </si>
  <si>
    <t>Location / Link</t>
  </si>
  <si>
    <t>Captured By</t>
  </si>
  <si>
    <t>Date</t>
  </si>
  <si>
    <t>S2-DATA-01 to S2-DATA-06</t>
  </si>
  <si>
    <t>Reference-data and Dataset 1.0 verification. Assign an evidence ID after saved evidence exists.</t>
  </si>
  <si>
    <t>Do not invent evidence IDs.</t>
  </si>
  <si>
    <t>S2-REC-01 to S2-REC-10</t>
  </si>
  <si>
    <t>WBS 5.3 recommendation scoring automated-test evidence. Assign an evidence ID after output is saved.</t>
  </si>
  <si>
    <t>Link to sanitised saved output or screenshot.</t>
  </si>
  <si>
    <t>S2-READ-01 to S2-READ-12</t>
  </si>
  <si>
    <t>WBS 5.5 readiness and Dataset validation evidence. Assign an evidence ID after output is saved.</t>
  </si>
  <si>
    <t>S2-API-*</t>
  </si>
  <si>
    <t>Reserve evidence rows after WBS 5.4 becomes executable.</t>
  </si>
  <si>
    <t>Blocked at current repository checkpoint.</t>
  </si>
  <si>
    <t>S2-UI-* / S2-ROAD-*</t>
  </si>
  <si>
    <t>Screenshot</t>
  </si>
  <si>
    <t>Reserve evidence rows for frontend, responsive, keyboard, and roadmap checks.</t>
  </si>
  <si>
    <t>S2-E2E-* / S2-REG-* / S2-QUAL-*</t>
  </si>
  <si>
    <t>Mixed</t>
  </si>
  <si>
    <t>Reserve evidence rows for integrated flow, regression, quality, compatibility, and exit checks.</t>
  </si>
  <si>
    <t>Capture only after execution.</t>
  </si>
  <si>
    <t>Reference-data validation returned 36 active Career records.</t>
  </si>
  <si>
    <t>S2-EV-004</t>
  </si>
  <si>
    <t>docs/testing/evidence/sprint-2/S2-EV-004-wbs-5.2-reference-data-validation-pass.png</t>
  </si>
  <si>
    <t>WBS 5.2 implementation is MD-owned. Jerald independently verified the reference-data dependency during Sprint 2 testing.</t>
  </si>
  <si>
    <t>Validation returned 2,873 canonical Skills and 9,959 CareerSkill relationships.</t>
  </si>
  <si>
    <t>WBS 5.2 implementation is MD-owned. Reference-data counts were verified against Dataset 1.0.</t>
  </si>
  <si>
    <t>Automated loader tests accepted approved numerical O*NET evidence and excluded ineligible evidence.</t>
  </si>
  <si>
    <t>S2-EV-001</t>
  </si>
  <si>
    <t>docs/testing/evidence/sprint-2/S2-EV-001B-wbs-5.3-test-execution.png; docs/testing/evidence/sprint-2/S2-EV-001C-wbs-5.3-test-summary-pass.png</t>
  </si>
  <si>
    <t>Verified through the WBS 5.3 database-loader tests in the 30-test recommendation suite.</t>
  </si>
  <si>
    <t>Readiness duplicate-protection tests passed; duplicate CareerSkill evidence did not increase readiness contribution.</t>
  </si>
  <si>
    <t>S2-EV-002</t>
  </si>
  <si>
    <t>docs/testing/evidence/sprint-2/S2-EV-002B-wbs-5.5-test-execution.png; docs/testing/evidence/sprint-2/S2-EV-002C-wbs-5.5-test-summary-pass.png</t>
  </si>
  <si>
    <t>Dataset validation also reported zero duplicate CareerSkill pairs and zero duplicate CareerSkillEvidence keys.</t>
  </si>
  <si>
    <t>Technology and ESCO evidence enriched explanations while numerical score and rank stayed unchanged.</t>
  </si>
  <si>
    <t>Evidence-role separation is covered by WBS 5.3 explanation tests.</t>
  </si>
  <si>
    <t>Dataset validation preserved identical database counts before and after execution; dry-run import also rolled back all changes.</t>
  </si>
  <si>
    <t>S2-EV-003 / S2-EV-005</t>
  </si>
  <si>
    <t>docs/testing/evidence/sprint-2/S2-EV-003-wbs-5.5-dataset-readiness-validation-pass.png; docs/testing/evidence/sprint-2/S2-EV-005A-wbs-5.2-dry-run-rollback-pass.png</t>
  </si>
  <si>
    <t>Read-only readiness validation reported database_counts_unchanged=True and student_records_created=0.</t>
  </si>
  <si>
    <t>Second Dataset 1.0 import created 0 Careers, 0 Skills, 0 CareerSkills and 0 CareerSkillEvidence rows; existing totals stayed unchanged and Step 8 passed.</t>
  </si>
  <si>
    <t>S2-EV-005</t>
  </si>
  <si>
    <t>docs/testing/evidence/sprint-2/S2-EV-005A-wbs-5.2-dry-run-rollback-pass.png; docs/testing/evidence/sprint-2/S2-EV-005B-wbs-5.2-repeat-import-pass.png</t>
  </si>
  <si>
    <t>WBS 5.2 implementation is MD-owned. Repeat-import/idempotency verification was already executed by Jerald.</t>
  </si>
  <si>
    <t>Not executed. This teammate/shared verification remains outside Jerald's remaining test scope unless the team reruns it.</t>
  </si>
  <si>
    <t>Automated test confirmed a full weighted Skill match returns 100.00.</t>
  </si>
  <si>
    <t>WBS 5.3 automated suite completed 30/30 tests successfully.</t>
  </si>
  <si>
    <t>Automated test confirmed partial weighted coverage uses Importance and returns the approved weighted ratio.</t>
  </si>
  <si>
    <t>Automated test confirmed documented Skills with no Career matches return a scored 0.00 result.</t>
  </si>
  <si>
    <t>Automated test confirmed an empty Student Skill profile returns insufficient_profile with no numerical score.</t>
  </si>
  <si>
    <t>Automated test confirmed a Career without numerical evidence returns insufficient_evidence with no rank or score.</t>
  </si>
  <si>
    <t>Automated test confirmed duplicate Student Skill IDs do not increase matched weight.</t>
  </si>
  <si>
    <t>Automated test confirmed duplicate CareerSkill evidence cannot contribute weight twice.</t>
  </si>
  <si>
    <t>Automated orchestration/ranking tests confirmed unchanged inputs produce deterministic recommendation order.</t>
  </si>
  <si>
    <t>Tie tests confirmed equal scores resolve by Career name, then Career ID, using the approved stable rule.</t>
  </si>
  <si>
    <t>Explanation tests confirmed O*NET technology and ESCO evidence enrich output without changing score or rank.</t>
  </si>
  <si>
    <t>Authenticated GET /api/v1/recommendations/ returned HTTP 200 with a structured recommendations collection.</t>
  </si>
  <si>
    <t>S2-EV-006</t>
  </si>
  <si>
    <t>docs/testing/evidence/sprint-2/S2-EV-006B-careers-regression-api-execution.png; docs/testing/evidence/sprint-2/S2-EV-006D-careers-regression-summary-pass.png</t>
  </si>
  <si>
    <t>WBS 5.4 implementation is MD-owned. Jerald verified it after merge as part of the 84-test careers regression suite.</t>
  </si>
  <si>
    <t>Unauthenticated request returned HTTP 401 with the approved not_authenticated error envelope.</t>
  </si>
  <si>
    <t>API ignored client-supplied user/profile identifiers and called the recommendation service with the authenticated Student Profile only.</t>
  </si>
  <si>
    <t>Serialized recommendation order matched the service ranking order.</t>
  </si>
  <si>
    <t>Scored results preserved recommendation_score and rank; Decimal values were serialized as exact strings.</t>
  </si>
  <si>
    <t>Matched/missing competencies, matched technologies, and ESCO essential/optional explanation fields serialized successfully.</t>
  </si>
  <si>
    <t>insufficient_profile results preserved null recommendation_score and null rank in a controlled response.</t>
  </si>
  <si>
    <t>Automated API error-envelope checks passed for unauthenticated and missing-profile error paths, using code, message and details fields.</t>
  </si>
  <si>
    <t>WBS 5.4 implementation is MD-owned. The executed suite verifies the approved error envelope on unauthenticated and missing-profile paths; no separate malformed-query scenario was captured.</t>
  </si>
  <si>
    <t>Two unchanged requests using the same service output returned identical response data.</t>
  </si>
  <si>
    <t>Cross-student query parameters did not switch profile context; only the authenticated Student Profile was used.</t>
  </si>
  <si>
    <t>Foundational proficiency mapped to 25.</t>
  </si>
  <si>
    <t>WBS 5.5 automated suite completed 39/39 tests successfully.</t>
  </si>
  <si>
    <t>Developing proficiency mapped to 50.</t>
  </si>
  <si>
    <t>Proficient proficiency mapped to 75.</t>
  </si>
  <si>
    <t>Advanced proficiency mapped to 100.</t>
  </si>
  <si>
    <t>Missing Skill mapped to 0 and produced a missing gap.</t>
  </si>
  <si>
    <t>Below-requirement proficiency produced partial attainment and below-requirement status.</t>
  </si>
  <si>
    <t>Meeting or exceeding the requirement produced full attainment capped at 1.00.</t>
  </si>
  <si>
    <t>Career Readiness calculation used O*NET Importance weighting and matched the approved weighted formula.</t>
  </si>
  <si>
    <t>Empty Student profile returned insufficient_profile with no readiness score.</t>
  </si>
  <si>
    <t>Career without eligible readiness evidence returned insufficient_evidence with no readiness score.</t>
  </si>
  <si>
    <t>Skill Gap ordering remained deterministic for unchanged inputs.</t>
  </si>
  <si>
    <t>Dataset 1.0 returned 1,849 readiness requirements across 35 Careers with evidence; service score 17.43 matched manual score 17.43, repeated result was identical, database counts were unchanged, and 0 StudentSkill rows were created.</t>
  </si>
  <si>
    <t>S2-EV-003</t>
  </si>
  <si>
    <t>docs/testing/evidence/sprint-2/S2-EV-003-wbs-5.5-dataset-readiness-validation-pass.png</t>
  </si>
  <si>
    <t>S2-READ-12 validation completed with PASS.</t>
  </si>
  <si>
    <t>WBS 5.6 implementation is not integrated into feature/sprint-2; only the joyee/figma-ui-design-v2 design branch is present.</t>
  </si>
  <si>
    <t>Keep Blocked until Joyee's WBS 5.6 implementation is integrated.</t>
  </si>
  <si>
    <t>WBS 5.7 exists on enamul/wbs-5.7-learning-roadmap-api but is not merged into feature/sprint-2.</t>
  </si>
  <si>
    <t>Keep Blocked until MD's WBS 5.7 branch is rebased/merged into the shared Sprint 2 branch.</t>
  </si>
  <si>
    <t>WBS 5.8 implementation is not integrated; WBS 5.7 is also not merged into feature/sprint-2.</t>
  </si>
  <si>
    <t>Keep Blocked until Joyee's WBS 5.8 and its WBS 5.7 backend dependency are integrated.</t>
  </si>
  <si>
    <t>Full Sprint 2 gate is not satisfied: WBS 5.6, WBS 5.7 and WBS 5.8 are not integrated.</t>
  </si>
  <si>
    <t>WBS 5.4 and 5.5 are present. End-to-end execution must wait for the remaining frontend/learning components.</t>
  </si>
  <si>
    <t>Full backend regression suite passed registration, login, JWT and authentication-route tests with no Sprint 1 authentication regression.</t>
  </si>
  <si>
    <t>S2-EV-007</t>
  </si>
  <si>
    <t>docs/testing/evidence/sprint-2/S2-EV-007A-full-backend-regression-start.png; docs/testing/evidence/sprint-2/S2-EV-007B-full-backend-auth-execution.png; docs/testing/evidence/sprint-2/S2-EV-007D-full-backend-profiles-careers-execution.png; docs/testing/evidence/sprint-2/S2-EV-007E-full-backend-regression-summary-pass.png</t>
  </si>
  <si>
    <t>Shared WBS 5.9 regression evidence already executed by Jerald; implementation ownership remains with the original WBS owners.</t>
  </si>
  <si>
    <t>Student Profile GET/PATCH and serialization regression tests passed within the full backend suite.</t>
  </si>
  <si>
    <t>StudentSkill model/API tests passed, including approved proficiency values, unique profile/Skill relationships and persistence behaviour.</t>
  </si>
  <si>
    <t>Profile ownership tests passed; authenticated users did not receive another Student's protected profile-derived data.</t>
  </si>
  <si>
    <t>The 185-test suite created test_gradnavi_db and applied migrations successfully, but a dedicated migration-drift check was not captured.</t>
  </si>
  <si>
    <t>docs/testing/evidence/sprint-2/S2-EV-007A-full-backend-regression-start.png; docs/testing/evidence/sprint-2/S2-EV-007E-full-backend-regression-summary-pass.png</t>
  </si>
  <si>
    <t>Supporting connectivity evidence exists, but keep Not Run because the full expected result includes migration drift verification.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</si>
</sst>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name val="Carlito"/>
    </font>
    <font>
      <b/>
      <sz val="16"/>
      <color rgb="FFFFFFFF"/>
      <name val="Carlito"/>
    </font>
    <font>
      <b/>
      <sz val="11"/>
      <color rgb="FFFFFFFF"/>
      <name val="Carlito"/>
    </font>
    <font>
      <b/>
      <sz val="11"/>
      <name val="Carlito"/>
    </font>
    <font>
      <b/>
      <sz val="12"/>
      <color rgb="FFFFFFFF"/>
      <name val="Carlito"/>
    </font>
    <font>
      <b/>
      <sz val="11"/>
      <color rgb="FF1F1F1F"/>
      <name val="Carlito"/>
    </font>
    <font>
      <b/>
      <sz val="14"/>
      <color rgb="FFFFFFFF"/>
      <name val="Carlito"/>
    </font>
    <font>
      <sz val="11"/>
      <name val="Carlito"/>
    </font>
  </fonts>
  <fills count="6"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E2F0D9"/>
      </patternFill>
    </fill>
    <fill>
      <patternFill patternType="solid">
        <fgColor rgb="FFFFF2CC"/>
      </patternFill>
    </fill>
  </fills>
  <borders count="17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2">
    <xf numFmtId="0" fontId="0" fillId="0" borderId="0"/>
    <xf numFmtId="0" fontId="7" fillId="0" borderId="16"/>
  </cellStyleXfs>
  <cellXfs count="47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 wrapText="1"/>
    </xf>
    <xf numFmtId="0" fontId="5" fillId="3" borderId="2" xfId="0" applyFont="1" applyFill="1" applyBorder="1" applyAlignment="1">
      <alignment horizontal="center" vertical="center" wrapText="1"/>
    </xf>
    <xf numFmtId="0" fontId="5" fillId="3" borderId="3" xfId="0" applyFont="1" applyFill="1" applyBorder="1" applyAlignment="1">
      <alignment horizontal="center" vertical="center" wrapText="1"/>
    </xf>
    <xf numFmtId="0" fontId="0" fillId="0" borderId="0" xfId="0" applyAlignment="1">
      <alignment vertical="center"/>
    </xf>
    <xf numFmtId="0" fontId="0" fillId="0" borderId="2" xfId="0" applyBorder="1" applyAlignment="1">
      <alignment vertical="center"/>
    </xf>
    <xf numFmtId="0" fontId="3" fillId="0" borderId="4" xfId="0" applyFont="1" applyBorder="1" applyAlignment="1">
      <alignment vertical="center"/>
    </xf>
    <xf numFmtId="0" fontId="0" fillId="0" borderId="5" xfId="0" applyBorder="1" applyAlignment="1">
      <alignment vertical="center"/>
    </xf>
    <xf numFmtId="0" fontId="3" fillId="0" borderId="5" xfId="0" applyFont="1" applyBorder="1" applyAlignment="1">
      <alignment vertical="center"/>
    </xf>
    <xf numFmtId="0" fontId="0" fillId="0" borderId="6" xfId="0" applyBorder="1" applyAlignment="1">
      <alignment vertical="center"/>
    </xf>
    <xf numFmtId="0" fontId="3" fillId="0" borderId="7" xfId="0" applyFont="1" applyBorder="1" applyAlignment="1">
      <alignment vertical="center"/>
    </xf>
    <xf numFmtId="0" fontId="0" fillId="0" borderId="8" xfId="0" applyBorder="1" applyAlignment="1">
      <alignment vertical="center"/>
    </xf>
    <xf numFmtId="0" fontId="0" fillId="0" borderId="9" xfId="0" applyBorder="1" applyAlignment="1">
      <alignment vertical="center"/>
    </xf>
    <xf numFmtId="0" fontId="0" fillId="0" borderId="4" xfId="0" applyBorder="1" applyAlignment="1">
      <alignment vertical="center" wrapText="1"/>
    </xf>
    <xf numFmtId="0" fontId="0" fillId="0" borderId="5" xfId="0" applyBorder="1" applyAlignment="1">
      <alignment vertical="center" wrapText="1"/>
    </xf>
    <xf numFmtId="0" fontId="0" fillId="5" borderId="5" xfId="0" applyFill="1" applyBorder="1" applyAlignment="1">
      <alignment vertical="center" wrapText="1"/>
    </xf>
    <xf numFmtId="0" fontId="0" fillId="0" borderId="6" xfId="0" applyBorder="1" applyAlignment="1">
      <alignment vertical="center" wrapText="1"/>
    </xf>
    <xf numFmtId="0" fontId="0" fillId="4" borderId="5" xfId="0" applyFill="1" applyBorder="1" applyAlignment="1">
      <alignment vertical="center" wrapText="1"/>
    </xf>
    <xf numFmtId="0" fontId="0" fillId="0" borderId="7" xfId="0" applyBorder="1" applyAlignment="1">
      <alignment vertical="center" wrapText="1"/>
    </xf>
    <xf numFmtId="0" fontId="0" fillId="0" borderId="8" xfId="0" applyBorder="1" applyAlignment="1">
      <alignment vertical="center" wrapText="1"/>
    </xf>
    <xf numFmtId="0" fontId="0" fillId="5" borderId="8" xfId="0" applyFill="1" applyBorder="1" applyAlignment="1">
      <alignment vertical="center" wrapText="1"/>
    </xf>
    <xf numFmtId="0" fontId="0" fillId="0" borderId="9" xfId="0" applyBorder="1" applyAlignment="1">
      <alignment vertical="center" wrapText="1"/>
    </xf>
    <xf numFmtId="0" fontId="0" fillId="0" borderId="0" xfId="0" applyAlignment="1">
      <alignment vertical="center" wrapText="1"/>
    </xf>
    <xf numFmtId="0" fontId="2" fillId="2" borderId="10" xfId="0" applyFont="1" applyFill="1" applyBorder="1" applyAlignment="1">
      <alignment horizontal="center" vertical="center" wrapText="1"/>
    </xf>
    <xf numFmtId="0" fontId="2" fillId="2" borderId="11" xfId="0" applyFont="1" applyFill="1" applyBorder="1" applyAlignment="1">
      <alignment horizontal="center" vertical="center" wrapText="1"/>
    </xf>
    <xf numFmtId="0" fontId="0" fillId="0" borderId="12" xfId="0" applyBorder="1" applyAlignment="1">
      <alignment vertical="top" wrapText="1"/>
    </xf>
    <xf numFmtId="0" fontId="0" fillId="0" borderId="13" xfId="0" applyBorder="1" applyAlignment="1">
      <alignment vertical="top" wrapText="1"/>
    </xf>
    <xf numFmtId="0" fontId="0" fillId="0" borderId="14" xfId="0" applyBorder="1" applyAlignment="1">
      <alignment vertical="top" wrapText="1"/>
    </xf>
    <xf numFmtId="0" fontId="0" fillId="0" borderId="15" xfId="0" applyBorder="1" applyAlignment="1">
      <alignment vertical="top" wrapText="1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0" fontId="0" fillId="0" borderId="4" xfId="0" applyBorder="1" applyAlignment="1">
      <alignment vertical="top" wrapText="1"/>
    </xf>
    <xf numFmtId="0" fontId="0" fillId="0" borderId="5" xfId="0" applyBorder="1" applyAlignment="1">
      <alignment vertical="top" wrapText="1"/>
    </xf>
    <xf numFmtId="0" fontId="0" fillId="0" borderId="6" xfId="0" applyBorder="1" applyAlignment="1">
      <alignment vertical="top" wrapText="1"/>
    </xf>
    <xf numFmtId="0" fontId="0" fillId="0" borderId="7" xfId="0" applyBorder="1" applyAlignment="1">
      <alignment vertical="top" wrapText="1"/>
    </xf>
    <xf numFmtId="0" fontId="0" fillId="0" borderId="8" xfId="0" applyBorder="1" applyAlignment="1">
      <alignment vertical="top" wrapText="1"/>
    </xf>
    <xf numFmtId="0" fontId="0" fillId="0" borderId="9" xfId="0" applyBorder="1" applyAlignment="1">
      <alignment vertical="top" wrapText="1"/>
    </xf>
    <xf numFmtId="0" fontId="1" fillId="2" borderId="0" xfId="0" applyFont="1" applyFill="1" applyAlignment="1">
      <alignment horizontal="center" vertical="center"/>
    </xf>
    <xf numFmtId="0" fontId="4" fillId="2" borderId="0" xfId="0" applyFont="1" applyFill="1" applyAlignment="1">
      <alignment horizontal="left" vertical="center"/>
    </xf>
    <xf numFmtId="0" fontId="5" fillId="3" borderId="0" xfId="0" applyFont="1" applyFill="1" applyAlignment="1">
      <alignment vertical="center"/>
    </xf>
    <xf numFmtId="0" fontId="6" fillId="2" borderId="0" xfId="0" applyFont="1" applyFill="1" applyAlignment="1">
      <alignment horizontal="center"/>
    </xf>
    <xf numFmtId="0" fontId="2" fillId="2" borderId="16" xfId="1" applyFont="1" applyFill="1" applyBorder="1" applyAlignment="1">
      <alignment horizontal="center" vertical="center" wrapText="1"/>
    </xf>
    <xf numFmtId="0" fontId="7" fillId="0" borderId="16" xfId="1" applyBorder="1" applyAlignment="1">
      <alignment vertical="top" wrapText="1"/>
    </xf>
  </cellXfs>
  <cellStyles count="2">
    <cellStyle name="Normal" xfId="0" builtinId="0"/>
    <cellStyle name="Normal 2" xfId="1" xr:uid="{03CE8168-D44C-42ED-BFF2-EB81F1D2AF07}"/>
  </cellStyles>
  <dxfs count="5">
    <dxf>
      <fill>
        <patternFill patternType="solid">
          <bgColor rgb="FFE7E6E6"/>
        </patternFill>
      </fill>
    </dxf>
    <dxf>
      <font>
        <b/>
      </font>
      <fill>
        <patternFill patternType="solid">
          <bgColor rgb="FFD9EAF7"/>
        </patternFill>
      </fill>
    </dxf>
    <dxf>
      <font>
        <b/>
      </font>
      <fill>
        <patternFill patternType="solid">
          <bgColor rgb="FFFFF2CC"/>
        </patternFill>
      </fill>
    </dxf>
    <dxf>
      <font>
        <b/>
      </font>
      <fill>
        <patternFill patternType="solid">
          <bgColor rgb="FFFCE4D6"/>
        </patternFill>
      </fill>
    </dxf>
    <dxf>
      <font>
        <b/>
      </font>
      <fill>
        <patternFill patternType="solid">
          <bgColor rgb="FFE2F0D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Sprint2TestCases" displayName="Sprint2TestCases" ref="A1:T81" totalsRowShown="0">
  <tableColumns count="20">
    <tableColumn id="1" xr3:uid="{00000000-0010-0000-0000-000001000000}" name="Test ID"/>
    <tableColumn id="2" xr3:uid="{00000000-0010-0000-0000-000002000000}" name="WBS"/>
    <tableColumn id="3" xr3:uid="{00000000-0010-0000-0000-000003000000}" name="Requirement"/>
    <tableColumn id="4" xr3:uid="{00000000-0010-0000-0000-000004000000}" name="Test Type"/>
    <tableColumn id="5" xr3:uid="{00000000-0010-0000-0000-000005000000}" name="Priority"/>
    <tableColumn id="6" xr3:uid="{00000000-0010-0000-0000-000006000000}" name="Area"/>
    <tableColumn id="7" xr3:uid="{00000000-0010-0000-0000-000007000000}" name="Test Case"/>
    <tableColumn id="8" xr3:uid="{00000000-0010-0000-0000-000008000000}" name="Preconditions"/>
    <tableColumn id="9" xr3:uid="{00000000-0010-0000-0000-000009000000}" name="Steps"/>
    <tableColumn id="10" xr3:uid="{00000000-0010-0000-0000-00000A000000}" name="Expected Result"/>
    <tableColumn id="11" xr3:uid="{00000000-0010-0000-0000-00000B000000}" name="Test Owner"/>
    <tableColumn id="12" xr3:uid="{00000000-0010-0000-0000-00000C000000}" name="Status"/>
    <tableColumn id="13" xr3:uid="{00000000-0010-0000-0000-00000D000000}" name="Actual Result"/>
    <tableColumn id="14" xr3:uid="{00000000-0010-0000-0000-00000E000000}" name="Tester"/>
    <tableColumn id="15" xr3:uid="{00000000-0010-0000-0000-00000F000000}" name="Evidence ID"/>
    <tableColumn id="16" xr3:uid="{00000000-0010-0000-0000-000010000000}" name="Evidence Reference"/>
    <tableColumn id="17" xr3:uid="{00000000-0010-0000-0000-000011000000}" name="Blocked Dependency"/>
    <tableColumn id="18" xr3:uid="{00000000-0010-0000-0000-000012000000}" name="Defect Reference"/>
    <tableColumn id="19" xr3:uid="{00000000-0010-0000-0000-000013000000}" name="Automation"/>
    <tableColumn id="20" xr3:uid="{00000000-0010-0000-0000-000014000000}" name="Not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4"/>
  <sheetViews>
    <sheetView workbookViewId="0">
      <selection sqref="A1:H1"/>
    </sheetView>
  </sheetViews>
  <sheetFormatPr defaultRowHeight="13.8"/>
  <cols>
    <col min="1" max="1" width="34" customWidth="1"/>
    <col min="2" max="2" width="14" customWidth="1"/>
    <col min="3" max="3" width="45" customWidth="1"/>
    <col min="4" max="4" width="24" customWidth="1"/>
    <col min="5" max="5" width="12" customWidth="1"/>
    <col min="6" max="6" width="4" customWidth="1"/>
    <col min="7" max="7" width="18" customWidth="1"/>
    <col min="8" max="8" width="12" customWidth="1"/>
  </cols>
  <sheetData>
    <row r="1" spans="1:8" ht="22.35" customHeight="1">
      <c r="A1" s="41" t="s">
        <v>0</v>
      </c>
      <c r="B1" s="41"/>
      <c r="C1" s="41"/>
      <c r="D1" s="41"/>
      <c r="E1" s="41"/>
      <c r="F1" s="41"/>
      <c r="G1" s="41"/>
      <c r="H1" s="41"/>
    </row>
    <row r="2" spans="1:8">
      <c r="A2" s="7"/>
      <c r="B2" s="7"/>
      <c r="C2" s="7"/>
      <c r="D2" s="7"/>
      <c r="E2" s="7"/>
      <c r="F2" s="7"/>
      <c r="G2" s="7"/>
      <c r="H2" s="7"/>
    </row>
    <row r="3" spans="1:8">
      <c r="A3" s="1" t="s">
        <v>1</v>
      </c>
      <c r="B3" s="2" t="s">
        <v>2</v>
      </c>
      <c r="C3" s="8"/>
      <c r="D3" s="2" t="s">
        <v>3</v>
      </c>
      <c r="E3" s="2" t="s">
        <v>2</v>
      </c>
      <c r="F3" s="8"/>
      <c r="G3" s="2" t="s">
        <v>4</v>
      </c>
      <c r="H3" s="3" t="s">
        <v>2</v>
      </c>
    </row>
    <row r="4" spans="1:8">
      <c r="A4" s="9" t="s">
        <v>5</v>
      </c>
      <c r="B4" s="10">
        <f>COUNTA('Test Cases'!A2:A81)</f>
        <v>80</v>
      </c>
      <c r="C4" s="10"/>
      <c r="D4" s="11" t="s">
        <v>6</v>
      </c>
      <c r="E4" s="10">
        <f>COUNTIF('Test Cases'!E2:E81,"Critical")</f>
        <v>29</v>
      </c>
      <c r="F4" s="10"/>
      <c r="G4" s="11" t="s">
        <v>7</v>
      </c>
      <c r="H4" s="12">
        <f>COUNTIF('Test Cases'!K2:K81,"Jerald")</f>
        <v>28</v>
      </c>
    </row>
    <row r="5" spans="1:8">
      <c r="A5" s="9" t="s">
        <v>8</v>
      </c>
      <c r="B5" s="10">
        <f>COUNTIF('Test Cases'!L2:L81,"Pass")</f>
        <v>43</v>
      </c>
      <c r="C5" s="10"/>
      <c r="D5" s="11" t="s">
        <v>9</v>
      </c>
      <c r="E5" s="10">
        <f>COUNTIF('Test Cases'!E2:E81,"High")</f>
        <v>40</v>
      </c>
      <c r="F5" s="10"/>
      <c r="G5" s="11" t="s">
        <v>10</v>
      </c>
      <c r="H5" s="12">
        <f>COUNTIF('Test Cases'!K2:K81,"MD")</f>
        <v>18</v>
      </c>
    </row>
    <row r="6" spans="1:8">
      <c r="A6" s="9" t="s">
        <v>11</v>
      </c>
      <c r="B6" s="10">
        <f>COUNTIF('Test Cases'!L2:L81,"Fail")</f>
        <v>0</v>
      </c>
      <c r="C6" s="10"/>
      <c r="D6" s="11" t="s">
        <v>12</v>
      </c>
      <c r="E6" s="10">
        <f>COUNTIF('Test Cases'!E2:E81,"Medium")</f>
        <v>11</v>
      </c>
      <c r="F6" s="10"/>
      <c r="G6" s="11" t="s">
        <v>13</v>
      </c>
      <c r="H6" s="12">
        <f>COUNTIF('Test Cases'!K2:K81,"Joyee")</f>
        <v>16</v>
      </c>
    </row>
    <row r="7" spans="1:8">
      <c r="A7" s="9" t="s">
        <v>14</v>
      </c>
      <c r="B7" s="10">
        <f>COUNTIF('Test Cases'!L2:L81,"Blocked")</f>
        <v>30</v>
      </c>
      <c r="C7" s="10"/>
      <c r="D7" s="11" t="s">
        <v>15</v>
      </c>
      <c r="E7" s="10">
        <f>COUNTIF('Test Cases'!E2:E81,"Low")</f>
        <v>0</v>
      </c>
      <c r="F7" s="10"/>
      <c r="G7" s="11" t="s">
        <v>16</v>
      </c>
      <c r="H7" s="12">
        <f>COUNTIF('Test Cases'!K2:K81,"All Members")</f>
        <v>16</v>
      </c>
    </row>
    <row r="8" spans="1:8">
      <c r="A8" s="9" t="s">
        <v>17</v>
      </c>
      <c r="B8" s="10">
        <f>COUNTIF('Test Cases'!L2:L81,"Retest")</f>
        <v>0</v>
      </c>
      <c r="C8" s="10"/>
      <c r="D8" s="10"/>
      <c r="E8" s="10"/>
      <c r="F8" s="10"/>
      <c r="G8" s="11" t="s">
        <v>18</v>
      </c>
      <c r="H8" s="12">
        <f>COUNTIF('Test Cases'!K2:K81,"Shared")</f>
        <v>2</v>
      </c>
    </row>
    <row r="9" spans="1:8">
      <c r="A9" s="13" t="s">
        <v>19</v>
      </c>
      <c r="B9" s="14">
        <f>COUNTIF('Test Cases'!L2:L81,"Not Run")</f>
        <v>7</v>
      </c>
      <c r="C9" s="14"/>
      <c r="D9" s="14"/>
      <c r="E9" s="14"/>
      <c r="F9" s="14"/>
      <c r="G9" s="14"/>
      <c r="H9" s="15"/>
    </row>
    <row r="10" spans="1:8">
      <c r="A10" s="7"/>
      <c r="B10" s="7"/>
      <c r="C10" s="7"/>
      <c r="D10" s="7"/>
      <c r="E10" s="7"/>
      <c r="F10" s="7"/>
      <c r="G10" s="7"/>
      <c r="H10" s="7"/>
    </row>
    <row r="11" spans="1:8" ht="15.6">
      <c r="A11" s="42" t="s">
        <v>20</v>
      </c>
      <c r="B11" s="42"/>
      <c r="C11" s="42"/>
      <c r="D11" s="42"/>
      <c r="E11" s="42"/>
      <c r="F11" s="42"/>
      <c r="G11" s="42"/>
      <c r="H11" s="42"/>
    </row>
    <row r="12" spans="1:8">
      <c r="A12" s="4" t="s">
        <v>21</v>
      </c>
      <c r="B12" s="5" t="s">
        <v>4</v>
      </c>
      <c r="C12" s="5" t="s">
        <v>22</v>
      </c>
      <c r="D12" s="6" t="s">
        <v>23</v>
      </c>
      <c r="E12" s="7"/>
      <c r="F12" s="7"/>
      <c r="G12" s="7"/>
      <c r="H12" s="7"/>
    </row>
    <row r="13" spans="1:8" ht="27.6">
      <c r="A13" s="16" t="s">
        <v>24</v>
      </c>
      <c r="B13" s="17" t="s">
        <v>10</v>
      </c>
      <c r="C13" s="18" t="s">
        <v>25</v>
      </c>
      <c r="D13" s="19" t="s">
        <v>26</v>
      </c>
      <c r="E13" s="7"/>
      <c r="F13" s="7"/>
      <c r="G13" s="7"/>
      <c r="H13" s="7"/>
    </row>
    <row r="14" spans="1:8" ht="27.6">
      <c r="A14" s="16" t="s">
        <v>27</v>
      </c>
      <c r="B14" s="17" t="s">
        <v>7</v>
      </c>
      <c r="C14" s="20" t="s">
        <v>28</v>
      </c>
      <c r="D14" s="19" t="s">
        <v>26</v>
      </c>
      <c r="E14" s="7"/>
      <c r="F14" s="7"/>
      <c r="G14" s="7"/>
      <c r="H14" s="7"/>
    </row>
    <row r="15" spans="1:8" ht="27.6">
      <c r="A15" s="16" t="s">
        <v>29</v>
      </c>
      <c r="B15" s="17" t="s">
        <v>10</v>
      </c>
      <c r="C15" s="18" t="s">
        <v>30</v>
      </c>
      <c r="D15" s="19" t="s">
        <v>26</v>
      </c>
      <c r="E15" s="7"/>
      <c r="F15" s="7"/>
      <c r="G15" s="7"/>
      <c r="H15" s="7"/>
    </row>
    <row r="16" spans="1:8" ht="27.6">
      <c r="A16" s="16" t="s">
        <v>31</v>
      </c>
      <c r="B16" s="17" t="s">
        <v>13</v>
      </c>
      <c r="C16" s="18" t="s">
        <v>30</v>
      </c>
      <c r="D16" s="19" t="s">
        <v>26</v>
      </c>
      <c r="E16" s="7"/>
      <c r="F16" s="7"/>
      <c r="G16" s="7"/>
      <c r="H16" s="7"/>
    </row>
    <row r="17" spans="1:8" ht="27.6">
      <c r="A17" s="21" t="s">
        <v>32</v>
      </c>
      <c r="B17" s="22" t="s">
        <v>13</v>
      </c>
      <c r="C17" s="23" t="s">
        <v>33</v>
      </c>
      <c r="D17" s="24" t="s">
        <v>34</v>
      </c>
      <c r="E17" s="7"/>
      <c r="F17" s="7"/>
      <c r="G17" s="7"/>
      <c r="H17" s="7"/>
    </row>
    <row r="18" spans="1:8">
      <c r="A18" s="7"/>
      <c r="B18" s="7"/>
      <c r="C18" s="7"/>
      <c r="D18" s="7"/>
      <c r="E18" s="7"/>
      <c r="F18" s="7"/>
      <c r="G18" s="7"/>
      <c r="H18" s="7"/>
    </row>
    <row r="19" spans="1:8">
      <c r="A19" s="43" t="s">
        <v>35</v>
      </c>
      <c r="B19" s="43"/>
      <c r="C19" s="43"/>
      <c r="D19" s="43"/>
      <c r="E19" s="43"/>
      <c r="F19" s="43"/>
      <c r="G19" s="43"/>
      <c r="H19" s="43"/>
    </row>
    <row r="20" spans="1:8" ht="55.2">
      <c r="A20" s="25" t="s">
        <v>36</v>
      </c>
      <c r="B20" s="25" t="s">
        <v>37</v>
      </c>
      <c r="C20" s="25"/>
      <c r="D20" s="25"/>
      <c r="E20" s="25"/>
      <c r="F20" s="25"/>
      <c r="G20" s="25"/>
      <c r="H20" s="25"/>
    </row>
    <row r="21" spans="1:8" ht="69">
      <c r="A21" s="25" t="s">
        <v>38</v>
      </c>
      <c r="B21" s="25" t="s">
        <v>39</v>
      </c>
      <c r="C21" s="25"/>
      <c r="D21" s="25"/>
      <c r="E21" s="25"/>
      <c r="F21" s="25"/>
      <c r="G21" s="25"/>
      <c r="H21" s="25"/>
    </row>
    <row r="22" spans="1:8" ht="55.2">
      <c r="A22" s="25" t="s">
        <v>40</v>
      </c>
      <c r="B22" s="25" t="s">
        <v>41</v>
      </c>
      <c r="C22" s="25"/>
      <c r="D22" s="25"/>
      <c r="E22" s="25"/>
      <c r="F22" s="25"/>
      <c r="G22" s="25"/>
      <c r="H22" s="25"/>
    </row>
    <row r="23" spans="1:8" ht="82.8">
      <c r="A23" s="25" t="s">
        <v>42</v>
      </c>
      <c r="B23" s="25" t="s">
        <v>43</v>
      </c>
      <c r="C23" s="25"/>
      <c r="D23" s="25"/>
      <c r="E23" s="25"/>
      <c r="F23" s="25"/>
      <c r="G23" s="25"/>
      <c r="H23" s="25"/>
    </row>
    <row r="24" spans="1:8" ht="69">
      <c r="A24" s="25" t="s">
        <v>44</v>
      </c>
      <c r="B24" s="25" t="s">
        <v>45</v>
      </c>
      <c r="C24" s="25"/>
      <c r="D24" s="25"/>
      <c r="E24" s="25"/>
      <c r="F24" s="25"/>
      <c r="G24" s="25"/>
      <c r="H24" s="25"/>
    </row>
  </sheetData>
  <mergeCells count="3">
    <mergeCell ref="A1:H1"/>
    <mergeCell ref="A11:H11"/>
    <mergeCell ref="A19:H19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81"/>
  <sheetViews>
    <sheetView tabSelected="1" topLeftCell="M18" workbookViewId="0">
      <selection activeCell="Q20" sqref="Q20"/>
    </sheetView>
  </sheetViews>
  <sheetFormatPr defaultRowHeight="13.8"/>
  <cols>
    <col min="1" max="1" width="16" customWidth="1"/>
    <col min="2" max="2" width="8" customWidth="1"/>
    <col min="3" max="3" width="28" customWidth="1"/>
    <col min="4" max="4" width="16" customWidth="1"/>
    <col min="5" max="5" width="11" customWidth="1"/>
    <col min="6" max="6" width="28" customWidth="1"/>
    <col min="7" max="7" width="42" customWidth="1"/>
    <col min="8" max="8" width="34" customWidth="1"/>
    <col min="9" max="9" width="30" customWidth="1"/>
    <col min="10" max="10" width="38" customWidth="1"/>
    <col min="11" max="11" width="14" customWidth="1"/>
    <col min="12" max="12" width="12" customWidth="1"/>
    <col min="13" max="13" width="44" customWidth="1"/>
    <col min="14" max="15" width="14" customWidth="1"/>
    <col min="16" max="16" width="28" customWidth="1"/>
    <col min="17" max="17" width="38" customWidth="1"/>
    <col min="18" max="18" width="20" customWidth="1"/>
    <col min="19" max="19" width="18" customWidth="1"/>
    <col min="20" max="20" width="32" customWidth="1"/>
  </cols>
  <sheetData>
    <row r="1" spans="1:20" ht="28.8" customHeight="1">
      <c r="A1" s="26" t="s">
        <v>46</v>
      </c>
      <c r="B1" s="27" t="s">
        <v>36</v>
      </c>
      <c r="C1" s="27" t="s">
        <v>47</v>
      </c>
      <c r="D1" s="27" t="s">
        <v>48</v>
      </c>
      <c r="E1" s="27" t="s">
        <v>3</v>
      </c>
      <c r="F1" s="27" t="s">
        <v>49</v>
      </c>
      <c r="G1" s="27" t="s">
        <v>50</v>
      </c>
      <c r="H1" s="27" t="s">
        <v>51</v>
      </c>
      <c r="I1" s="27" t="s">
        <v>52</v>
      </c>
      <c r="J1" s="27" t="s">
        <v>53</v>
      </c>
      <c r="K1" s="45" t="s">
        <v>54</v>
      </c>
      <c r="L1" s="45" t="s">
        <v>55</v>
      </c>
      <c r="M1" s="45" t="s">
        <v>56</v>
      </c>
      <c r="N1" s="45" t="s">
        <v>57</v>
      </c>
      <c r="O1" s="45" t="s">
        <v>58</v>
      </c>
      <c r="P1" s="45" t="s">
        <v>59</v>
      </c>
      <c r="Q1" s="45" t="s">
        <v>60</v>
      </c>
      <c r="R1" s="45" t="s">
        <v>61</v>
      </c>
      <c r="S1" s="45" t="s">
        <v>62</v>
      </c>
      <c r="T1" s="45" t="s">
        <v>63</v>
      </c>
    </row>
    <row r="2" spans="1:20" ht="55.2">
      <c r="A2" s="28" t="s">
        <v>64</v>
      </c>
      <c r="B2" s="29" t="s">
        <v>65</v>
      </c>
      <c r="C2" s="29" t="s">
        <v>66</v>
      </c>
      <c r="D2" s="29" t="s">
        <v>67</v>
      </c>
      <c r="E2" s="29" t="s">
        <v>6</v>
      </c>
      <c r="F2" s="29" t="s">
        <v>68</v>
      </c>
      <c r="G2" s="29" t="s">
        <v>69</v>
      </c>
      <c r="H2" s="29" t="s">
        <v>70</v>
      </c>
      <c r="I2" s="29" t="s">
        <v>71</v>
      </c>
      <c r="J2" s="29" t="s">
        <v>72</v>
      </c>
      <c r="K2" s="46" t="s">
        <v>7</v>
      </c>
      <c r="L2" s="46" t="s">
        <v>8</v>
      </c>
      <c r="M2" s="46" t="s">
        <v>407</v>
      </c>
      <c r="N2" s="46" t="s">
        <v>7</v>
      </c>
      <c r="O2" s="46" t="s">
        <v>408</v>
      </c>
      <c r="P2" s="46" t="s">
        <v>409</v>
      </c>
      <c r="Q2" s="46"/>
      <c r="R2" s="46"/>
      <c r="S2" s="46" t="s">
        <v>73</v>
      </c>
      <c r="T2" s="46" t="s">
        <v>410</v>
      </c>
    </row>
    <row r="3" spans="1:20" ht="41.4">
      <c r="A3" s="28" t="s">
        <v>74</v>
      </c>
      <c r="B3" s="29" t="s">
        <v>65</v>
      </c>
      <c r="C3" s="29" t="s">
        <v>66</v>
      </c>
      <c r="D3" s="29" t="s">
        <v>67</v>
      </c>
      <c r="E3" s="29" t="s">
        <v>6</v>
      </c>
      <c r="F3" s="29" t="s">
        <v>68</v>
      </c>
      <c r="G3" s="29" t="s">
        <v>75</v>
      </c>
      <c r="H3" s="29" t="s">
        <v>70</v>
      </c>
      <c r="I3" s="29" t="s">
        <v>76</v>
      </c>
      <c r="J3" s="29" t="s">
        <v>77</v>
      </c>
      <c r="K3" s="46" t="s">
        <v>7</v>
      </c>
      <c r="L3" s="46" t="s">
        <v>8</v>
      </c>
      <c r="M3" s="46" t="s">
        <v>411</v>
      </c>
      <c r="N3" s="46" t="s">
        <v>7</v>
      </c>
      <c r="O3" s="46" t="s">
        <v>408</v>
      </c>
      <c r="P3" s="46" t="s">
        <v>409</v>
      </c>
      <c r="Q3" s="46"/>
      <c r="R3" s="46"/>
      <c r="S3" s="46" t="s">
        <v>73</v>
      </c>
      <c r="T3" s="46" t="s">
        <v>412</v>
      </c>
    </row>
    <row r="4" spans="1:20" ht="82.8">
      <c r="A4" s="28" t="s">
        <v>78</v>
      </c>
      <c r="B4" s="29" t="s">
        <v>65</v>
      </c>
      <c r="C4" s="29" t="s">
        <v>66</v>
      </c>
      <c r="D4" s="29" t="s">
        <v>67</v>
      </c>
      <c r="E4" s="29" t="s">
        <v>9</v>
      </c>
      <c r="F4" s="29" t="s">
        <v>68</v>
      </c>
      <c r="G4" s="29" t="s">
        <v>79</v>
      </c>
      <c r="H4" s="29" t="s">
        <v>80</v>
      </c>
      <c r="I4" s="29" t="s">
        <v>81</v>
      </c>
      <c r="J4" s="29" t="s">
        <v>82</v>
      </c>
      <c r="K4" s="46" t="s">
        <v>7</v>
      </c>
      <c r="L4" s="46" t="s">
        <v>8</v>
      </c>
      <c r="M4" s="46" t="s">
        <v>413</v>
      </c>
      <c r="N4" s="46" t="s">
        <v>7</v>
      </c>
      <c r="O4" s="46" t="s">
        <v>414</v>
      </c>
      <c r="P4" s="46" t="s">
        <v>415</v>
      </c>
      <c r="Q4" s="46"/>
      <c r="R4" s="46"/>
      <c r="S4" s="46" t="s">
        <v>83</v>
      </c>
      <c r="T4" s="46" t="s">
        <v>416</v>
      </c>
    </row>
    <row r="5" spans="1:20" ht="82.8">
      <c r="A5" s="28" t="s">
        <v>84</v>
      </c>
      <c r="B5" s="29" t="s">
        <v>65</v>
      </c>
      <c r="C5" s="29" t="s">
        <v>85</v>
      </c>
      <c r="D5" s="29" t="s">
        <v>67</v>
      </c>
      <c r="E5" s="29" t="s">
        <v>9</v>
      </c>
      <c r="F5" s="29" t="s">
        <v>68</v>
      </c>
      <c r="G5" s="29" t="s">
        <v>86</v>
      </c>
      <c r="H5" s="29" t="s">
        <v>87</v>
      </c>
      <c r="I5" s="29" t="s">
        <v>88</v>
      </c>
      <c r="J5" s="29" t="s">
        <v>89</v>
      </c>
      <c r="K5" s="46" t="s">
        <v>7</v>
      </c>
      <c r="L5" s="46" t="s">
        <v>8</v>
      </c>
      <c r="M5" s="46" t="s">
        <v>417</v>
      </c>
      <c r="N5" s="46" t="s">
        <v>7</v>
      </c>
      <c r="O5" s="46" t="s">
        <v>418</v>
      </c>
      <c r="P5" s="46" t="s">
        <v>419</v>
      </c>
      <c r="Q5" s="46"/>
      <c r="R5" s="46"/>
      <c r="S5" s="46" t="s">
        <v>73</v>
      </c>
      <c r="T5" s="46" t="s">
        <v>420</v>
      </c>
    </row>
    <row r="6" spans="1:20" ht="82.8">
      <c r="A6" s="28" t="s">
        <v>90</v>
      </c>
      <c r="B6" s="29" t="s">
        <v>65</v>
      </c>
      <c r="C6" s="29" t="s">
        <v>91</v>
      </c>
      <c r="D6" s="29" t="s">
        <v>67</v>
      </c>
      <c r="E6" s="29" t="s">
        <v>9</v>
      </c>
      <c r="F6" s="29" t="s">
        <v>68</v>
      </c>
      <c r="G6" s="29" t="s">
        <v>92</v>
      </c>
      <c r="H6" s="29" t="s">
        <v>93</v>
      </c>
      <c r="I6" s="29" t="s">
        <v>94</v>
      </c>
      <c r="J6" s="29" t="s">
        <v>95</v>
      </c>
      <c r="K6" s="46" t="s">
        <v>7</v>
      </c>
      <c r="L6" s="46" t="s">
        <v>8</v>
      </c>
      <c r="M6" s="46" t="s">
        <v>421</v>
      </c>
      <c r="N6" s="46" t="s">
        <v>7</v>
      </c>
      <c r="O6" s="46" t="s">
        <v>414</v>
      </c>
      <c r="P6" s="46" t="s">
        <v>415</v>
      </c>
      <c r="Q6" s="46"/>
      <c r="R6" s="46"/>
      <c r="S6" s="46" t="s">
        <v>83</v>
      </c>
      <c r="T6" s="46" t="s">
        <v>422</v>
      </c>
    </row>
    <row r="7" spans="1:20" ht="82.8">
      <c r="A7" s="28" t="s">
        <v>96</v>
      </c>
      <c r="B7" s="29" t="s">
        <v>65</v>
      </c>
      <c r="C7" s="29" t="s">
        <v>85</v>
      </c>
      <c r="D7" s="29" t="s">
        <v>67</v>
      </c>
      <c r="E7" s="29" t="s">
        <v>9</v>
      </c>
      <c r="F7" s="29" t="s">
        <v>68</v>
      </c>
      <c r="G7" s="29" t="s">
        <v>97</v>
      </c>
      <c r="H7" s="29" t="s">
        <v>98</v>
      </c>
      <c r="I7" s="29" t="s">
        <v>99</v>
      </c>
      <c r="J7" s="29" t="s">
        <v>100</v>
      </c>
      <c r="K7" s="46" t="s">
        <v>7</v>
      </c>
      <c r="L7" s="46" t="s">
        <v>8</v>
      </c>
      <c r="M7" s="46" t="s">
        <v>423</v>
      </c>
      <c r="N7" s="46" t="s">
        <v>7</v>
      </c>
      <c r="O7" s="46" t="s">
        <v>424</v>
      </c>
      <c r="P7" s="46" t="s">
        <v>425</v>
      </c>
      <c r="Q7" s="46"/>
      <c r="R7" s="46"/>
      <c r="S7" s="46" t="s">
        <v>73</v>
      </c>
      <c r="T7" s="46" t="s">
        <v>426</v>
      </c>
    </row>
    <row r="8" spans="1:20" ht="82.8">
      <c r="A8" s="28" t="s">
        <v>101</v>
      </c>
      <c r="B8" s="29" t="s">
        <v>65</v>
      </c>
      <c r="C8" s="29" t="s">
        <v>102</v>
      </c>
      <c r="D8" s="29" t="s">
        <v>103</v>
      </c>
      <c r="E8" s="29" t="s">
        <v>12</v>
      </c>
      <c r="F8" s="29" t="s">
        <v>68</v>
      </c>
      <c r="G8" s="29" t="s">
        <v>104</v>
      </c>
      <c r="H8" s="29" t="s">
        <v>105</v>
      </c>
      <c r="I8" s="29" t="s">
        <v>106</v>
      </c>
      <c r="J8" s="29" t="s">
        <v>107</v>
      </c>
      <c r="K8" s="46" t="s">
        <v>18</v>
      </c>
      <c r="L8" s="46" t="s">
        <v>8</v>
      </c>
      <c r="M8" s="46" t="s">
        <v>427</v>
      </c>
      <c r="N8" s="46" t="s">
        <v>7</v>
      </c>
      <c r="O8" s="46" t="s">
        <v>428</v>
      </c>
      <c r="P8" s="46" t="s">
        <v>429</v>
      </c>
      <c r="Q8" s="46"/>
      <c r="R8" s="46"/>
      <c r="S8" s="46" t="s">
        <v>108</v>
      </c>
      <c r="T8" s="46" t="s">
        <v>430</v>
      </c>
    </row>
    <row r="9" spans="1:20" ht="55.2">
      <c r="A9" s="28" t="s">
        <v>109</v>
      </c>
      <c r="B9" s="29" t="s">
        <v>65</v>
      </c>
      <c r="C9" s="29" t="s">
        <v>110</v>
      </c>
      <c r="D9" s="29" t="s">
        <v>111</v>
      </c>
      <c r="E9" s="29" t="s">
        <v>12</v>
      </c>
      <c r="F9" s="29" t="s">
        <v>68</v>
      </c>
      <c r="G9" s="29" t="s">
        <v>112</v>
      </c>
      <c r="H9" s="29" t="s">
        <v>113</v>
      </c>
      <c r="I9" s="29" t="s">
        <v>114</v>
      </c>
      <c r="J9" s="29" t="s">
        <v>115</v>
      </c>
      <c r="K9" s="46" t="s">
        <v>18</v>
      </c>
      <c r="L9" s="46" t="s">
        <v>19</v>
      </c>
      <c r="M9" s="46"/>
      <c r="N9" s="46"/>
      <c r="O9" s="46"/>
      <c r="P9" s="46"/>
      <c r="Q9" s="46"/>
      <c r="R9" s="46"/>
      <c r="S9" s="46" t="s">
        <v>116</v>
      </c>
      <c r="T9" s="46" t="s">
        <v>431</v>
      </c>
    </row>
    <row r="10" spans="1:20" ht="82.8">
      <c r="A10" s="28" t="s">
        <v>117</v>
      </c>
      <c r="B10" s="29" t="s">
        <v>118</v>
      </c>
      <c r="C10" s="29" t="s">
        <v>119</v>
      </c>
      <c r="D10" s="29" t="s">
        <v>120</v>
      </c>
      <c r="E10" s="29" t="s">
        <v>6</v>
      </c>
      <c r="F10" s="29" t="s">
        <v>121</v>
      </c>
      <c r="G10" s="29" t="s">
        <v>122</v>
      </c>
      <c r="H10" s="29" t="s">
        <v>123</v>
      </c>
      <c r="I10" s="29" t="s">
        <v>124</v>
      </c>
      <c r="J10" s="29" t="s">
        <v>125</v>
      </c>
      <c r="K10" s="46" t="s">
        <v>7</v>
      </c>
      <c r="L10" s="46" t="s">
        <v>8</v>
      </c>
      <c r="M10" s="46" t="s">
        <v>432</v>
      </c>
      <c r="N10" s="46" t="s">
        <v>7</v>
      </c>
      <c r="O10" s="46" t="s">
        <v>414</v>
      </c>
      <c r="P10" s="46" t="s">
        <v>415</v>
      </c>
      <c r="Q10" s="46"/>
      <c r="R10" s="46"/>
      <c r="S10" s="46" t="s">
        <v>83</v>
      </c>
      <c r="T10" s="46" t="s">
        <v>433</v>
      </c>
    </row>
    <row r="11" spans="1:20" ht="82.8">
      <c r="A11" s="28" t="s">
        <v>126</v>
      </c>
      <c r="B11" s="29" t="s">
        <v>118</v>
      </c>
      <c r="C11" s="29" t="s">
        <v>119</v>
      </c>
      <c r="D11" s="29" t="s">
        <v>120</v>
      </c>
      <c r="E11" s="29" t="s">
        <v>6</v>
      </c>
      <c r="F11" s="29" t="s">
        <v>121</v>
      </c>
      <c r="G11" s="29" t="s">
        <v>127</v>
      </c>
      <c r="H11" s="29" t="s">
        <v>123</v>
      </c>
      <c r="I11" s="29" t="s">
        <v>124</v>
      </c>
      <c r="J11" s="29" t="s">
        <v>128</v>
      </c>
      <c r="K11" s="46" t="s">
        <v>7</v>
      </c>
      <c r="L11" s="46" t="s">
        <v>8</v>
      </c>
      <c r="M11" s="46" t="s">
        <v>434</v>
      </c>
      <c r="N11" s="46" t="s">
        <v>7</v>
      </c>
      <c r="O11" s="46" t="s">
        <v>414</v>
      </c>
      <c r="P11" s="46" t="s">
        <v>415</v>
      </c>
      <c r="Q11" s="46"/>
      <c r="R11" s="46"/>
      <c r="S11" s="46" t="s">
        <v>83</v>
      </c>
      <c r="T11" s="46" t="s">
        <v>433</v>
      </c>
    </row>
    <row r="12" spans="1:20" ht="82.8">
      <c r="A12" s="28" t="s">
        <v>129</v>
      </c>
      <c r="B12" s="29" t="s">
        <v>118</v>
      </c>
      <c r="C12" s="29" t="s">
        <v>119</v>
      </c>
      <c r="D12" s="29" t="s">
        <v>120</v>
      </c>
      <c r="E12" s="29" t="s">
        <v>6</v>
      </c>
      <c r="F12" s="29" t="s">
        <v>121</v>
      </c>
      <c r="G12" s="29" t="s">
        <v>130</v>
      </c>
      <c r="H12" s="29" t="s">
        <v>123</v>
      </c>
      <c r="I12" s="29" t="s">
        <v>124</v>
      </c>
      <c r="J12" s="29" t="s">
        <v>131</v>
      </c>
      <c r="K12" s="46" t="s">
        <v>7</v>
      </c>
      <c r="L12" s="46" t="s">
        <v>8</v>
      </c>
      <c r="M12" s="46" t="s">
        <v>435</v>
      </c>
      <c r="N12" s="46" t="s">
        <v>7</v>
      </c>
      <c r="O12" s="46" t="s">
        <v>414</v>
      </c>
      <c r="P12" s="46" t="s">
        <v>415</v>
      </c>
      <c r="Q12" s="46"/>
      <c r="R12" s="46"/>
      <c r="S12" s="46" t="s">
        <v>83</v>
      </c>
      <c r="T12" s="46" t="s">
        <v>433</v>
      </c>
    </row>
    <row r="13" spans="1:20" ht="82.8">
      <c r="A13" s="28" t="s">
        <v>132</v>
      </c>
      <c r="B13" s="29" t="s">
        <v>118</v>
      </c>
      <c r="C13" s="29" t="s">
        <v>119</v>
      </c>
      <c r="D13" s="29" t="s">
        <v>120</v>
      </c>
      <c r="E13" s="29" t="s">
        <v>6</v>
      </c>
      <c r="F13" s="29" t="s">
        <v>121</v>
      </c>
      <c r="G13" s="29" t="s">
        <v>133</v>
      </c>
      <c r="H13" s="29" t="s">
        <v>123</v>
      </c>
      <c r="I13" s="29" t="s">
        <v>124</v>
      </c>
      <c r="J13" s="29" t="s">
        <v>134</v>
      </c>
      <c r="K13" s="46" t="s">
        <v>7</v>
      </c>
      <c r="L13" s="46" t="s">
        <v>8</v>
      </c>
      <c r="M13" s="46" t="s">
        <v>436</v>
      </c>
      <c r="N13" s="46" t="s">
        <v>7</v>
      </c>
      <c r="O13" s="46" t="s">
        <v>414</v>
      </c>
      <c r="P13" s="46" t="s">
        <v>415</v>
      </c>
      <c r="Q13" s="46"/>
      <c r="R13" s="46"/>
      <c r="S13" s="46" t="s">
        <v>83</v>
      </c>
      <c r="T13" s="46" t="s">
        <v>433</v>
      </c>
    </row>
    <row r="14" spans="1:20" ht="82.8">
      <c r="A14" s="28" t="s">
        <v>135</v>
      </c>
      <c r="B14" s="29" t="s">
        <v>118</v>
      </c>
      <c r="C14" s="29" t="s">
        <v>119</v>
      </c>
      <c r="D14" s="29" t="s">
        <v>120</v>
      </c>
      <c r="E14" s="29" t="s">
        <v>9</v>
      </c>
      <c r="F14" s="29" t="s">
        <v>121</v>
      </c>
      <c r="G14" s="29" t="s">
        <v>136</v>
      </c>
      <c r="H14" s="29" t="s">
        <v>123</v>
      </c>
      <c r="I14" s="29" t="s">
        <v>124</v>
      </c>
      <c r="J14" s="29" t="s">
        <v>137</v>
      </c>
      <c r="K14" s="46" t="s">
        <v>7</v>
      </c>
      <c r="L14" s="46" t="s">
        <v>8</v>
      </c>
      <c r="M14" s="46" t="s">
        <v>437</v>
      </c>
      <c r="N14" s="46" t="s">
        <v>7</v>
      </c>
      <c r="O14" s="46" t="s">
        <v>414</v>
      </c>
      <c r="P14" s="46" t="s">
        <v>415</v>
      </c>
      <c r="Q14" s="46"/>
      <c r="R14" s="46"/>
      <c r="S14" s="46" t="s">
        <v>83</v>
      </c>
      <c r="T14" s="46" t="s">
        <v>433</v>
      </c>
    </row>
    <row r="15" spans="1:20" ht="82.8">
      <c r="A15" s="28" t="s">
        <v>138</v>
      </c>
      <c r="B15" s="29" t="s">
        <v>118</v>
      </c>
      <c r="C15" s="29" t="s">
        <v>119</v>
      </c>
      <c r="D15" s="29" t="s">
        <v>120</v>
      </c>
      <c r="E15" s="29" t="s">
        <v>9</v>
      </c>
      <c r="F15" s="29" t="s">
        <v>121</v>
      </c>
      <c r="G15" s="29" t="s">
        <v>139</v>
      </c>
      <c r="H15" s="29" t="s">
        <v>123</v>
      </c>
      <c r="I15" s="29" t="s">
        <v>124</v>
      </c>
      <c r="J15" s="29" t="s">
        <v>140</v>
      </c>
      <c r="K15" s="46" t="s">
        <v>7</v>
      </c>
      <c r="L15" s="46" t="s">
        <v>8</v>
      </c>
      <c r="M15" s="46" t="s">
        <v>438</v>
      </c>
      <c r="N15" s="46" t="s">
        <v>7</v>
      </c>
      <c r="O15" s="46" t="s">
        <v>414</v>
      </c>
      <c r="P15" s="46" t="s">
        <v>415</v>
      </c>
      <c r="Q15" s="46"/>
      <c r="R15" s="46"/>
      <c r="S15" s="46" t="s">
        <v>83</v>
      </c>
      <c r="T15" s="46" t="s">
        <v>433</v>
      </c>
    </row>
    <row r="16" spans="1:20" ht="82.8">
      <c r="A16" s="28" t="s">
        <v>141</v>
      </c>
      <c r="B16" s="29" t="s">
        <v>118</v>
      </c>
      <c r="C16" s="29" t="s">
        <v>119</v>
      </c>
      <c r="D16" s="29" t="s">
        <v>120</v>
      </c>
      <c r="E16" s="29" t="s">
        <v>9</v>
      </c>
      <c r="F16" s="29" t="s">
        <v>121</v>
      </c>
      <c r="G16" s="29" t="s">
        <v>142</v>
      </c>
      <c r="H16" s="29" t="s">
        <v>123</v>
      </c>
      <c r="I16" s="29" t="s">
        <v>124</v>
      </c>
      <c r="J16" s="29" t="s">
        <v>143</v>
      </c>
      <c r="K16" s="46" t="s">
        <v>7</v>
      </c>
      <c r="L16" s="46" t="s">
        <v>8</v>
      </c>
      <c r="M16" s="46" t="s">
        <v>439</v>
      </c>
      <c r="N16" s="46" t="s">
        <v>7</v>
      </c>
      <c r="O16" s="46" t="s">
        <v>414</v>
      </c>
      <c r="P16" s="46" t="s">
        <v>415</v>
      </c>
      <c r="Q16" s="46"/>
      <c r="R16" s="46"/>
      <c r="S16" s="46" t="s">
        <v>83</v>
      </c>
      <c r="T16" s="46" t="s">
        <v>433</v>
      </c>
    </row>
    <row r="17" spans="1:20" ht="82.8">
      <c r="A17" s="28" t="s">
        <v>144</v>
      </c>
      <c r="B17" s="29" t="s">
        <v>118</v>
      </c>
      <c r="C17" s="29" t="s">
        <v>119</v>
      </c>
      <c r="D17" s="29" t="s">
        <v>120</v>
      </c>
      <c r="E17" s="29" t="s">
        <v>9</v>
      </c>
      <c r="F17" s="29" t="s">
        <v>121</v>
      </c>
      <c r="G17" s="29" t="s">
        <v>145</v>
      </c>
      <c r="H17" s="29" t="s">
        <v>123</v>
      </c>
      <c r="I17" s="29" t="s">
        <v>124</v>
      </c>
      <c r="J17" s="29" t="s">
        <v>146</v>
      </c>
      <c r="K17" s="46" t="s">
        <v>7</v>
      </c>
      <c r="L17" s="46" t="s">
        <v>8</v>
      </c>
      <c r="M17" s="46" t="s">
        <v>440</v>
      </c>
      <c r="N17" s="46" t="s">
        <v>7</v>
      </c>
      <c r="O17" s="46" t="s">
        <v>414</v>
      </c>
      <c r="P17" s="46" t="s">
        <v>415</v>
      </c>
      <c r="Q17" s="46"/>
      <c r="R17" s="46"/>
      <c r="S17" s="46" t="s">
        <v>83</v>
      </c>
      <c r="T17" s="46" t="s">
        <v>433</v>
      </c>
    </row>
    <row r="18" spans="1:20" ht="82.8">
      <c r="A18" s="28" t="s">
        <v>147</v>
      </c>
      <c r="B18" s="29" t="s">
        <v>118</v>
      </c>
      <c r="C18" s="29" t="s">
        <v>119</v>
      </c>
      <c r="D18" s="29" t="s">
        <v>120</v>
      </c>
      <c r="E18" s="29" t="s">
        <v>9</v>
      </c>
      <c r="F18" s="29" t="s">
        <v>121</v>
      </c>
      <c r="G18" s="29" t="s">
        <v>148</v>
      </c>
      <c r="H18" s="29" t="s">
        <v>123</v>
      </c>
      <c r="I18" s="29" t="s">
        <v>124</v>
      </c>
      <c r="J18" s="29" t="s">
        <v>149</v>
      </c>
      <c r="K18" s="46" t="s">
        <v>7</v>
      </c>
      <c r="L18" s="46" t="s">
        <v>8</v>
      </c>
      <c r="M18" s="46" t="s">
        <v>441</v>
      </c>
      <c r="N18" s="46" t="s">
        <v>7</v>
      </c>
      <c r="O18" s="46" t="s">
        <v>414</v>
      </c>
      <c r="P18" s="46" t="s">
        <v>415</v>
      </c>
      <c r="Q18" s="46"/>
      <c r="R18" s="46"/>
      <c r="S18" s="46" t="s">
        <v>83</v>
      </c>
      <c r="T18" s="46" t="s">
        <v>433</v>
      </c>
    </row>
    <row r="19" spans="1:20" ht="82.8">
      <c r="A19" s="28" t="s">
        <v>150</v>
      </c>
      <c r="B19" s="29" t="s">
        <v>118</v>
      </c>
      <c r="C19" s="29" t="s">
        <v>119</v>
      </c>
      <c r="D19" s="29" t="s">
        <v>120</v>
      </c>
      <c r="E19" s="29" t="s">
        <v>12</v>
      </c>
      <c r="F19" s="29" t="s">
        <v>121</v>
      </c>
      <c r="G19" s="29" t="s">
        <v>151</v>
      </c>
      <c r="H19" s="29" t="s">
        <v>123</v>
      </c>
      <c r="I19" s="29" t="s">
        <v>124</v>
      </c>
      <c r="J19" s="29" t="s">
        <v>152</v>
      </c>
      <c r="K19" s="46" t="s">
        <v>7</v>
      </c>
      <c r="L19" s="46" t="s">
        <v>8</v>
      </c>
      <c r="M19" s="46" t="s">
        <v>442</v>
      </c>
      <c r="N19" s="46" t="s">
        <v>7</v>
      </c>
      <c r="O19" s="46" t="s">
        <v>414</v>
      </c>
      <c r="P19" s="46" t="s">
        <v>415</v>
      </c>
      <c r="Q19" s="46"/>
      <c r="R19" s="46"/>
      <c r="S19" s="46" t="s">
        <v>83</v>
      </c>
      <c r="T19" s="46" t="s">
        <v>433</v>
      </c>
    </row>
    <row r="20" spans="1:20" ht="82.8">
      <c r="A20" s="28" t="s">
        <v>153</v>
      </c>
      <c r="B20" s="29" t="s">
        <v>154</v>
      </c>
      <c r="C20" s="29" t="s">
        <v>155</v>
      </c>
      <c r="D20" s="29" t="s">
        <v>156</v>
      </c>
      <c r="E20" s="29" t="s">
        <v>6</v>
      </c>
      <c r="F20" s="29" t="s">
        <v>157</v>
      </c>
      <c r="G20" s="29" t="s">
        <v>158</v>
      </c>
      <c r="H20" s="29" t="s">
        <v>159</v>
      </c>
      <c r="I20" s="29" t="s">
        <v>160</v>
      </c>
      <c r="J20" s="29" t="s">
        <v>161</v>
      </c>
      <c r="K20" s="46" t="s">
        <v>10</v>
      </c>
      <c r="L20" s="46" t="s">
        <v>8</v>
      </c>
      <c r="M20" s="46" t="s">
        <v>443</v>
      </c>
      <c r="N20" s="46" t="s">
        <v>7</v>
      </c>
      <c r="O20" s="46" t="s">
        <v>444</v>
      </c>
      <c r="P20" s="46" t="s">
        <v>445</v>
      </c>
      <c r="Q20" s="46"/>
      <c r="R20" s="46"/>
      <c r="S20" s="46" t="s">
        <v>83</v>
      </c>
      <c r="T20" s="46" t="s">
        <v>446</v>
      </c>
    </row>
    <row r="21" spans="1:20" ht="82.8">
      <c r="A21" s="28" t="s">
        <v>162</v>
      </c>
      <c r="B21" s="29" t="s">
        <v>154</v>
      </c>
      <c r="C21" s="29" t="s">
        <v>155</v>
      </c>
      <c r="D21" s="29" t="s">
        <v>156</v>
      </c>
      <c r="E21" s="29" t="s">
        <v>6</v>
      </c>
      <c r="F21" s="29" t="s">
        <v>157</v>
      </c>
      <c r="G21" s="29" t="s">
        <v>163</v>
      </c>
      <c r="H21" s="29" t="s">
        <v>159</v>
      </c>
      <c r="I21" s="29" t="s">
        <v>160</v>
      </c>
      <c r="J21" s="29" t="s">
        <v>164</v>
      </c>
      <c r="K21" s="46" t="s">
        <v>10</v>
      </c>
      <c r="L21" s="46" t="s">
        <v>8</v>
      </c>
      <c r="M21" s="46" t="s">
        <v>447</v>
      </c>
      <c r="N21" s="46" t="s">
        <v>7</v>
      </c>
      <c r="O21" s="46" t="s">
        <v>444</v>
      </c>
      <c r="P21" s="46" t="s">
        <v>445</v>
      </c>
      <c r="Q21" s="46"/>
      <c r="R21" s="46"/>
      <c r="S21" s="46" t="s">
        <v>83</v>
      </c>
      <c r="T21" s="46" t="s">
        <v>446</v>
      </c>
    </row>
    <row r="22" spans="1:20" ht="82.8">
      <c r="A22" s="28" t="s">
        <v>165</v>
      </c>
      <c r="B22" s="29" t="s">
        <v>154</v>
      </c>
      <c r="C22" s="29" t="s">
        <v>155</v>
      </c>
      <c r="D22" s="29" t="s">
        <v>156</v>
      </c>
      <c r="E22" s="29" t="s">
        <v>6</v>
      </c>
      <c r="F22" s="29" t="s">
        <v>157</v>
      </c>
      <c r="G22" s="29" t="s">
        <v>166</v>
      </c>
      <c r="H22" s="29" t="s">
        <v>159</v>
      </c>
      <c r="I22" s="29" t="s">
        <v>160</v>
      </c>
      <c r="J22" s="29" t="s">
        <v>167</v>
      </c>
      <c r="K22" s="46" t="s">
        <v>10</v>
      </c>
      <c r="L22" s="46" t="s">
        <v>8</v>
      </c>
      <c r="M22" s="46" t="s">
        <v>448</v>
      </c>
      <c r="N22" s="46" t="s">
        <v>7</v>
      </c>
      <c r="O22" s="46" t="s">
        <v>444</v>
      </c>
      <c r="P22" s="46" t="s">
        <v>445</v>
      </c>
      <c r="Q22" s="46"/>
      <c r="R22" s="46"/>
      <c r="S22" s="46" t="s">
        <v>83</v>
      </c>
      <c r="T22" s="46" t="s">
        <v>446</v>
      </c>
    </row>
    <row r="23" spans="1:20" ht="82.8">
      <c r="A23" s="28" t="s">
        <v>168</v>
      </c>
      <c r="B23" s="29" t="s">
        <v>154</v>
      </c>
      <c r="C23" s="29" t="s">
        <v>155</v>
      </c>
      <c r="D23" s="29" t="s">
        <v>156</v>
      </c>
      <c r="E23" s="29" t="s">
        <v>6</v>
      </c>
      <c r="F23" s="29" t="s">
        <v>157</v>
      </c>
      <c r="G23" s="29" t="s">
        <v>169</v>
      </c>
      <c r="H23" s="29" t="s">
        <v>159</v>
      </c>
      <c r="I23" s="29" t="s">
        <v>160</v>
      </c>
      <c r="J23" s="29" t="s">
        <v>170</v>
      </c>
      <c r="K23" s="46" t="s">
        <v>10</v>
      </c>
      <c r="L23" s="46" t="s">
        <v>8</v>
      </c>
      <c r="M23" s="46" t="s">
        <v>449</v>
      </c>
      <c r="N23" s="46" t="s">
        <v>7</v>
      </c>
      <c r="O23" s="46" t="s">
        <v>444</v>
      </c>
      <c r="P23" s="46" t="s">
        <v>445</v>
      </c>
      <c r="Q23" s="46"/>
      <c r="R23" s="46"/>
      <c r="S23" s="46" t="s">
        <v>83</v>
      </c>
      <c r="T23" s="46" t="s">
        <v>446</v>
      </c>
    </row>
    <row r="24" spans="1:20" ht="82.8">
      <c r="A24" s="28" t="s">
        <v>171</v>
      </c>
      <c r="B24" s="29" t="s">
        <v>154</v>
      </c>
      <c r="C24" s="29" t="s">
        <v>155</v>
      </c>
      <c r="D24" s="29" t="s">
        <v>156</v>
      </c>
      <c r="E24" s="29" t="s">
        <v>6</v>
      </c>
      <c r="F24" s="29" t="s">
        <v>157</v>
      </c>
      <c r="G24" s="29" t="s">
        <v>172</v>
      </c>
      <c r="H24" s="29" t="s">
        <v>159</v>
      </c>
      <c r="I24" s="29" t="s">
        <v>160</v>
      </c>
      <c r="J24" s="29" t="s">
        <v>173</v>
      </c>
      <c r="K24" s="46" t="s">
        <v>10</v>
      </c>
      <c r="L24" s="46" t="s">
        <v>8</v>
      </c>
      <c r="M24" s="46" t="s">
        <v>450</v>
      </c>
      <c r="N24" s="46" t="s">
        <v>7</v>
      </c>
      <c r="O24" s="46" t="s">
        <v>444</v>
      </c>
      <c r="P24" s="46" t="s">
        <v>445</v>
      </c>
      <c r="Q24" s="46"/>
      <c r="R24" s="46"/>
      <c r="S24" s="46" t="s">
        <v>83</v>
      </c>
      <c r="T24" s="46" t="s">
        <v>446</v>
      </c>
    </row>
    <row r="25" spans="1:20" ht="82.8">
      <c r="A25" s="28" t="s">
        <v>174</v>
      </c>
      <c r="B25" s="29" t="s">
        <v>154</v>
      </c>
      <c r="C25" s="29" t="s">
        <v>155</v>
      </c>
      <c r="D25" s="29" t="s">
        <v>156</v>
      </c>
      <c r="E25" s="29" t="s">
        <v>9</v>
      </c>
      <c r="F25" s="29" t="s">
        <v>157</v>
      </c>
      <c r="G25" s="29" t="s">
        <v>175</v>
      </c>
      <c r="H25" s="29" t="s">
        <v>159</v>
      </c>
      <c r="I25" s="29" t="s">
        <v>160</v>
      </c>
      <c r="J25" s="29" t="s">
        <v>176</v>
      </c>
      <c r="K25" s="46" t="s">
        <v>10</v>
      </c>
      <c r="L25" s="46" t="s">
        <v>8</v>
      </c>
      <c r="M25" s="46" t="s">
        <v>451</v>
      </c>
      <c r="N25" s="46" t="s">
        <v>7</v>
      </c>
      <c r="O25" s="46" t="s">
        <v>444</v>
      </c>
      <c r="P25" s="46" t="s">
        <v>445</v>
      </c>
      <c r="Q25" s="46"/>
      <c r="R25" s="46"/>
      <c r="S25" s="46" t="s">
        <v>83</v>
      </c>
      <c r="T25" s="46" t="s">
        <v>446</v>
      </c>
    </row>
    <row r="26" spans="1:20" ht="82.8">
      <c r="A26" s="28" t="s">
        <v>177</v>
      </c>
      <c r="B26" s="29" t="s">
        <v>154</v>
      </c>
      <c r="C26" s="29" t="s">
        <v>155</v>
      </c>
      <c r="D26" s="29" t="s">
        <v>156</v>
      </c>
      <c r="E26" s="29" t="s">
        <v>9</v>
      </c>
      <c r="F26" s="29" t="s">
        <v>157</v>
      </c>
      <c r="G26" s="29" t="s">
        <v>133</v>
      </c>
      <c r="H26" s="29" t="s">
        <v>159</v>
      </c>
      <c r="I26" s="29" t="s">
        <v>160</v>
      </c>
      <c r="J26" s="29" t="s">
        <v>178</v>
      </c>
      <c r="K26" s="46" t="s">
        <v>10</v>
      </c>
      <c r="L26" s="46" t="s">
        <v>8</v>
      </c>
      <c r="M26" s="46" t="s">
        <v>452</v>
      </c>
      <c r="N26" s="46" t="s">
        <v>7</v>
      </c>
      <c r="O26" s="46" t="s">
        <v>444</v>
      </c>
      <c r="P26" s="46" t="s">
        <v>445</v>
      </c>
      <c r="Q26" s="46"/>
      <c r="R26" s="46"/>
      <c r="S26" s="46" t="s">
        <v>83</v>
      </c>
      <c r="T26" s="46" t="s">
        <v>446</v>
      </c>
    </row>
    <row r="27" spans="1:20" ht="82.8">
      <c r="A27" s="28" t="s">
        <v>179</v>
      </c>
      <c r="B27" s="29" t="s">
        <v>154</v>
      </c>
      <c r="C27" s="29" t="s">
        <v>155</v>
      </c>
      <c r="D27" s="29" t="s">
        <v>156</v>
      </c>
      <c r="E27" s="29" t="s">
        <v>9</v>
      </c>
      <c r="F27" s="29" t="s">
        <v>157</v>
      </c>
      <c r="G27" s="29" t="s">
        <v>180</v>
      </c>
      <c r="H27" s="29" t="s">
        <v>159</v>
      </c>
      <c r="I27" s="29" t="s">
        <v>160</v>
      </c>
      <c r="J27" s="29" t="s">
        <v>181</v>
      </c>
      <c r="K27" s="46" t="s">
        <v>10</v>
      </c>
      <c r="L27" s="46" t="s">
        <v>8</v>
      </c>
      <c r="M27" s="46" t="s">
        <v>453</v>
      </c>
      <c r="N27" s="46" t="s">
        <v>7</v>
      </c>
      <c r="O27" s="46" t="s">
        <v>444</v>
      </c>
      <c r="P27" s="46" t="s">
        <v>445</v>
      </c>
      <c r="Q27" s="46"/>
      <c r="R27" s="46"/>
      <c r="S27" s="46" t="s">
        <v>83</v>
      </c>
      <c r="T27" s="46" t="s">
        <v>454</v>
      </c>
    </row>
    <row r="28" spans="1:20" ht="82.8">
      <c r="A28" s="28" t="s">
        <v>182</v>
      </c>
      <c r="B28" s="29" t="s">
        <v>154</v>
      </c>
      <c r="C28" s="29" t="s">
        <v>155</v>
      </c>
      <c r="D28" s="29" t="s">
        <v>156</v>
      </c>
      <c r="E28" s="29" t="s">
        <v>9</v>
      </c>
      <c r="F28" s="29" t="s">
        <v>157</v>
      </c>
      <c r="G28" s="29" t="s">
        <v>183</v>
      </c>
      <c r="H28" s="29" t="s">
        <v>159</v>
      </c>
      <c r="I28" s="29" t="s">
        <v>160</v>
      </c>
      <c r="J28" s="29" t="s">
        <v>184</v>
      </c>
      <c r="K28" s="46" t="s">
        <v>10</v>
      </c>
      <c r="L28" s="46" t="s">
        <v>8</v>
      </c>
      <c r="M28" s="46" t="s">
        <v>455</v>
      </c>
      <c r="N28" s="46" t="s">
        <v>7</v>
      </c>
      <c r="O28" s="46" t="s">
        <v>444</v>
      </c>
      <c r="P28" s="46" t="s">
        <v>445</v>
      </c>
      <c r="Q28" s="46"/>
      <c r="R28" s="46"/>
      <c r="S28" s="46" t="s">
        <v>83</v>
      </c>
      <c r="T28" s="46" t="s">
        <v>446</v>
      </c>
    </row>
    <row r="29" spans="1:20" ht="82.8">
      <c r="A29" s="28" t="s">
        <v>185</v>
      </c>
      <c r="B29" s="29" t="s">
        <v>154</v>
      </c>
      <c r="C29" s="29" t="s">
        <v>155</v>
      </c>
      <c r="D29" s="29" t="s">
        <v>156</v>
      </c>
      <c r="E29" s="29" t="s">
        <v>12</v>
      </c>
      <c r="F29" s="29" t="s">
        <v>157</v>
      </c>
      <c r="G29" s="29" t="s">
        <v>186</v>
      </c>
      <c r="H29" s="29" t="s">
        <v>159</v>
      </c>
      <c r="I29" s="29" t="s">
        <v>160</v>
      </c>
      <c r="J29" s="29" t="s">
        <v>187</v>
      </c>
      <c r="K29" s="46" t="s">
        <v>10</v>
      </c>
      <c r="L29" s="46" t="s">
        <v>8</v>
      </c>
      <c r="M29" s="46" t="s">
        <v>456</v>
      </c>
      <c r="N29" s="46" t="s">
        <v>7</v>
      </c>
      <c r="O29" s="46" t="s">
        <v>444</v>
      </c>
      <c r="P29" s="46" t="s">
        <v>445</v>
      </c>
      <c r="Q29" s="46"/>
      <c r="R29" s="46"/>
      <c r="S29" s="46" t="s">
        <v>83</v>
      </c>
      <c r="T29" s="46" t="s">
        <v>446</v>
      </c>
    </row>
    <row r="30" spans="1:20" ht="82.8">
      <c r="A30" s="28" t="s">
        <v>188</v>
      </c>
      <c r="B30" s="29" t="s">
        <v>189</v>
      </c>
      <c r="C30" s="29" t="s">
        <v>190</v>
      </c>
      <c r="D30" s="29" t="s">
        <v>191</v>
      </c>
      <c r="E30" s="29" t="s">
        <v>6</v>
      </c>
      <c r="F30" s="29" t="s">
        <v>192</v>
      </c>
      <c r="G30" s="29" t="s">
        <v>193</v>
      </c>
      <c r="H30" s="29" t="s">
        <v>194</v>
      </c>
      <c r="I30" s="29" t="s">
        <v>195</v>
      </c>
      <c r="J30" s="29" t="s">
        <v>196</v>
      </c>
      <c r="K30" s="46" t="s">
        <v>7</v>
      </c>
      <c r="L30" s="46" t="s">
        <v>8</v>
      </c>
      <c r="M30" s="46" t="s">
        <v>457</v>
      </c>
      <c r="N30" s="46" t="s">
        <v>7</v>
      </c>
      <c r="O30" s="46" t="s">
        <v>418</v>
      </c>
      <c r="P30" s="46" t="s">
        <v>419</v>
      </c>
      <c r="Q30" s="46"/>
      <c r="R30" s="46"/>
      <c r="S30" s="46" t="s">
        <v>73</v>
      </c>
      <c r="T30" s="46" t="s">
        <v>458</v>
      </c>
    </row>
    <row r="31" spans="1:20" ht="82.8">
      <c r="A31" s="28" t="s">
        <v>197</v>
      </c>
      <c r="B31" s="29" t="s">
        <v>189</v>
      </c>
      <c r="C31" s="29" t="s">
        <v>190</v>
      </c>
      <c r="D31" s="29" t="s">
        <v>191</v>
      </c>
      <c r="E31" s="29" t="s">
        <v>6</v>
      </c>
      <c r="F31" s="29" t="s">
        <v>192</v>
      </c>
      <c r="G31" s="29" t="s">
        <v>198</v>
      </c>
      <c r="H31" s="29" t="s">
        <v>194</v>
      </c>
      <c r="I31" s="29" t="s">
        <v>195</v>
      </c>
      <c r="J31" s="29" t="s">
        <v>199</v>
      </c>
      <c r="K31" s="46" t="s">
        <v>7</v>
      </c>
      <c r="L31" s="46" t="s">
        <v>8</v>
      </c>
      <c r="M31" s="46" t="s">
        <v>459</v>
      </c>
      <c r="N31" s="46" t="s">
        <v>7</v>
      </c>
      <c r="O31" s="46" t="s">
        <v>418</v>
      </c>
      <c r="P31" s="46" t="s">
        <v>419</v>
      </c>
      <c r="Q31" s="46"/>
      <c r="R31" s="46"/>
      <c r="S31" s="46" t="s">
        <v>73</v>
      </c>
      <c r="T31" s="46" t="s">
        <v>458</v>
      </c>
    </row>
    <row r="32" spans="1:20" ht="82.8">
      <c r="A32" s="28" t="s">
        <v>200</v>
      </c>
      <c r="B32" s="29" t="s">
        <v>189</v>
      </c>
      <c r="C32" s="29" t="s">
        <v>190</v>
      </c>
      <c r="D32" s="29" t="s">
        <v>191</v>
      </c>
      <c r="E32" s="29" t="s">
        <v>6</v>
      </c>
      <c r="F32" s="29" t="s">
        <v>192</v>
      </c>
      <c r="G32" s="29" t="s">
        <v>201</v>
      </c>
      <c r="H32" s="29" t="s">
        <v>194</v>
      </c>
      <c r="I32" s="29" t="s">
        <v>195</v>
      </c>
      <c r="J32" s="29" t="s">
        <v>202</v>
      </c>
      <c r="K32" s="46" t="s">
        <v>7</v>
      </c>
      <c r="L32" s="46" t="s">
        <v>8</v>
      </c>
      <c r="M32" s="46" t="s">
        <v>460</v>
      </c>
      <c r="N32" s="46" t="s">
        <v>7</v>
      </c>
      <c r="O32" s="46" t="s">
        <v>418</v>
      </c>
      <c r="P32" s="46" t="s">
        <v>419</v>
      </c>
      <c r="Q32" s="46"/>
      <c r="R32" s="46"/>
      <c r="S32" s="46" t="s">
        <v>73</v>
      </c>
      <c r="T32" s="46" t="s">
        <v>458</v>
      </c>
    </row>
    <row r="33" spans="1:20" ht="82.8">
      <c r="A33" s="28" t="s">
        <v>203</v>
      </c>
      <c r="B33" s="29" t="s">
        <v>189</v>
      </c>
      <c r="C33" s="29" t="s">
        <v>190</v>
      </c>
      <c r="D33" s="29" t="s">
        <v>191</v>
      </c>
      <c r="E33" s="29" t="s">
        <v>6</v>
      </c>
      <c r="F33" s="29" t="s">
        <v>192</v>
      </c>
      <c r="G33" s="29" t="s">
        <v>204</v>
      </c>
      <c r="H33" s="29" t="s">
        <v>194</v>
      </c>
      <c r="I33" s="29" t="s">
        <v>195</v>
      </c>
      <c r="J33" s="29" t="s">
        <v>205</v>
      </c>
      <c r="K33" s="46" t="s">
        <v>7</v>
      </c>
      <c r="L33" s="46" t="s">
        <v>8</v>
      </c>
      <c r="M33" s="46" t="s">
        <v>461</v>
      </c>
      <c r="N33" s="46" t="s">
        <v>7</v>
      </c>
      <c r="O33" s="46" t="s">
        <v>418</v>
      </c>
      <c r="P33" s="46" t="s">
        <v>419</v>
      </c>
      <c r="Q33" s="46"/>
      <c r="R33" s="46"/>
      <c r="S33" s="46" t="s">
        <v>73</v>
      </c>
      <c r="T33" s="46" t="s">
        <v>458</v>
      </c>
    </row>
    <row r="34" spans="1:20" ht="82.8">
      <c r="A34" s="28" t="s">
        <v>206</v>
      </c>
      <c r="B34" s="29" t="s">
        <v>189</v>
      </c>
      <c r="C34" s="29" t="s">
        <v>190</v>
      </c>
      <c r="D34" s="29" t="s">
        <v>191</v>
      </c>
      <c r="E34" s="29" t="s">
        <v>6</v>
      </c>
      <c r="F34" s="29" t="s">
        <v>192</v>
      </c>
      <c r="G34" s="29" t="s">
        <v>207</v>
      </c>
      <c r="H34" s="29" t="s">
        <v>194</v>
      </c>
      <c r="I34" s="29" t="s">
        <v>195</v>
      </c>
      <c r="J34" s="29" t="s">
        <v>208</v>
      </c>
      <c r="K34" s="46" t="s">
        <v>7</v>
      </c>
      <c r="L34" s="46" t="s">
        <v>8</v>
      </c>
      <c r="M34" s="46" t="s">
        <v>462</v>
      </c>
      <c r="N34" s="46" t="s">
        <v>7</v>
      </c>
      <c r="O34" s="46" t="s">
        <v>418</v>
      </c>
      <c r="P34" s="46" t="s">
        <v>419</v>
      </c>
      <c r="Q34" s="46"/>
      <c r="R34" s="46"/>
      <c r="S34" s="46" t="s">
        <v>73</v>
      </c>
      <c r="T34" s="46" t="s">
        <v>458</v>
      </c>
    </row>
    <row r="35" spans="1:20" ht="82.8">
      <c r="A35" s="28" t="s">
        <v>209</v>
      </c>
      <c r="B35" s="29" t="s">
        <v>189</v>
      </c>
      <c r="C35" s="29" t="s">
        <v>190</v>
      </c>
      <c r="D35" s="29" t="s">
        <v>191</v>
      </c>
      <c r="E35" s="29" t="s">
        <v>9</v>
      </c>
      <c r="F35" s="29" t="s">
        <v>192</v>
      </c>
      <c r="G35" s="29" t="s">
        <v>210</v>
      </c>
      <c r="H35" s="29" t="s">
        <v>194</v>
      </c>
      <c r="I35" s="29" t="s">
        <v>195</v>
      </c>
      <c r="J35" s="29" t="s">
        <v>211</v>
      </c>
      <c r="K35" s="46" t="s">
        <v>7</v>
      </c>
      <c r="L35" s="46" t="s">
        <v>8</v>
      </c>
      <c r="M35" s="46" t="s">
        <v>463</v>
      </c>
      <c r="N35" s="46" t="s">
        <v>7</v>
      </c>
      <c r="O35" s="46" t="s">
        <v>418</v>
      </c>
      <c r="P35" s="46" t="s">
        <v>419</v>
      </c>
      <c r="Q35" s="46"/>
      <c r="R35" s="46"/>
      <c r="S35" s="46" t="s">
        <v>73</v>
      </c>
      <c r="T35" s="46" t="s">
        <v>458</v>
      </c>
    </row>
    <row r="36" spans="1:20" ht="82.8">
      <c r="A36" s="28" t="s">
        <v>212</v>
      </c>
      <c r="B36" s="29" t="s">
        <v>189</v>
      </c>
      <c r="C36" s="29" t="s">
        <v>190</v>
      </c>
      <c r="D36" s="29" t="s">
        <v>191</v>
      </c>
      <c r="E36" s="29" t="s">
        <v>9</v>
      </c>
      <c r="F36" s="29" t="s">
        <v>192</v>
      </c>
      <c r="G36" s="29" t="s">
        <v>213</v>
      </c>
      <c r="H36" s="29" t="s">
        <v>194</v>
      </c>
      <c r="I36" s="29" t="s">
        <v>195</v>
      </c>
      <c r="J36" s="29" t="s">
        <v>214</v>
      </c>
      <c r="K36" s="46" t="s">
        <v>7</v>
      </c>
      <c r="L36" s="46" t="s">
        <v>8</v>
      </c>
      <c r="M36" s="46" t="s">
        <v>464</v>
      </c>
      <c r="N36" s="46" t="s">
        <v>7</v>
      </c>
      <c r="O36" s="46" t="s">
        <v>418</v>
      </c>
      <c r="P36" s="46" t="s">
        <v>419</v>
      </c>
      <c r="Q36" s="46"/>
      <c r="R36" s="46"/>
      <c r="S36" s="46" t="s">
        <v>73</v>
      </c>
      <c r="T36" s="46" t="s">
        <v>458</v>
      </c>
    </row>
    <row r="37" spans="1:20" ht="82.8">
      <c r="A37" s="28" t="s">
        <v>215</v>
      </c>
      <c r="B37" s="29" t="s">
        <v>189</v>
      </c>
      <c r="C37" s="29" t="s">
        <v>190</v>
      </c>
      <c r="D37" s="29" t="s">
        <v>191</v>
      </c>
      <c r="E37" s="29" t="s">
        <v>9</v>
      </c>
      <c r="F37" s="29" t="s">
        <v>192</v>
      </c>
      <c r="G37" s="29" t="s">
        <v>216</v>
      </c>
      <c r="H37" s="29" t="s">
        <v>194</v>
      </c>
      <c r="I37" s="29" t="s">
        <v>195</v>
      </c>
      <c r="J37" s="29" t="s">
        <v>217</v>
      </c>
      <c r="K37" s="46" t="s">
        <v>7</v>
      </c>
      <c r="L37" s="46" t="s">
        <v>8</v>
      </c>
      <c r="M37" s="46" t="s">
        <v>465</v>
      </c>
      <c r="N37" s="46" t="s">
        <v>7</v>
      </c>
      <c r="O37" s="46" t="s">
        <v>418</v>
      </c>
      <c r="P37" s="46" t="s">
        <v>419</v>
      </c>
      <c r="Q37" s="46"/>
      <c r="R37" s="46"/>
      <c r="S37" s="46" t="s">
        <v>73</v>
      </c>
      <c r="T37" s="46" t="s">
        <v>458</v>
      </c>
    </row>
    <row r="38" spans="1:20" ht="82.8">
      <c r="A38" s="28" t="s">
        <v>218</v>
      </c>
      <c r="B38" s="29" t="s">
        <v>189</v>
      </c>
      <c r="C38" s="29" t="s">
        <v>190</v>
      </c>
      <c r="D38" s="29" t="s">
        <v>191</v>
      </c>
      <c r="E38" s="29" t="s">
        <v>9</v>
      </c>
      <c r="F38" s="29" t="s">
        <v>192</v>
      </c>
      <c r="G38" s="29" t="s">
        <v>219</v>
      </c>
      <c r="H38" s="29" t="s">
        <v>194</v>
      </c>
      <c r="I38" s="29" t="s">
        <v>195</v>
      </c>
      <c r="J38" s="29" t="s">
        <v>220</v>
      </c>
      <c r="K38" s="46" t="s">
        <v>7</v>
      </c>
      <c r="L38" s="46" t="s">
        <v>8</v>
      </c>
      <c r="M38" s="46" t="s">
        <v>466</v>
      </c>
      <c r="N38" s="46" t="s">
        <v>7</v>
      </c>
      <c r="O38" s="46" t="s">
        <v>418</v>
      </c>
      <c r="P38" s="46" t="s">
        <v>419</v>
      </c>
      <c r="Q38" s="46"/>
      <c r="R38" s="46"/>
      <c r="S38" s="46" t="s">
        <v>73</v>
      </c>
      <c r="T38" s="46" t="s">
        <v>458</v>
      </c>
    </row>
    <row r="39" spans="1:20" ht="82.8">
      <c r="A39" s="28" t="s">
        <v>221</v>
      </c>
      <c r="B39" s="29" t="s">
        <v>189</v>
      </c>
      <c r="C39" s="29" t="s">
        <v>190</v>
      </c>
      <c r="D39" s="29" t="s">
        <v>191</v>
      </c>
      <c r="E39" s="29" t="s">
        <v>9</v>
      </c>
      <c r="F39" s="29" t="s">
        <v>192</v>
      </c>
      <c r="G39" s="29" t="s">
        <v>222</v>
      </c>
      <c r="H39" s="29" t="s">
        <v>194</v>
      </c>
      <c r="I39" s="29" t="s">
        <v>195</v>
      </c>
      <c r="J39" s="29" t="s">
        <v>137</v>
      </c>
      <c r="K39" s="46" t="s">
        <v>7</v>
      </c>
      <c r="L39" s="46" t="s">
        <v>8</v>
      </c>
      <c r="M39" s="46" t="s">
        <v>467</v>
      </c>
      <c r="N39" s="46" t="s">
        <v>7</v>
      </c>
      <c r="O39" s="46" t="s">
        <v>418</v>
      </c>
      <c r="P39" s="46" t="s">
        <v>419</v>
      </c>
      <c r="Q39" s="46"/>
      <c r="R39" s="46"/>
      <c r="S39" s="46" t="s">
        <v>73</v>
      </c>
      <c r="T39" s="46" t="s">
        <v>458</v>
      </c>
    </row>
    <row r="40" spans="1:20" ht="82.8">
      <c r="A40" s="28" t="s">
        <v>223</v>
      </c>
      <c r="B40" s="29" t="s">
        <v>189</v>
      </c>
      <c r="C40" s="29" t="s">
        <v>190</v>
      </c>
      <c r="D40" s="29" t="s">
        <v>191</v>
      </c>
      <c r="E40" s="29" t="s">
        <v>9</v>
      </c>
      <c r="F40" s="29" t="s">
        <v>192</v>
      </c>
      <c r="G40" s="29" t="s">
        <v>224</v>
      </c>
      <c r="H40" s="29" t="s">
        <v>194</v>
      </c>
      <c r="I40" s="29" t="s">
        <v>195</v>
      </c>
      <c r="J40" s="29" t="s">
        <v>225</v>
      </c>
      <c r="K40" s="46" t="s">
        <v>7</v>
      </c>
      <c r="L40" s="46" t="s">
        <v>8</v>
      </c>
      <c r="M40" s="46" t="s">
        <v>468</v>
      </c>
      <c r="N40" s="46" t="s">
        <v>7</v>
      </c>
      <c r="O40" s="46" t="s">
        <v>418</v>
      </c>
      <c r="P40" s="46" t="s">
        <v>419</v>
      </c>
      <c r="Q40" s="46"/>
      <c r="R40" s="46"/>
      <c r="S40" s="46" t="s">
        <v>73</v>
      </c>
      <c r="T40" s="46" t="s">
        <v>458</v>
      </c>
    </row>
    <row r="41" spans="1:20" ht="69">
      <c r="A41" s="28" t="s">
        <v>226</v>
      </c>
      <c r="B41" s="29" t="s">
        <v>189</v>
      </c>
      <c r="C41" s="29" t="s">
        <v>190</v>
      </c>
      <c r="D41" s="29" t="s">
        <v>191</v>
      </c>
      <c r="E41" s="29" t="s">
        <v>12</v>
      </c>
      <c r="F41" s="29" t="s">
        <v>192</v>
      </c>
      <c r="G41" s="29" t="s">
        <v>227</v>
      </c>
      <c r="H41" s="29" t="s">
        <v>194</v>
      </c>
      <c r="I41" s="29" t="s">
        <v>195</v>
      </c>
      <c r="J41" s="29" t="s">
        <v>228</v>
      </c>
      <c r="K41" s="46" t="s">
        <v>7</v>
      </c>
      <c r="L41" s="46" t="s">
        <v>8</v>
      </c>
      <c r="M41" s="46" t="s">
        <v>469</v>
      </c>
      <c r="N41" s="46" t="s">
        <v>7</v>
      </c>
      <c r="O41" s="46" t="s">
        <v>470</v>
      </c>
      <c r="P41" s="46" t="s">
        <v>471</v>
      </c>
      <c r="Q41" s="46"/>
      <c r="R41" s="46"/>
      <c r="S41" s="46" t="s">
        <v>73</v>
      </c>
      <c r="T41" s="46" t="s">
        <v>472</v>
      </c>
    </row>
    <row r="42" spans="1:20" ht="41.4">
      <c r="A42" s="28" t="s">
        <v>229</v>
      </c>
      <c r="B42" s="29" t="s">
        <v>230</v>
      </c>
      <c r="C42" s="29" t="s">
        <v>231</v>
      </c>
      <c r="D42" s="29" t="s">
        <v>232</v>
      </c>
      <c r="E42" s="29" t="s">
        <v>6</v>
      </c>
      <c r="F42" s="29" t="s">
        <v>233</v>
      </c>
      <c r="G42" s="29" t="s">
        <v>234</v>
      </c>
      <c r="H42" s="29" t="s">
        <v>235</v>
      </c>
      <c r="I42" s="29" t="s">
        <v>236</v>
      </c>
      <c r="J42" s="29" t="s">
        <v>237</v>
      </c>
      <c r="K42" s="46" t="s">
        <v>13</v>
      </c>
      <c r="L42" s="46" t="s">
        <v>14</v>
      </c>
      <c r="M42" s="46"/>
      <c r="N42" s="46"/>
      <c r="O42" s="46"/>
      <c r="P42" s="46"/>
      <c r="Q42" s="46" t="s">
        <v>473</v>
      </c>
      <c r="R42" s="46"/>
      <c r="S42" s="46" t="s">
        <v>238</v>
      </c>
      <c r="T42" s="46" t="s">
        <v>474</v>
      </c>
    </row>
    <row r="43" spans="1:20" ht="41.4">
      <c r="A43" s="28" t="s">
        <v>239</v>
      </c>
      <c r="B43" s="29" t="s">
        <v>230</v>
      </c>
      <c r="C43" s="29" t="s">
        <v>231</v>
      </c>
      <c r="D43" s="29" t="s">
        <v>232</v>
      </c>
      <c r="E43" s="29" t="s">
        <v>6</v>
      </c>
      <c r="F43" s="29" t="s">
        <v>233</v>
      </c>
      <c r="G43" s="29" t="s">
        <v>240</v>
      </c>
      <c r="H43" s="29" t="s">
        <v>235</v>
      </c>
      <c r="I43" s="29" t="s">
        <v>236</v>
      </c>
      <c r="J43" s="29" t="s">
        <v>241</v>
      </c>
      <c r="K43" s="46" t="s">
        <v>13</v>
      </c>
      <c r="L43" s="46" t="s">
        <v>14</v>
      </c>
      <c r="M43" s="46"/>
      <c r="N43" s="46"/>
      <c r="O43" s="46"/>
      <c r="P43" s="46"/>
      <c r="Q43" s="46" t="s">
        <v>473</v>
      </c>
      <c r="R43" s="46"/>
      <c r="S43" s="46" t="s">
        <v>238</v>
      </c>
      <c r="T43" s="46" t="s">
        <v>474</v>
      </c>
    </row>
    <row r="44" spans="1:20" ht="41.4">
      <c r="A44" s="28" t="s">
        <v>242</v>
      </c>
      <c r="B44" s="29" t="s">
        <v>230</v>
      </c>
      <c r="C44" s="29" t="s">
        <v>231</v>
      </c>
      <c r="D44" s="29" t="s">
        <v>232</v>
      </c>
      <c r="E44" s="29" t="s">
        <v>6</v>
      </c>
      <c r="F44" s="29" t="s">
        <v>233</v>
      </c>
      <c r="G44" s="29" t="s">
        <v>243</v>
      </c>
      <c r="H44" s="29" t="s">
        <v>235</v>
      </c>
      <c r="I44" s="29" t="s">
        <v>236</v>
      </c>
      <c r="J44" s="29" t="s">
        <v>244</v>
      </c>
      <c r="K44" s="46" t="s">
        <v>13</v>
      </c>
      <c r="L44" s="46" t="s">
        <v>14</v>
      </c>
      <c r="M44" s="46"/>
      <c r="N44" s="46"/>
      <c r="O44" s="46"/>
      <c r="P44" s="46"/>
      <c r="Q44" s="46" t="s">
        <v>473</v>
      </c>
      <c r="R44" s="46"/>
      <c r="S44" s="46" t="s">
        <v>238</v>
      </c>
      <c r="T44" s="46" t="s">
        <v>474</v>
      </c>
    </row>
    <row r="45" spans="1:20" ht="41.4">
      <c r="A45" s="28" t="s">
        <v>245</v>
      </c>
      <c r="B45" s="29" t="s">
        <v>230</v>
      </c>
      <c r="C45" s="29" t="s">
        <v>231</v>
      </c>
      <c r="D45" s="29" t="s">
        <v>232</v>
      </c>
      <c r="E45" s="29" t="s">
        <v>9</v>
      </c>
      <c r="F45" s="29" t="s">
        <v>233</v>
      </c>
      <c r="G45" s="29" t="s">
        <v>246</v>
      </c>
      <c r="H45" s="29" t="s">
        <v>235</v>
      </c>
      <c r="I45" s="29" t="s">
        <v>236</v>
      </c>
      <c r="J45" s="29" t="s">
        <v>247</v>
      </c>
      <c r="K45" s="46" t="s">
        <v>13</v>
      </c>
      <c r="L45" s="46" t="s">
        <v>14</v>
      </c>
      <c r="M45" s="46"/>
      <c r="N45" s="46"/>
      <c r="O45" s="46"/>
      <c r="P45" s="46"/>
      <c r="Q45" s="46" t="s">
        <v>473</v>
      </c>
      <c r="R45" s="46"/>
      <c r="S45" s="46" t="s">
        <v>238</v>
      </c>
      <c r="T45" s="46" t="s">
        <v>474</v>
      </c>
    </row>
    <row r="46" spans="1:20" ht="41.4">
      <c r="A46" s="28" t="s">
        <v>248</v>
      </c>
      <c r="B46" s="29" t="s">
        <v>230</v>
      </c>
      <c r="C46" s="29" t="s">
        <v>231</v>
      </c>
      <c r="D46" s="29" t="s">
        <v>232</v>
      </c>
      <c r="E46" s="29" t="s">
        <v>9</v>
      </c>
      <c r="F46" s="29" t="s">
        <v>233</v>
      </c>
      <c r="G46" s="29" t="s">
        <v>249</v>
      </c>
      <c r="H46" s="29" t="s">
        <v>235</v>
      </c>
      <c r="I46" s="29" t="s">
        <v>236</v>
      </c>
      <c r="J46" s="29" t="s">
        <v>250</v>
      </c>
      <c r="K46" s="46" t="s">
        <v>13</v>
      </c>
      <c r="L46" s="46" t="s">
        <v>14</v>
      </c>
      <c r="M46" s="46"/>
      <c r="N46" s="46"/>
      <c r="O46" s="46"/>
      <c r="P46" s="46"/>
      <c r="Q46" s="46" t="s">
        <v>473</v>
      </c>
      <c r="R46" s="46"/>
      <c r="S46" s="46" t="s">
        <v>238</v>
      </c>
      <c r="T46" s="46" t="s">
        <v>474</v>
      </c>
    </row>
    <row r="47" spans="1:20" ht="41.4">
      <c r="A47" s="28" t="s">
        <v>251</v>
      </c>
      <c r="B47" s="29" t="s">
        <v>230</v>
      </c>
      <c r="C47" s="29" t="s">
        <v>231</v>
      </c>
      <c r="D47" s="29" t="s">
        <v>232</v>
      </c>
      <c r="E47" s="29" t="s">
        <v>9</v>
      </c>
      <c r="F47" s="29" t="s">
        <v>233</v>
      </c>
      <c r="G47" s="29" t="s">
        <v>252</v>
      </c>
      <c r="H47" s="29" t="s">
        <v>235</v>
      </c>
      <c r="I47" s="29" t="s">
        <v>236</v>
      </c>
      <c r="J47" s="29" t="s">
        <v>253</v>
      </c>
      <c r="K47" s="46" t="s">
        <v>13</v>
      </c>
      <c r="L47" s="46" t="s">
        <v>14</v>
      </c>
      <c r="M47" s="46"/>
      <c r="N47" s="46"/>
      <c r="O47" s="46"/>
      <c r="P47" s="46"/>
      <c r="Q47" s="46" t="s">
        <v>473</v>
      </c>
      <c r="R47" s="46"/>
      <c r="S47" s="46" t="s">
        <v>238</v>
      </c>
      <c r="T47" s="46" t="s">
        <v>474</v>
      </c>
    </row>
    <row r="48" spans="1:20" ht="41.4">
      <c r="A48" s="28" t="s">
        <v>254</v>
      </c>
      <c r="B48" s="29" t="s">
        <v>230</v>
      </c>
      <c r="C48" s="29" t="s">
        <v>231</v>
      </c>
      <c r="D48" s="29" t="s">
        <v>232</v>
      </c>
      <c r="E48" s="29" t="s">
        <v>9</v>
      </c>
      <c r="F48" s="29" t="s">
        <v>233</v>
      </c>
      <c r="G48" s="29" t="s">
        <v>255</v>
      </c>
      <c r="H48" s="29" t="s">
        <v>235</v>
      </c>
      <c r="I48" s="29" t="s">
        <v>236</v>
      </c>
      <c r="J48" s="29" t="s">
        <v>256</v>
      </c>
      <c r="K48" s="46" t="s">
        <v>13</v>
      </c>
      <c r="L48" s="46" t="s">
        <v>14</v>
      </c>
      <c r="M48" s="46"/>
      <c r="N48" s="46"/>
      <c r="O48" s="46"/>
      <c r="P48" s="46"/>
      <c r="Q48" s="46" t="s">
        <v>473</v>
      </c>
      <c r="R48" s="46"/>
      <c r="S48" s="46" t="s">
        <v>238</v>
      </c>
      <c r="T48" s="46" t="s">
        <v>474</v>
      </c>
    </row>
    <row r="49" spans="1:20" ht="41.4">
      <c r="A49" s="28" t="s">
        <v>257</v>
      </c>
      <c r="B49" s="29" t="s">
        <v>230</v>
      </c>
      <c r="C49" s="29" t="s">
        <v>231</v>
      </c>
      <c r="D49" s="29" t="s">
        <v>232</v>
      </c>
      <c r="E49" s="29" t="s">
        <v>9</v>
      </c>
      <c r="F49" s="29" t="s">
        <v>233</v>
      </c>
      <c r="G49" s="29" t="s">
        <v>258</v>
      </c>
      <c r="H49" s="29" t="s">
        <v>235</v>
      </c>
      <c r="I49" s="29" t="s">
        <v>236</v>
      </c>
      <c r="J49" s="29" t="s">
        <v>259</v>
      </c>
      <c r="K49" s="46" t="s">
        <v>13</v>
      </c>
      <c r="L49" s="46" t="s">
        <v>14</v>
      </c>
      <c r="M49" s="46"/>
      <c r="N49" s="46"/>
      <c r="O49" s="46"/>
      <c r="P49" s="46"/>
      <c r="Q49" s="46" t="s">
        <v>473</v>
      </c>
      <c r="R49" s="46"/>
      <c r="S49" s="46" t="s">
        <v>238</v>
      </c>
      <c r="T49" s="46" t="s">
        <v>474</v>
      </c>
    </row>
    <row r="50" spans="1:20" ht="41.4">
      <c r="A50" s="28" t="s">
        <v>260</v>
      </c>
      <c r="B50" s="29" t="s">
        <v>230</v>
      </c>
      <c r="C50" s="29" t="s">
        <v>231</v>
      </c>
      <c r="D50" s="29" t="s">
        <v>232</v>
      </c>
      <c r="E50" s="29" t="s">
        <v>9</v>
      </c>
      <c r="F50" s="29" t="s">
        <v>233</v>
      </c>
      <c r="G50" s="29" t="s">
        <v>261</v>
      </c>
      <c r="H50" s="29" t="s">
        <v>235</v>
      </c>
      <c r="I50" s="29" t="s">
        <v>236</v>
      </c>
      <c r="J50" s="29" t="s">
        <v>262</v>
      </c>
      <c r="K50" s="46" t="s">
        <v>13</v>
      </c>
      <c r="L50" s="46" t="s">
        <v>14</v>
      </c>
      <c r="M50" s="46"/>
      <c r="N50" s="46"/>
      <c r="O50" s="46"/>
      <c r="P50" s="46"/>
      <c r="Q50" s="46" t="s">
        <v>473</v>
      </c>
      <c r="R50" s="46"/>
      <c r="S50" s="46" t="s">
        <v>238</v>
      </c>
      <c r="T50" s="46" t="s">
        <v>474</v>
      </c>
    </row>
    <row r="51" spans="1:20" ht="41.4">
      <c r="A51" s="28" t="s">
        <v>263</v>
      </c>
      <c r="B51" s="29" t="s">
        <v>230</v>
      </c>
      <c r="C51" s="29" t="s">
        <v>231</v>
      </c>
      <c r="D51" s="29" t="s">
        <v>232</v>
      </c>
      <c r="E51" s="29" t="s">
        <v>12</v>
      </c>
      <c r="F51" s="29" t="s">
        <v>233</v>
      </c>
      <c r="G51" s="29" t="s">
        <v>264</v>
      </c>
      <c r="H51" s="29" t="s">
        <v>235</v>
      </c>
      <c r="I51" s="29" t="s">
        <v>236</v>
      </c>
      <c r="J51" s="29" t="s">
        <v>265</v>
      </c>
      <c r="K51" s="46" t="s">
        <v>13</v>
      </c>
      <c r="L51" s="46" t="s">
        <v>14</v>
      </c>
      <c r="M51" s="46"/>
      <c r="N51" s="46"/>
      <c r="O51" s="46"/>
      <c r="P51" s="46"/>
      <c r="Q51" s="46" t="s">
        <v>473</v>
      </c>
      <c r="R51" s="46"/>
      <c r="S51" s="46" t="s">
        <v>238</v>
      </c>
      <c r="T51" s="46" t="s">
        <v>474</v>
      </c>
    </row>
    <row r="52" spans="1:20" ht="41.4">
      <c r="A52" s="28" t="s">
        <v>266</v>
      </c>
      <c r="B52" s="29" t="s">
        <v>267</v>
      </c>
      <c r="C52" s="29" t="s">
        <v>268</v>
      </c>
      <c r="D52" s="29" t="s">
        <v>156</v>
      </c>
      <c r="E52" s="29" t="s">
        <v>6</v>
      </c>
      <c r="F52" s="29" t="s">
        <v>269</v>
      </c>
      <c r="G52" s="29" t="s">
        <v>270</v>
      </c>
      <c r="H52" s="29" t="s">
        <v>271</v>
      </c>
      <c r="I52" s="29" t="s">
        <v>272</v>
      </c>
      <c r="J52" s="29" t="s">
        <v>273</v>
      </c>
      <c r="K52" s="46" t="s">
        <v>10</v>
      </c>
      <c r="L52" s="46" t="s">
        <v>14</v>
      </c>
      <c r="M52" s="46"/>
      <c r="N52" s="46"/>
      <c r="O52" s="46"/>
      <c r="P52" s="46"/>
      <c r="Q52" s="46" t="s">
        <v>475</v>
      </c>
      <c r="R52" s="46"/>
      <c r="S52" s="46" t="s">
        <v>108</v>
      </c>
      <c r="T52" s="46" t="s">
        <v>476</v>
      </c>
    </row>
    <row r="53" spans="1:20" ht="41.4">
      <c r="A53" s="28" t="s">
        <v>274</v>
      </c>
      <c r="B53" s="29" t="s">
        <v>267</v>
      </c>
      <c r="C53" s="29" t="s">
        <v>268</v>
      </c>
      <c r="D53" s="29" t="s">
        <v>156</v>
      </c>
      <c r="E53" s="29" t="s">
        <v>6</v>
      </c>
      <c r="F53" s="29" t="s">
        <v>269</v>
      </c>
      <c r="G53" s="29" t="s">
        <v>275</v>
      </c>
      <c r="H53" s="29" t="s">
        <v>271</v>
      </c>
      <c r="I53" s="29" t="s">
        <v>272</v>
      </c>
      <c r="J53" s="29" t="s">
        <v>276</v>
      </c>
      <c r="K53" s="46" t="s">
        <v>10</v>
      </c>
      <c r="L53" s="46" t="s">
        <v>14</v>
      </c>
      <c r="M53" s="46"/>
      <c r="N53" s="46"/>
      <c r="O53" s="46"/>
      <c r="P53" s="46"/>
      <c r="Q53" s="46" t="s">
        <v>475</v>
      </c>
      <c r="R53" s="46"/>
      <c r="S53" s="46" t="s">
        <v>108</v>
      </c>
      <c r="T53" s="46" t="s">
        <v>476</v>
      </c>
    </row>
    <row r="54" spans="1:20" ht="41.4">
      <c r="A54" s="28" t="s">
        <v>277</v>
      </c>
      <c r="B54" s="29" t="s">
        <v>267</v>
      </c>
      <c r="C54" s="29" t="s">
        <v>268</v>
      </c>
      <c r="D54" s="29" t="s">
        <v>156</v>
      </c>
      <c r="E54" s="29" t="s">
        <v>6</v>
      </c>
      <c r="F54" s="29" t="s">
        <v>269</v>
      </c>
      <c r="G54" s="29" t="s">
        <v>278</v>
      </c>
      <c r="H54" s="29" t="s">
        <v>271</v>
      </c>
      <c r="I54" s="29" t="s">
        <v>272</v>
      </c>
      <c r="J54" s="29" t="s">
        <v>279</v>
      </c>
      <c r="K54" s="46" t="s">
        <v>10</v>
      </c>
      <c r="L54" s="46" t="s">
        <v>14</v>
      </c>
      <c r="M54" s="46"/>
      <c r="N54" s="46"/>
      <c r="O54" s="46"/>
      <c r="P54" s="46"/>
      <c r="Q54" s="46" t="s">
        <v>475</v>
      </c>
      <c r="R54" s="46"/>
      <c r="S54" s="46" t="s">
        <v>108</v>
      </c>
      <c r="T54" s="46" t="s">
        <v>476</v>
      </c>
    </row>
    <row r="55" spans="1:20" ht="41.4">
      <c r="A55" s="28" t="s">
        <v>280</v>
      </c>
      <c r="B55" s="29" t="s">
        <v>267</v>
      </c>
      <c r="C55" s="29" t="s">
        <v>268</v>
      </c>
      <c r="D55" s="29" t="s">
        <v>156</v>
      </c>
      <c r="E55" s="29" t="s">
        <v>9</v>
      </c>
      <c r="F55" s="29" t="s">
        <v>269</v>
      </c>
      <c r="G55" s="29" t="s">
        <v>281</v>
      </c>
      <c r="H55" s="29" t="s">
        <v>271</v>
      </c>
      <c r="I55" s="29" t="s">
        <v>272</v>
      </c>
      <c r="J55" s="29" t="s">
        <v>282</v>
      </c>
      <c r="K55" s="46" t="s">
        <v>10</v>
      </c>
      <c r="L55" s="46" t="s">
        <v>14</v>
      </c>
      <c r="M55" s="46"/>
      <c r="N55" s="46"/>
      <c r="O55" s="46"/>
      <c r="P55" s="46"/>
      <c r="Q55" s="46" t="s">
        <v>475</v>
      </c>
      <c r="R55" s="46"/>
      <c r="S55" s="46" t="s">
        <v>108</v>
      </c>
      <c r="T55" s="46" t="s">
        <v>476</v>
      </c>
    </row>
    <row r="56" spans="1:20" ht="41.4">
      <c r="A56" s="28" t="s">
        <v>283</v>
      </c>
      <c r="B56" s="29" t="s">
        <v>267</v>
      </c>
      <c r="C56" s="29" t="s">
        <v>268</v>
      </c>
      <c r="D56" s="29" t="s">
        <v>156</v>
      </c>
      <c r="E56" s="29" t="s">
        <v>9</v>
      </c>
      <c r="F56" s="29" t="s">
        <v>269</v>
      </c>
      <c r="G56" s="29" t="s">
        <v>284</v>
      </c>
      <c r="H56" s="29" t="s">
        <v>271</v>
      </c>
      <c r="I56" s="29" t="s">
        <v>272</v>
      </c>
      <c r="J56" s="29" t="s">
        <v>285</v>
      </c>
      <c r="K56" s="46" t="s">
        <v>10</v>
      </c>
      <c r="L56" s="46" t="s">
        <v>14</v>
      </c>
      <c r="M56" s="46"/>
      <c r="N56" s="46"/>
      <c r="O56" s="46"/>
      <c r="P56" s="46"/>
      <c r="Q56" s="46" t="s">
        <v>475</v>
      </c>
      <c r="R56" s="46"/>
      <c r="S56" s="46" t="s">
        <v>108</v>
      </c>
      <c r="T56" s="46" t="s">
        <v>476</v>
      </c>
    </row>
    <row r="57" spans="1:20" ht="41.4">
      <c r="A57" s="28" t="s">
        <v>286</v>
      </c>
      <c r="B57" s="29" t="s">
        <v>267</v>
      </c>
      <c r="C57" s="29" t="s">
        <v>268</v>
      </c>
      <c r="D57" s="29" t="s">
        <v>156</v>
      </c>
      <c r="E57" s="29" t="s">
        <v>9</v>
      </c>
      <c r="F57" s="29" t="s">
        <v>269</v>
      </c>
      <c r="G57" s="29" t="s">
        <v>287</v>
      </c>
      <c r="H57" s="29" t="s">
        <v>271</v>
      </c>
      <c r="I57" s="29" t="s">
        <v>272</v>
      </c>
      <c r="J57" s="29" t="s">
        <v>288</v>
      </c>
      <c r="K57" s="46" t="s">
        <v>10</v>
      </c>
      <c r="L57" s="46" t="s">
        <v>14</v>
      </c>
      <c r="M57" s="46"/>
      <c r="N57" s="46"/>
      <c r="O57" s="46"/>
      <c r="P57" s="46"/>
      <c r="Q57" s="46" t="s">
        <v>475</v>
      </c>
      <c r="R57" s="46"/>
      <c r="S57" s="46" t="s">
        <v>108</v>
      </c>
      <c r="T57" s="46" t="s">
        <v>476</v>
      </c>
    </row>
    <row r="58" spans="1:20" ht="41.4">
      <c r="A58" s="28" t="s">
        <v>289</v>
      </c>
      <c r="B58" s="29" t="s">
        <v>267</v>
      </c>
      <c r="C58" s="29" t="s">
        <v>268</v>
      </c>
      <c r="D58" s="29" t="s">
        <v>156</v>
      </c>
      <c r="E58" s="29" t="s">
        <v>9</v>
      </c>
      <c r="F58" s="29" t="s">
        <v>269</v>
      </c>
      <c r="G58" s="29" t="s">
        <v>290</v>
      </c>
      <c r="H58" s="29" t="s">
        <v>271</v>
      </c>
      <c r="I58" s="29" t="s">
        <v>272</v>
      </c>
      <c r="J58" s="29" t="s">
        <v>291</v>
      </c>
      <c r="K58" s="46" t="s">
        <v>10</v>
      </c>
      <c r="L58" s="46" t="s">
        <v>14</v>
      </c>
      <c r="M58" s="46"/>
      <c r="N58" s="46"/>
      <c r="O58" s="46"/>
      <c r="P58" s="46"/>
      <c r="Q58" s="46" t="s">
        <v>475</v>
      </c>
      <c r="R58" s="46"/>
      <c r="S58" s="46" t="s">
        <v>108</v>
      </c>
      <c r="T58" s="46" t="s">
        <v>476</v>
      </c>
    </row>
    <row r="59" spans="1:20" ht="41.4">
      <c r="A59" s="28" t="s">
        <v>292</v>
      </c>
      <c r="B59" s="29" t="s">
        <v>267</v>
      </c>
      <c r="C59" s="29" t="s">
        <v>268</v>
      </c>
      <c r="D59" s="29" t="s">
        <v>156</v>
      </c>
      <c r="E59" s="29" t="s">
        <v>12</v>
      </c>
      <c r="F59" s="29" t="s">
        <v>269</v>
      </c>
      <c r="G59" s="29" t="s">
        <v>293</v>
      </c>
      <c r="H59" s="29" t="s">
        <v>271</v>
      </c>
      <c r="I59" s="29" t="s">
        <v>272</v>
      </c>
      <c r="J59" s="29" t="s">
        <v>294</v>
      </c>
      <c r="K59" s="46" t="s">
        <v>10</v>
      </c>
      <c r="L59" s="46" t="s">
        <v>14</v>
      </c>
      <c r="M59" s="46"/>
      <c r="N59" s="46"/>
      <c r="O59" s="46"/>
      <c r="P59" s="46"/>
      <c r="Q59" s="46" t="s">
        <v>475</v>
      </c>
      <c r="R59" s="46"/>
      <c r="S59" s="46" t="s">
        <v>108</v>
      </c>
      <c r="T59" s="46" t="s">
        <v>476</v>
      </c>
    </row>
    <row r="60" spans="1:20" ht="41.4">
      <c r="A60" s="28" t="s">
        <v>295</v>
      </c>
      <c r="B60" s="29" t="s">
        <v>296</v>
      </c>
      <c r="C60" s="29" t="s">
        <v>297</v>
      </c>
      <c r="D60" s="29" t="s">
        <v>232</v>
      </c>
      <c r="E60" s="29" t="s">
        <v>6</v>
      </c>
      <c r="F60" s="29" t="s">
        <v>298</v>
      </c>
      <c r="G60" s="29" t="s">
        <v>299</v>
      </c>
      <c r="H60" s="29" t="s">
        <v>300</v>
      </c>
      <c r="I60" s="29" t="s">
        <v>301</v>
      </c>
      <c r="J60" s="29" t="s">
        <v>302</v>
      </c>
      <c r="K60" s="46" t="s">
        <v>13</v>
      </c>
      <c r="L60" s="46" t="s">
        <v>14</v>
      </c>
      <c r="M60" s="46"/>
      <c r="N60" s="46"/>
      <c r="O60" s="46"/>
      <c r="P60" s="46"/>
      <c r="Q60" s="46" t="s">
        <v>477</v>
      </c>
      <c r="R60" s="46"/>
      <c r="S60" s="46" t="s">
        <v>238</v>
      </c>
      <c r="T60" s="46" t="s">
        <v>478</v>
      </c>
    </row>
    <row r="61" spans="1:20" ht="41.4">
      <c r="A61" s="28" t="s">
        <v>303</v>
      </c>
      <c r="B61" s="29" t="s">
        <v>296</v>
      </c>
      <c r="C61" s="29" t="s">
        <v>297</v>
      </c>
      <c r="D61" s="29" t="s">
        <v>232</v>
      </c>
      <c r="E61" s="29" t="s">
        <v>6</v>
      </c>
      <c r="F61" s="29" t="s">
        <v>298</v>
      </c>
      <c r="G61" s="29" t="s">
        <v>304</v>
      </c>
      <c r="H61" s="29" t="s">
        <v>300</v>
      </c>
      <c r="I61" s="29" t="s">
        <v>301</v>
      </c>
      <c r="J61" s="29" t="s">
        <v>305</v>
      </c>
      <c r="K61" s="46" t="s">
        <v>13</v>
      </c>
      <c r="L61" s="46" t="s">
        <v>14</v>
      </c>
      <c r="M61" s="46"/>
      <c r="N61" s="46"/>
      <c r="O61" s="46"/>
      <c r="P61" s="46"/>
      <c r="Q61" s="46" t="s">
        <v>477</v>
      </c>
      <c r="R61" s="46"/>
      <c r="S61" s="46" t="s">
        <v>238</v>
      </c>
      <c r="T61" s="46" t="s">
        <v>478</v>
      </c>
    </row>
    <row r="62" spans="1:20" ht="41.4">
      <c r="A62" s="28" t="s">
        <v>306</v>
      </c>
      <c r="B62" s="29" t="s">
        <v>296</v>
      </c>
      <c r="C62" s="29" t="s">
        <v>297</v>
      </c>
      <c r="D62" s="29" t="s">
        <v>232</v>
      </c>
      <c r="E62" s="29" t="s">
        <v>9</v>
      </c>
      <c r="F62" s="29" t="s">
        <v>298</v>
      </c>
      <c r="G62" s="29" t="s">
        <v>307</v>
      </c>
      <c r="H62" s="29" t="s">
        <v>300</v>
      </c>
      <c r="I62" s="29" t="s">
        <v>301</v>
      </c>
      <c r="J62" s="29" t="s">
        <v>308</v>
      </c>
      <c r="K62" s="46" t="s">
        <v>13</v>
      </c>
      <c r="L62" s="46" t="s">
        <v>14</v>
      </c>
      <c r="M62" s="46"/>
      <c r="N62" s="46"/>
      <c r="O62" s="46"/>
      <c r="P62" s="46"/>
      <c r="Q62" s="46" t="s">
        <v>477</v>
      </c>
      <c r="R62" s="46"/>
      <c r="S62" s="46" t="s">
        <v>238</v>
      </c>
      <c r="T62" s="46" t="s">
        <v>478</v>
      </c>
    </row>
    <row r="63" spans="1:20" ht="41.4">
      <c r="A63" s="28" t="s">
        <v>309</v>
      </c>
      <c r="B63" s="29" t="s">
        <v>296</v>
      </c>
      <c r="C63" s="29" t="s">
        <v>297</v>
      </c>
      <c r="D63" s="29" t="s">
        <v>232</v>
      </c>
      <c r="E63" s="29" t="s">
        <v>9</v>
      </c>
      <c r="F63" s="29" t="s">
        <v>298</v>
      </c>
      <c r="G63" s="29" t="s">
        <v>310</v>
      </c>
      <c r="H63" s="29" t="s">
        <v>300</v>
      </c>
      <c r="I63" s="29" t="s">
        <v>301</v>
      </c>
      <c r="J63" s="29" t="s">
        <v>311</v>
      </c>
      <c r="K63" s="46" t="s">
        <v>13</v>
      </c>
      <c r="L63" s="46" t="s">
        <v>14</v>
      </c>
      <c r="M63" s="46"/>
      <c r="N63" s="46"/>
      <c r="O63" s="46"/>
      <c r="P63" s="46"/>
      <c r="Q63" s="46" t="s">
        <v>477</v>
      </c>
      <c r="R63" s="46"/>
      <c r="S63" s="46" t="s">
        <v>238</v>
      </c>
      <c r="T63" s="46" t="s">
        <v>478</v>
      </c>
    </row>
    <row r="64" spans="1:20" ht="41.4">
      <c r="A64" s="28" t="s">
        <v>312</v>
      </c>
      <c r="B64" s="29" t="s">
        <v>296</v>
      </c>
      <c r="C64" s="29" t="s">
        <v>297</v>
      </c>
      <c r="D64" s="29" t="s">
        <v>232</v>
      </c>
      <c r="E64" s="29" t="s">
        <v>9</v>
      </c>
      <c r="F64" s="29" t="s">
        <v>298</v>
      </c>
      <c r="G64" s="29" t="s">
        <v>313</v>
      </c>
      <c r="H64" s="29" t="s">
        <v>300</v>
      </c>
      <c r="I64" s="29" t="s">
        <v>301</v>
      </c>
      <c r="J64" s="29" t="s">
        <v>314</v>
      </c>
      <c r="K64" s="46" t="s">
        <v>13</v>
      </c>
      <c r="L64" s="46" t="s">
        <v>14</v>
      </c>
      <c r="M64" s="46"/>
      <c r="N64" s="46"/>
      <c r="O64" s="46"/>
      <c r="P64" s="46"/>
      <c r="Q64" s="46" t="s">
        <v>477</v>
      </c>
      <c r="R64" s="46"/>
      <c r="S64" s="46" t="s">
        <v>238</v>
      </c>
      <c r="T64" s="46" t="s">
        <v>478</v>
      </c>
    </row>
    <row r="65" spans="1:20" ht="41.4">
      <c r="A65" s="28" t="s">
        <v>315</v>
      </c>
      <c r="B65" s="29" t="s">
        <v>296</v>
      </c>
      <c r="C65" s="29" t="s">
        <v>297</v>
      </c>
      <c r="D65" s="29" t="s">
        <v>232</v>
      </c>
      <c r="E65" s="29" t="s">
        <v>9</v>
      </c>
      <c r="F65" s="29" t="s">
        <v>298</v>
      </c>
      <c r="G65" s="29" t="s">
        <v>316</v>
      </c>
      <c r="H65" s="29" t="s">
        <v>300</v>
      </c>
      <c r="I65" s="29" t="s">
        <v>301</v>
      </c>
      <c r="J65" s="29" t="s">
        <v>317</v>
      </c>
      <c r="K65" s="46" t="s">
        <v>13</v>
      </c>
      <c r="L65" s="46" t="s">
        <v>14</v>
      </c>
      <c r="M65" s="46"/>
      <c r="N65" s="46"/>
      <c r="O65" s="46"/>
      <c r="P65" s="46"/>
      <c r="Q65" s="46" t="s">
        <v>477</v>
      </c>
      <c r="R65" s="46"/>
      <c r="S65" s="46" t="s">
        <v>238</v>
      </c>
      <c r="T65" s="46" t="s">
        <v>478</v>
      </c>
    </row>
    <row r="66" spans="1:20" ht="41.4">
      <c r="A66" s="28" t="s">
        <v>318</v>
      </c>
      <c r="B66" s="29" t="s">
        <v>296</v>
      </c>
      <c r="C66" s="29" t="s">
        <v>297</v>
      </c>
      <c r="D66" s="29" t="s">
        <v>232</v>
      </c>
      <c r="E66" s="29" t="s">
        <v>12</v>
      </c>
      <c r="F66" s="29" t="s">
        <v>298</v>
      </c>
      <c r="G66" s="29" t="s">
        <v>319</v>
      </c>
      <c r="H66" s="29" t="s">
        <v>300</v>
      </c>
      <c r="I66" s="29" t="s">
        <v>301</v>
      </c>
      <c r="J66" s="29" t="s">
        <v>320</v>
      </c>
      <c r="K66" s="46" t="s">
        <v>16</v>
      </c>
      <c r="L66" s="46" t="s">
        <v>14</v>
      </c>
      <c r="M66" s="46"/>
      <c r="N66" s="46"/>
      <c r="O66" s="46"/>
      <c r="P66" s="46"/>
      <c r="Q66" s="46" t="s">
        <v>477</v>
      </c>
      <c r="R66" s="46"/>
      <c r="S66" s="46" t="s">
        <v>238</v>
      </c>
      <c r="T66" s="46" t="s">
        <v>478</v>
      </c>
    </row>
    <row r="67" spans="1:20" ht="55.2">
      <c r="A67" s="28" t="s">
        <v>321</v>
      </c>
      <c r="B67" s="29" t="s">
        <v>322</v>
      </c>
      <c r="C67" s="29" t="s">
        <v>323</v>
      </c>
      <c r="D67" s="29" t="s">
        <v>324</v>
      </c>
      <c r="E67" s="29" t="s">
        <v>6</v>
      </c>
      <c r="F67" s="29" t="s">
        <v>325</v>
      </c>
      <c r="G67" s="29" t="s">
        <v>326</v>
      </c>
      <c r="H67" s="29" t="s">
        <v>327</v>
      </c>
      <c r="I67" s="29" t="s">
        <v>328</v>
      </c>
      <c r="J67" s="29" t="s">
        <v>329</v>
      </c>
      <c r="K67" s="46" t="s">
        <v>16</v>
      </c>
      <c r="L67" s="46" t="s">
        <v>14</v>
      </c>
      <c r="M67" s="46"/>
      <c r="N67" s="46"/>
      <c r="O67" s="46"/>
      <c r="P67" s="46"/>
      <c r="Q67" s="46" t="s">
        <v>479</v>
      </c>
      <c r="R67" s="46"/>
      <c r="S67" s="46" t="s">
        <v>330</v>
      </c>
      <c r="T67" s="46" t="s">
        <v>480</v>
      </c>
    </row>
    <row r="68" spans="1:20" ht="55.2">
      <c r="A68" s="28" t="s">
        <v>331</v>
      </c>
      <c r="B68" s="29" t="s">
        <v>322</v>
      </c>
      <c r="C68" s="29" t="s">
        <v>323</v>
      </c>
      <c r="D68" s="29" t="s">
        <v>324</v>
      </c>
      <c r="E68" s="29" t="s">
        <v>6</v>
      </c>
      <c r="F68" s="29" t="s">
        <v>325</v>
      </c>
      <c r="G68" s="29" t="s">
        <v>332</v>
      </c>
      <c r="H68" s="29" t="s">
        <v>327</v>
      </c>
      <c r="I68" s="29" t="s">
        <v>328</v>
      </c>
      <c r="J68" s="29" t="s">
        <v>333</v>
      </c>
      <c r="K68" s="46" t="s">
        <v>16</v>
      </c>
      <c r="L68" s="46" t="s">
        <v>14</v>
      </c>
      <c r="M68" s="46"/>
      <c r="N68" s="46"/>
      <c r="O68" s="46"/>
      <c r="P68" s="46"/>
      <c r="Q68" s="46" t="s">
        <v>479</v>
      </c>
      <c r="R68" s="46"/>
      <c r="S68" s="46" t="s">
        <v>330</v>
      </c>
      <c r="T68" s="46" t="s">
        <v>480</v>
      </c>
    </row>
    <row r="69" spans="1:20" ht="55.2">
      <c r="A69" s="28" t="s">
        <v>334</v>
      </c>
      <c r="B69" s="29" t="s">
        <v>322</v>
      </c>
      <c r="C69" s="29" t="s">
        <v>323</v>
      </c>
      <c r="D69" s="29" t="s">
        <v>324</v>
      </c>
      <c r="E69" s="29" t="s">
        <v>6</v>
      </c>
      <c r="F69" s="29" t="s">
        <v>325</v>
      </c>
      <c r="G69" s="29" t="s">
        <v>335</v>
      </c>
      <c r="H69" s="29" t="s">
        <v>327</v>
      </c>
      <c r="I69" s="29" t="s">
        <v>328</v>
      </c>
      <c r="J69" s="29" t="s">
        <v>336</v>
      </c>
      <c r="K69" s="46" t="s">
        <v>16</v>
      </c>
      <c r="L69" s="46" t="s">
        <v>14</v>
      </c>
      <c r="M69" s="46"/>
      <c r="N69" s="46"/>
      <c r="O69" s="46"/>
      <c r="P69" s="46"/>
      <c r="Q69" s="46" t="s">
        <v>479</v>
      </c>
      <c r="R69" s="46"/>
      <c r="S69" s="46" t="s">
        <v>330</v>
      </c>
      <c r="T69" s="46" t="s">
        <v>480</v>
      </c>
    </row>
    <row r="70" spans="1:20" ht="55.2">
      <c r="A70" s="28" t="s">
        <v>337</v>
      </c>
      <c r="B70" s="29" t="s">
        <v>322</v>
      </c>
      <c r="C70" s="29" t="s">
        <v>323</v>
      </c>
      <c r="D70" s="29" t="s">
        <v>324</v>
      </c>
      <c r="E70" s="29" t="s">
        <v>9</v>
      </c>
      <c r="F70" s="29" t="s">
        <v>325</v>
      </c>
      <c r="G70" s="29" t="s">
        <v>338</v>
      </c>
      <c r="H70" s="29" t="s">
        <v>327</v>
      </c>
      <c r="I70" s="29" t="s">
        <v>328</v>
      </c>
      <c r="J70" s="29" t="s">
        <v>339</v>
      </c>
      <c r="K70" s="46" t="s">
        <v>16</v>
      </c>
      <c r="L70" s="46" t="s">
        <v>14</v>
      </c>
      <c r="M70" s="46"/>
      <c r="N70" s="46"/>
      <c r="O70" s="46"/>
      <c r="P70" s="46"/>
      <c r="Q70" s="46" t="s">
        <v>479</v>
      </c>
      <c r="R70" s="46"/>
      <c r="S70" s="46" t="s">
        <v>330</v>
      </c>
      <c r="T70" s="46" t="s">
        <v>480</v>
      </c>
    </row>
    <row r="71" spans="1:20" ht="55.2">
      <c r="A71" s="28" t="s">
        <v>340</v>
      </c>
      <c r="B71" s="29" t="s">
        <v>322</v>
      </c>
      <c r="C71" s="29" t="s">
        <v>323</v>
      </c>
      <c r="D71" s="29" t="s">
        <v>324</v>
      </c>
      <c r="E71" s="29" t="s">
        <v>9</v>
      </c>
      <c r="F71" s="29" t="s">
        <v>325</v>
      </c>
      <c r="G71" s="29" t="s">
        <v>341</v>
      </c>
      <c r="H71" s="29" t="s">
        <v>327</v>
      </c>
      <c r="I71" s="29" t="s">
        <v>328</v>
      </c>
      <c r="J71" s="29" t="s">
        <v>342</v>
      </c>
      <c r="K71" s="46" t="s">
        <v>16</v>
      </c>
      <c r="L71" s="46" t="s">
        <v>14</v>
      </c>
      <c r="M71" s="46"/>
      <c r="N71" s="46"/>
      <c r="O71" s="46"/>
      <c r="P71" s="46"/>
      <c r="Q71" s="46" t="s">
        <v>479</v>
      </c>
      <c r="R71" s="46"/>
      <c r="S71" s="46" t="s">
        <v>330</v>
      </c>
      <c r="T71" s="46" t="s">
        <v>480</v>
      </c>
    </row>
    <row r="72" spans="1:20" ht="165.6">
      <c r="A72" s="28" t="s">
        <v>343</v>
      </c>
      <c r="B72" s="29" t="s">
        <v>322</v>
      </c>
      <c r="C72" s="29" t="s">
        <v>344</v>
      </c>
      <c r="D72" s="29" t="s">
        <v>103</v>
      </c>
      <c r="E72" s="29" t="s">
        <v>6</v>
      </c>
      <c r="F72" s="29" t="s">
        <v>345</v>
      </c>
      <c r="G72" s="29" t="s">
        <v>346</v>
      </c>
      <c r="H72" s="29" t="s">
        <v>347</v>
      </c>
      <c r="I72" s="29" t="s">
        <v>348</v>
      </c>
      <c r="J72" s="29" t="s">
        <v>349</v>
      </c>
      <c r="K72" s="46" t="s">
        <v>16</v>
      </c>
      <c r="L72" s="46" t="s">
        <v>8</v>
      </c>
      <c r="M72" s="46" t="s">
        <v>481</v>
      </c>
      <c r="N72" s="46" t="s">
        <v>7</v>
      </c>
      <c r="O72" s="46" t="s">
        <v>482</v>
      </c>
      <c r="P72" s="46" t="s">
        <v>483</v>
      </c>
      <c r="Q72" s="46"/>
      <c r="R72" s="46"/>
      <c r="S72" s="46" t="s">
        <v>83</v>
      </c>
      <c r="T72" s="46" t="s">
        <v>484</v>
      </c>
    </row>
    <row r="73" spans="1:20" ht="165.6">
      <c r="A73" s="28" t="s">
        <v>350</v>
      </c>
      <c r="B73" s="29" t="s">
        <v>322</v>
      </c>
      <c r="C73" s="29" t="s">
        <v>344</v>
      </c>
      <c r="D73" s="29" t="s">
        <v>103</v>
      </c>
      <c r="E73" s="29" t="s">
        <v>9</v>
      </c>
      <c r="F73" s="29" t="s">
        <v>345</v>
      </c>
      <c r="G73" s="29" t="s">
        <v>351</v>
      </c>
      <c r="H73" s="29" t="s">
        <v>347</v>
      </c>
      <c r="I73" s="29" t="s">
        <v>348</v>
      </c>
      <c r="J73" s="29" t="s">
        <v>352</v>
      </c>
      <c r="K73" s="46" t="s">
        <v>16</v>
      </c>
      <c r="L73" s="46" t="s">
        <v>8</v>
      </c>
      <c r="M73" s="46" t="s">
        <v>485</v>
      </c>
      <c r="N73" s="46" t="s">
        <v>7</v>
      </c>
      <c r="O73" s="46" t="s">
        <v>482</v>
      </c>
      <c r="P73" s="46" t="s">
        <v>483</v>
      </c>
      <c r="Q73" s="46"/>
      <c r="R73" s="46"/>
      <c r="S73" s="46" t="s">
        <v>83</v>
      </c>
      <c r="T73" s="46" t="s">
        <v>484</v>
      </c>
    </row>
    <row r="74" spans="1:20" ht="165.6">
      <c r="A74" s="28" t="s">
        <v>353</v>
      </c>
      <c r="B74" s="29" t="s">
        <v>322</v>
      </c>
      <c r="C74" s="29" t="s">
        <v>344</v>
      </c>
      <c r="D74" s="29" t="s">
        <v>103</v>
      </c>
      <c r="E74" s="29" t="s">
        <v>9</v>
      </c>
      <c r="F74" s="29" t="s">
        <v>345</v>
      </c>
      <c r="G74" s="29" t="s">
        <v>354</v>
      </c>
      <c r="H74" s="29" t="s">
        <v>347</v>
      </c>
      <c r="I74" s="29" t="s">
        <v>348</v>
      </c>
      <c r="J74" s="29" t="s">
        <v>355</v>
      </c>
      <c r="K74" s="46" t="s">
        <v>16</v>
      </c>
      <c r="L74" s="46" t="s">
        <v>8</v>
      </c>
      <c r="M74" s="46" t="s">
        <v>486</v>
      </c>
      <c r="N74" s="46" t="s">
        <v>7</v>
      </c>
      <c r="O74" s="46" t="s">
        <v>482</v>
      </c>
      <c r="P74" s="46" t="s">
        <v>483</v>
      </c>
      <c r="Q74" s="46"/>
      <c r="R74" s="46"/>
      <c r="S74" s="46" t="s">
        <v>83</v>
      </c>
      <c r="T74" s="46" t="s">
        <v>484</v>
      </c>
    </row>
    <row r="75" spans="1:20" ht="165.6">
      <c r="A75" s="28" t="s">
        <v>356</v>
      </c>
      <c r="B75" s="29" t="s">
        <v>322</v>
      </c>
      <c r="C75" s="29" t="s">
        <v>344</v>
      </c>
      <c r="D75" s="29" t="s">
        <v>103</v>
      </c>
      <c r="E75" s="29" t="s">
        <v>9</v>
      </c>
      <c r="F75" s="29" t="s">
        <v>345</v>
      </c>
      <c r="G75" s="29" t="s">
        <v>357</v>
      </c>
      <c r="H75" s="29" t="s">
        <v>347</v>
      </c>
      <c r="I75" s="29" t="s">
        <v>348</v>
      </c>
      <c r="J75" s="29" t="s">
        <v>358</v>
      </c>
      <c r="K75" s="46" t="s">
        <v>16</v>
      </c>
      <c r="L75" s="46" t="s">
        <v>8</v>
      </c>
      <c r="M75" s="46" t="s">
        <v>487</v>
      </c>
      <c r="N75" s="46" t="s">
        <v>7</v>
      </c>
      <c r="O75" s="46" t="s">
        <v>482</v>
      </c>
      <c r="P75" s="46" t="s">
        <v>483</v>
      </c>
      <c r="Q75" s="46"/>
      <c r="R75" s="46"/>
      <c r="S75" s="46" t="s">
        <v>83</v>
      </c>
      <c r="T75" s="46" t="s">
        <v>484</v>
      </c>
    </row>
    <row r="76" spans="1:20" ht="82.8">
      <c r="A76" s="28" t="s">
        <v>359</v>
      </c>
      <c r="B76" s="29" t="s">
        <v>322</v>
      </c>
      <c r="C76" s="29" t="s">
        <v>344</v>
      </c>
      <c r="D76" s="29" t="s">
        <v>103</v>
      </c>
      <c r="E76" s="29" t="s">
        <v>12</v>
      </c>
      <c r="F76" s="29" t="s">
        <v>345</v>
      </c>
      <c r="G76" s="29" t="s">
        <v>360</v>
      </c>
      <c r="H76" s="29" t="s">
        <v>347</v>
      </c>
      <c r="I76" s="29" t="s">
        <v>348</v>
      </c>
      <c r="J76" s="29" t="s">
        <v>361</v>
      </c>
      <c r="K76" s="46" t="s">
        <v>16</v>
      </c>
      <c r="L76" s="46" t="s">
        <v>19</v>
      </c>
      <c r="M76" s="46" t="s">
        <v>488</v>
      </c>
      <c r="N76" s="46" t="s">
        <v>7</v>
      </c>
      <c r="O76" s="46" t="s">
        <v>482</v>
      </c>
      <c r="P76" s="46" t="s">
        <v>489</v>
      </c>
      <c r="Q76" s="46"/>
      <c r="R76" s="46"/>
      <c r="S76" s="46" t="s">
        <v>108</v>
      </c>
      <c r="T76" s="46" t="s">
        <v>490</v>
      </c>
    </row>
    <row r="77" spans="1:20" ht="27.6">
      <c r="A77" s="28" t="s">
        <v>362</v>
      </c>
      <c r="B77" s="29" t="s">
        <v>322</v>
      </c>
      <c r="C77" s="29" t="s">
        <v>363</v>
      </c>
      <c r="D77" s="29" t="s">
        <v>364</v>
      </c>
      <c r="E77" s="29" t="s">
        <v>6</v>
      </c>
      <c r="F77" s="29" t="s">
        <v>365</v>
      </c>
      <c r="G77" s="29" t="s">
        <v>366</v>
      </c>
      <c r="H77" s="29" t="s">
        <v>367</v>
      </c>
      <c r="I77" s="29" t="s">
        <v>368</v>
      </c>
      <c r="J77" s="29" t="s">
        <v>369</v>
      </c>
      <c r="K77" s="46" t="s">
        <v>16</v>
      </c>
      <c r="L77" s="46" t="s">
        <v>19</v>
      </c>
      <c r="M77" s="46"/>
      <c r="N77" s="46"/>
      <c r="O77" s="46"/>
      <c r="P77" s="46"/>
      <c r="Q77" s="46"/>
      <c r="R77" s="46"/>
      <c r="S77" s="46" t="s">
        <v>116</v>
      </c>
      <c r="T77" s="46"/>
    </row>
    <row r="78" spans="1:20" ht="27.6">
      <c r="A78" s="28" t="s">
        <v>370</v>
      </c>
      <c r="B78" s="29" t="s">
        <v>322</v>
      </c>
      <c r="C78" s="29" t="s">
        <v>363</v>
      </c>
      <c r="D78" s="29" t="s">
        <v>364</v>
      </c>
      <c r="E78" s="29" t="s">
        <v>9</v>
      </c>
      <c r="F78" s="29" t="s">
        <v>365</v>
      </c>
      <c r="G78" s="29" t="s">
        <v>371</v>
      </c>
      <c r="H78" s="29" t="s">
        <v>367</v>
      </c>
      <c r="I78" s="29" t="s">
        <v>368</v>
      </c>
      <c r="J78" s="29" t="s">
        <v>372</v>
      </c>
      <c r="K78" s="46" t="s">
        <v>16</v>
      </c>
      <c r="L78" s="46" t="s">
        <v>19</v>
      </c>
      <c r="M78" s="46"/>
      <c r="N78" s="46"/>
      <c r="O78" s="46"/>
      <c r="P78" s="46"/>
      <c r="Q78" s="46"/>
      <c r="R78" s="46"/>
      <c r="S78" s="46" t="s">
        <v>116</v>
      </c>
      <c r="T78" s="46"/>
    </row>
    <row r="79" spans="1:20" ht="27.6">
      <c r="A79" s="28" t="s">
        <v>373</v>
      </c>
      <c r="B79" s="29" t="s">
        <v>322</v>
      </c>
      <c r="C79" s="29" t="s">
        <v>363</v>
      </c>
      <c r="D79" s="29" t="s">
        <v>364</v>
      </c>
      <c r="E79" s="29" t="s">
        <v>9</v>
      </c>
      <c r="F79" s="29" t="s">
        <v>365</v>
      </c>
      <c r="G79" s="29" t="s">
        <v>374</v>
      </c>
      <c r="H79" s="29" t="s">
        <v>367</v>
      </c>
      <c r="I79" s="29" t="s">
        <v>368</v>
      </c>
      <c r="J79" s="29" t="s">
        <v>375</v>
      </c>
      <c r="K79" s="46" t="s">
        <v>16</v>
      </c>
      <c r="L79" s="46" t="s">
        <v>19</v>
      </c>
      <c r="M79" s="46"/>
      <c r="N79" s="46"/>
      <c r="O79" s="46"/>
      <c r="P79" s="46"/>
      <c r="Q79" s="46"/>
      <c r="R79" s="46"/>
      <c r="S79" s="46" t="s">
        <v>116</v>
      </c>
      <c r="T79" s="46"/>
    </row>
    <row r="80" spans="1:20" ht="27.6">
      <c r="A80" s="28" t="s">
        <v>376</v>
      </c>
      <c r="B80" s="29" t="s">
        <v>322</v>
      </c>
      <c r="C80" s="29" t="s">
        <v>363</v>
      </c>
      <c r="D80" s="29" t="s">
        <v>364</v>
      </c>
      <c r="E80" s="29" t="s">
        <v>12</v>
      </c>
      <c r="F80" s="29" t="s">
        <v>365</v>
      </c>
      <c r="G80" s="29" t="s">
        <v>377</v>
      </c>
      <c r="H80" s="29" t="s">
        <v>367</v>
      </c>
      <c r="I80" s="29" t="s">
        <v>368</v>
      </c>
      <c r="J80" s="29" t="s">
        <v>378</v>
      </c>
      <c r="K80" s="46" t="s">
        <v>16</v>
      </c>
      <c r="L80" s="46" t="s">
        <v>19</v>
      </c>
      <c r="M80" s="46"/>
      <c r="N80" s="46"/>
      <c r="O80" s="46"/>
      <c r="P80" s="46"/>
      <c r="Q80" s="46"/>
      <c r="R80" s="46"/>
      <c r="S80" s="46" t="s">
        <v>116</v>
      </c>
      <c r="T80" s="46"/>
    </row>
    <row r="81" spans="1:20" ht="27.6">
      <c r="A81" s="30" t="s">
        <v>379</v>
      </c>
      <c r="B81" s="31" t="s">
        <v>322</v>
      </c>
      <c r="C81" s="31" t="s">
        <v>363</v>
      </c>
      <c r="D81" s="31" t="s">
        <v>364</v>
      </c>
      <c r="E81" s="31" t="s">
        <v>12</v>
      </c>
      <c r="F81" s="31" t="s">
        <v>365</v>
      </c>
      <c r="G81" s="31" t="s">
        <v>380</v>
      </c>
      <c r="H81" s="31" t="s">
        <v>367</v>
      </c>
      <c r="I81" s="31" t="s">
        <v>368</v>
      </c>
      <c r="J81" s="31" t="s">
        <v>381</v>
      </c>
      <c r="K81" s="46" t="s">
        <v>16</v>
      </c>
      <c r="L81" s="46" t="s">
        <v>19</v>
      </c>
      <c r="M81" s="46"/>
      <c r="N81" s="46"/>
      <c r="O81" s="46"/>
      <c r="P81" s="46"/>
      <c r="Q81" s="46"/>
      <c r="R81" s="46"/>
      <c r="S81" s="46" t="s">
        <v>116</v>
      </c>
      <c r="T81" s="46"/>
    </row>
  </sheetData>
  <conditionalFormatting sqref="L2:L81">
    <cfRule type="expression" dxfId="4" priority="1">
      <formula>L2="Pass"</formula>
    </cfRule>
    <cfRule type="expression" dxfId="3" priority="2">
      <formula>L2="Fail"</formula>
    </cfRule>
    <cfRule type="expression" dxfId="2" priority="3">
      <formula>L2="Blocked"</formula>
    </cfRule>
    <cfRule type="expression" dxfId="1" priority="4">
      <formula>L2="Retest"</formula>
    </cfRule>
    <cfRule type="expression" dxfId="0" priority="5">
      <formula>L2="Not Run"</formula>
    </cfRule>
  </conditionalFormatting>
  <dataValidations count="3">
    <dataValidation type="list" sqref="E2:E81" xr:uid="{00000000-0002-0000-0100-000000000000}">
      <formula1>"Critical,High,Medium,Low"</formula1>
    </dataValidation>
    <dataValidation type="list" sqref="K2:K81" xr:uid="{00000000-0002-0000-0100-000001000000}">
      <formula1>"Jerald,MD,Joyee,All Members,Shared"</formula1>
    </dataValidation>
    <dataValidation type="list" sqref="L2:L81" xr:uid="{00000000-0002-0000-0100-000002000000}">
      <formula1>"Pass,Fail,Blocked,Retest,Not Run"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9"/>
  <sheetViews>
    <sheetView workbookViewId="0"/>
  </sheetViews>
  <sheetFormatPr defaultRowHeight="13.8"/>
  <cols>
    <col min="1" max="1" width="16" customWidth="1"/>
    <col min="2" max="2" width="28" customWidth="1"/>
    <col min="3" max="3" width="20" customWidth="1"/>
    <col min="4" max="4" width="48" customWidth="1"/>
    <col min="5" max="5" width="42" customWidth="1"/>
    <col min="6" max="6" width="16" customWidth="1"/>
    <col min="7" max="7" width="14" customWidth="1"/>
    <col min="8" max="8" width="36" customWidth="1"/>
  </cols>
  <sheetData>
    <row r="1" spans="1:8" ht="17.399999999999999">
      <c r="A1" s="44" t="s">
        <v>382</v>
      </c>
      <c r="B1" s="44"/>
      <c r="C1" s="44"/>
      <c r="D1" s="44"/>
      <c r="E1" s="44"/>
      <c r="F1" s="44"/>
      <c r="G1" s="44"/>
      <c r="H1" s="44"/>
    </row>
    <row r="3" spans="1:8">
      <c r="A3" s="32" t="s">
        <v>58</v>
      </c>
      <c r="B3" s="33" t="s">
        <v>383</v>
      </c>
      <c r="C3" s="33" t="s">
        <v>384</v>
      </c>
      <c r="D3" s="33" t="s">
        <v>385</v>
      </c>
      <c r="E3" s="33" t="s">
        <v>386</v>
      </c>
      <c r="F3" s="33" t="s">
        <v>387</v>
      </c>
      <c r="G3" s="33" t="s">
        <v>388</v>
      </c>
      <c r="H3" s="34" t="s">
        <v>63</v>
      </c>
    </row>
    <row r="4" spans="1:8" ht="27.6">
      <c r="A4" s="35"/>
      <c r="B4" s="36" t="s">
        <v>389</v>
      </c>
      <c r="C4" s="36" t="s">
        <v>73</v>
      </c>
      <c r="D4" s="36" t="s">
        <v>390</v>
      </c>
      <c r="E4" s="36"/>
      <c r="F4" s="36"/>
      <c r="G4" s="36"/>
      <c r="H4" s="37" t="s">
        <v>391</v>
      </c>
    </row>
    <row r="5" spans="1:8" ht="27.6">
      <c r="A5" s="35"/>
      <c r="B5" s="36" t="s">
        <v>392</v>
      </c>
      <c r="C5" s="36" t="s">
        <v>83</v>
      </c>
      <c r="D5" s="36" t="s">
        <v>393</v>
      </c>
      <c r="E5" s="36"/>
      <c r="F5" s="36"/>
      <c r="G5" s="36"/>
      <c r="H5" s="37" t="s">
        <v>394</v>
      </c>
    </row>
    <row r="6" spans="1:8" ht="27.6">
      <c r="A6" s="35"/>
      <c r="B6" s="36" t="s">
        <v>395</v>
      </c>
      <c r="C6" s="36" t="s">
        <v>73</v>
      </c>
      <c r="D6" s="36" t="s">
        <v>396</v>
      </c>
      <c r="E6" s="36"/>
      <c r="F6" s="36"/>
      <c r="G6" s="36"/>
      <c r="H6" s="37" t="s">
        <v>394</v>
      </c>
    </row>
    <row r="7" spans="1:8" ht="27.6">
      <c r="A7" s="35"/>
      <c r="B7" s="36" t="s">
        <v>397</v>
      </c>
      <c r="C7" s="36" t="s">
        <v>156</v>
      </c>
      <c r="D7" s="36" t="s">
        <v>398</v>
      </c>
      <c r="E7" s="36"/>
      <c r="F7" s="36"/>
      <c r="G7" s="36"/>
      <c r="H7" s="37" t="s">
        <v>399</v>
      </c>
    </row>
    <row r="8" spans="1:8" ht="27.6">
      <c r="A8" s="35"/>
      <c r="B8" s="36" t="s">
        <v>400</v>
      </c>
      <c r="C8" s="36" t="s">
        <v>401</v>
      </c>
      <c r="D8" s="36" t="s">
        <v>402</v>
      </c>
      <c r="E8" s="36"/>
      <c r="F8" s="36"/>
      <c r="G8" s="36"/>
      <c r="H8" s="37" t="s">
        <v>399</v>
      </c>
    </row>
    <row r="9" spans="1:8" ht="27.6">
      <c r="A9" s="38"/>
      <c r="B9" s="39" t="s">
        <v>403</v>
      </c>
      <c r="C9" s="39" t="s">
        <v>404</v>
      </c>
      <c r="D9" s="39" t="s">
        <v>405</v>
      </c>
      <c r="E9" s="39"/>
      <c r="F9" s="39"/>
      <c r="G9" s="39"/>
      <c r="H9" s="40" t="s">
        <v>406</v>
      </c>
    </row>
  </sheetData>
  <mergeCells count="1">
    <mergeCell ref="A1:H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Dashboard</vt:lpstr>
      <vt:lpstr>Test Cases</vt:lpstr>
      <vt:lpstr>Evidence Index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Jerald Christopher Bucud</cp:lastModifiedBy>
  <dcterms:modified xsi:type="dcterms:W3CDTF">2026-09-05T13:42:38Z</dcterms:modified>
</cp:coreProperties>
</file>