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9c68e747d146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80b3050f29c4d0d"/>
    <x:sheet xmlns:r="http://schemas.openxmlformats.org/officeDocument/2006/relationships" name="Test Cases" sheetId="2" r:id="R59673c3b3b274025"/>
    <x:sheet xmlns:r="http://schemas.openxmlformats.org/officeDocument/2006/relationships" name="Evidence Register" sheetId="3" r:id="R4524e5c318034698"/>
    <x:sheet xmlns:r="http://schemas.openxmlformats.org/officeDocument/2006/relationships" name="Defects" sheetId="4" r:id="Rfad47abd1d544e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i/>
      <x:sz val="11"/>
      <x:color rgb="FF17324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D6A7A"/>
      </x:patternFill>
    </x:fill>
    <x:fill>
      <x:patternFill patternType="solid">
        <x:fgColor rgb="FFE8F1F5"/>
      </x:patternFill>
    </x:fill>
  </x:fills>
  <x:borders count="2">
    <x:border/>
    <x:border/>
  </x:borders>
  <x:cellStyleXfs count="1">
    <x:xf numFmtId="0" fontId="0" fillId="0" borderId="0"/>
  </x:cellStyleXfs>
  <x:cellXfs count="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color rgb="FF1D4ED8"/>
      </x:font>
      <x:fill>
        <x:patternFill>
          <x:bgColor rgb="FFEFF6FF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EFF6FF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374151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edee3019594d30" /><Relationship Type="http://schemas.openxmlformats.org/officeDocument/2006/relationships/theme" Target="/xl/theme/theme1.xml" Id="R455de85c9c5d401e" /><Relationship Type="http://schemas.openxmlformats.org/officeDocument/2006/relationships/sharedStrings" Target="/xl/sharedStrings.xml" Id="Rfabb0ebe48c845bf" /><Relationship Type="http://schemas.openxmlformats.org/officeDocument/2006/relationships/worksheet" Target="/xl/worksheets/sheet1.xml" Id="Rb80b3050f29c4d0d" /><Relationship Type="http://schemas.openxmlformats.org/officeDocument/2006/relationships/worksheet" Target="/xl/worksheets/sheet2.xml" Id="R59673c3b3b274025" /><Relationship Type="http://schemas.openxmlformats.org/officeDocument/2006/relationships/worksheet" Target="/xl/worksheets/sheet3.xml" Id="R4524e5c318034698" /><Relationship Type="http://schemas.openxmlformats.org/officeDocument/2006/relationships/worksheet" Target="/xl/worksheets/sheet4.xml" Id="Rfad47abd1d544e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a912b427ee407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WBS 8.3 Test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a912b427ee407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ecurityTestCasesTable" displayName="SecurityTestCasesTable" ref="A1:V33" headerRowCount="1" totalsRowCount="0" totalsRowShown="0">
  <x:tableColumns count="22">
    <x:tableColumn id="1" name="Test Case ID"/>
    <x:tableColumn id="2" name="Security Area"/>
    <x:tableColumn id="3" name="Test Objective"/>
    <x:tableColumn id="4" name="Expected Result"/>
    <x:tableColumn id="5" name="Evidence Method"/>
    <x:tableColumn id="6" name="Automated Test Reference"/>
    <x:tableColumn id="7" name="HTTP Method"/>
    <x:tableColumn id="8" name="Endpoint"/>
    <x:tableColumn id="9" name="Authentication State"/>
    <x:tableColumn id="10" name="Expected HTTP Status"/>
    <x:tableColumn id="11" name="Automated Evidence"/>
    <x:tableColumn id="12" name="Manual / Review Evidence"/>
    <x:tableColumn id="13" name="Actual HTTP Status"/>
    <x:tableColumn id="14" name="Actual Result"/>
    <x:tableColumn id="15" name="Status"/>
    <x:tableColumn id="16" name="Tester"/>
    <x:tableColumn id="17" name="Execution Date"/>
    <x:tableColumn id="18" name="Evidence File"/>
    <x:tableColumn id="19" name="Defect ID"/>
    <x:tableColumn id="20" name="Retest Status"/>
    <x:tableColumn id="21" name="Notes"/>
    <x:tableColumn id="22" name="Source / Implementation Fil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curityEvidenceTable" displayName="SecurityEvidenceTable" ref="A1:K60" headerRowCount="1" totalsRowCount="0" totalsRowShown="0">
  <x:tableColumns count="11">
    <x:tableColumn id="1" name="Evidence ID"/>
    <x:tableColumn id="2" name="Test Case ID"/>
    <x:tableColumn id="3" name="Evidence Type"/>
    <x:tableColumn id="4" name="Required"/>
    <x:tableColumn id="5" name="Evidence Status"/>
    <x:tableColumn id="6" name="Evidence Location"/>
    <x:tableColumn id="7" name="Result / Observation"/>
    <x:tableColumn id="8" name="Sensitive Data Check"/>
    <x:tableColumn id="9" name="Collected By"/>
    <x:tableColumn id="10" name="Collection Date"/>
    <x:tableColumn id="11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curityDefectsTable" displayName="SecurityDefectsTable" ref="A1:M21" headerRowCount="1" totalsRowCount="0" totalsRowShown="0">
  <x:tableColumns count="13">
    <x:tableColumn id="1" name="Defect ID"/>
    <x:tableColumn id="2" name="Test Case ID"/>
    <x:tableColumn id="3" name="Severity"/>
    <x:tableColumn id="4" name="Priority"/>
    <x:tableColumn id="5" name="Summary"/>
    <x:tableColumn id="6" name="Expected Result"/>
    <x:tableColumn id="7" name="Actual Result"/>
    <x:tableColumn id="8" name="Owner"/>
    <x:tableColumn id="9" name="Status"/>
    <x:tableColumn id="10" name="Fix Branch / Commit"/>
    <x:tableColumn id="11" name="Retest Result"/>
    <x:tableColumn id="12" name="Evidence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41207aff7a4c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734789c9edb45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76d90eeb63410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74fd13affcc44a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4" hidden="0" customWidth="1"/>
    <x:col min="4" max="4" width="24" hidden="0" customWidth="1"/>
    <x:col min="5" max="5" width="16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5" t="str">
        <x:v>GradNavi WBS 8.3 Security and Permission Test Tracker</x:v>
      </x:c>
      <x:c r="B1" s="5"/>
      <x:c r="C1" s="5"/>
      <x:c r="D1" s="5"/>
      <x:c r="E1" s="5"/>
      <x:c r="F1" s="5"/>
      <x:c r="G1" s="5"/>
      <x:c r="H1" s="5"/>
    </x:row>
    <x:row r="2">
      <x:c r="A2" s="28"/>
      <x:c r="B2" s="28"/>
      <x:c r="C2" s="28"/>
      <x:c r="D2" s="28"/>
      <x:c r="E2" s="28"/>
      <x:c r="F2" s="28"/>
      <x:c r="G2" s="28"/>
      <x:c r="H2" s="28"/>
    </x:row>
    <x:row r="3">
      <x:c r="A3" s="24" t="str">
        <x:v>Tracker Metadata</x:v>
      </x:c>
      <x:c r="B3" s="24" t="str">
        <x:v>Value</x:v>
      </x:c>
      <x:c r="C3" s="29"/>
      <x:c r="D3" s="24" t="str">
        <x:v>Status</x:v>
      </x:c>
      <x:c r="E3" s="24" t="str">
        <x:v>Count</x:v>
      </x:c>
      <x:c r="F3" s="29"/>
      <x:c r="G3" s="29"/>
      <x:c r="H3" s="29"/>
    </x:row>
    <x:row r="4">
      <x:c r="A4" s="29" t="str">
        <x:v>WBS</x:v>
      </x:c>
      <x:c r="B4" s="29" t="str">
        <x:v>8.3 Security and Permission Testing</x:v>
      </x:c>
      <x:c r="C4" s="29"/>
      <x:c r="D4" s="29" t="str">
        <x:v>Total</x:v>
      </x:c>
      <x:c r="E4" s="29" t="n">
        <x:f>COUNTA('Test Cases'!A2:A33)</x:f>
        <x:v>32</x:v>
      </x:c>
      <x:c r="F4" s="29"/>
      <x:c r="G4" s="29"/>
      <x:c r="H4" s="29"/>
    </x:row>
    <x:row r="5">
      <x:c r="A5" s="29" t="str">
        <x:v>Owner</x:v>
      </x:c>
      <x:c r="B5" s="29" t="str">
        <x:v>Jerald</x:v>
      </x:c>
      <x:c r="C5" s="29"/>
      <x:c r="D5" s="29" t="str">
        <x:v>Not Run</x:v>
      </x:c>
      <x:c r="E5" s="29" t="n">
        <x:v>0</x:v>
      </x:c>
      <x:c r="F5" s="29"/>
      <x:c r="G5" s="29"/>
      <x:c r="H5" s="29"/>
    </x:row>
    <x:row r="6">
      <x:c r="A6" s="29" t="str">
        <x:v>Branch</x:v>
      </x:c>
      <x:c r="B6" s="29" t="str">
        <x:v>jerald/wbs-8.3-security-permission-testing</x:v>
      </x:c>
      <x:c r="C6" s="29"/>
      <x:c r="D6" s="29" t="str">
        <x:v>Pass</x:v>
      </x:c>
      <x:c r="E6" s="29" t="n">
        <x:v>29</x:v>
      </x:c>
      <x:c r="F6" s="29"/>
      <x:c r="G6" s="29"/>
      <x:c r="H6" s="29"/>
    </x:row>
    <x:row r="7">
      <x:c r="A7" s="29" t="str">
        <x:v>Automated regression</x:v>
      </x:c>
      <x:c r="B7" s="29" t="str">
        <x:v>330 tests PASS</x:v>
      </x:c>
      <x:c r="C7" s="29"/>
      <x:c r="D7" s="29" t="str">
        <x:v>Fail</x:v>
      </x:c>
      <x:c r="E7" s="29" t="n">
        <x:v>0</x:v>
      </x:c>
      <x:c r="F7" s="29"/>
      <x:c r="G7" s="29"/>
      <x:c r="H7" s="29"/>
    </x:row>
    <x:row r="8">
      <x:c r="A8" s="29" t="str">
        <x:v>Automated evidence</x:v>
      </x:c>
      <x:c r="B8" s="29" t="str">
        <x:v>docs/testing/evidence/sprint-5/security/automated-security-regression.txt</x:v>
      </x:c>
      <x:c r="C8" s="29"/>
      <x:c r="D8" s="29" t="str">
        <x:v>Blocked</x:v>
      </x:c>
      <x:c r="E8" s="29" t="n">
        <x:v>1</x:v>
      </x:c>
      <x:c r="F8" s="29"/>
      <x:c r="G8" s="29"/>
      <x:c r="H8" s="29"/>
    </x:row>
    <x:row r="9">
      <x:c r="A9" s="29" t="str">
        <x:v>Current phase</x:v>
      </x:c>
      <x:c r="B9" s="29" t="str">
        <x:v>Local WBS 8.3 security execution complete: 29 Pass, 1 Blocked (S5-SEC-FE-01 pending WBS 7.7 integration), 2 Deferred deployment reviews.</x:v>
      </x:c>
      <x:c r="C9" s="29"/>
      <x:c r="D9" s="29" t="str">
        <x:v>Deferred</x:v>
      </x:c>
      <x:c r="E9" s="29" t="n">
        <x:v>2</x:v>
      </x:c>
      <x:c r="F9" s="29"/>
      <x:c r="G9" s="29"/>
      <x:c r="H9" s="29"/>
    </x:row>
    <x:row r="10">
      <x:c r="A10" s="29"/>
      <x:c r="B10" s="29"/>
      <x:c r="C10" s="29"/>
      <x:c r="D10" s="29"/>
      <x:c r="E10" s="29"/>
      <x:c r="F10" s="29"/>
      <x:c r="G10" s="29"/>
      <x:c r="H10" s="29"/>
    </x:row>
    <x:row r="11">
      <x:c r="A11" s="29"/>
      <x:c r="B11" s="29"/>
      <x:c r="C11" s="29"/>
      <x:c r="D11" s="29"/>
      <x:c r="E11" s="29"/>
      <x:c r="F11" s="29"/>
      <x:c r="G11" s="29"/>
      <x:c r="H11" s="29"/>
    </x:row>
    <x:row r="12">
      <x:c r="A12" s="24" t="str">
        <x:v>Execution Method</x:v>
      </x:c>
      <x:c r="B12" s="24" t="str">
        <x:v>Count</x:v>
      </x:c>
      <x:c r="C12" s="29"/>
      <x:c r="D12" s="24" t="str">
        <x:v>Evidence Layer</x:v>
      </x:c>
      <x:c r="E12" s="24" t="str">
        <x:v>Count</x:v>
      </x:c>
      <x:c r="F12" s="29"/>
      <x:c r="G12" s="29"/>
      <x:c r="H12" s="29"/>
    </x:row>
    <x:row r="13">
      <x:c r="A13" s="29" t="str">
        <x:v>POSTMAN + AUTOMATED</x:v>
      </x:c>
      <x:c r="B13" s="29" t="n">
        <x:f>COUNTIF('Test Cases'!E2:E33,A13)</x:f>
        <x:v>21</x:v>
      </x:c>
      <x:c r="C13" s="29"/>
      <x:c r="D13" s="29" t="str">
        <x:v>Automated Pass</x:v>
      </x:c>
      <x:c r="E13" s="29" t="n">
        <x:f>COUNTIF('Test Cases'!K2:K33,"Pass")</x:f>
        <x:v>27</x:v>
      </x:c>
      <x:c r="F13" s="29"/>
      <x:c r="G13" s="29"/>
      <x:c r="H13" s="29"/>
    </x:row>
    <x:row r="14">
      <x:c r="A14" s="29" t="str">
        <x:v>AUTOMATED + STATIC</x:v>
      </x:c>
      <x:c r="B14" s="29" t="n">
        <x:f>COUNTIF('Test Cases'!E2:E33,A14)</x:f>
        <x:v>6</x:v>
      </x:c>
      <x:c r="C14" s="29"/>
      <x:c r="D14" s="29" t="str">
        <x:v>Manual/Review Pass</x:v>
      </x:c>
      <x:c r="E14" s="29" t="n">
        <x:v>29</x:v>
      </x:c>
      <x:c r="F14" s="29"/>
      <x:c r="G14" s="29"/>
      <x:c r="H14" s="29"/>
    </x:row>
    <x:row r="15">
      <x:c r="A15" s="29" t="str">
        <x:v>REPOSITORY REVIEW</x:v>
      </x:c>
      <x:c r="B15" s="29" t="n">
        <x:f>COUNTIF('Test Cases'!E2:E33,A15)</x:f>
        <x:v>2</x:v>
      </x:c>
      <x:c r="C15" s="29"/>
      <x:c r="D15" s="29" t="str">
        <x:v>Manual/Review Pending</x:v>
      </x:c>
      <x:c r="E15" s="29" t="n">
        <x:v>0</x:v>
      </x:c>
      <x:c r="F15" s="29"/>
      <x:c r="G15" s="29"/>
      <x:c r="H15" s="29"/>
    </x:row>
    <x:row r="16">
      <x:c r="A16" s="29" t="str">
        <x:v>BROWSER / INTEGRATION</x:v>
      </x:c>
      <x:c r="B16" s="29" t="n">
        <x:f>COUNTIF('Test Cases'!E2:E33,A16)</x:f>
        <x:v>1</x:v>
      </x:c>
      <x:c r="C16" s="29"/>
      <x:c r="D16" s="29" t="str">
        <x:v>Manual/Review Blocked</x:v>
      </x:c>
      <x:c r="E16" s="29" t="n">
        <x:v>1</x:v>
      </x:c>
      <x:c r="F16" s="29"/>
      <x:c r="G16" s="29"/>
      <x:c r="H16" s="29"/>
    </x:row>
    <x:row r="17">
      <x:c r="A17" s="29" t="str">
        <x:v>DEPLOYMENT REVIEW</x:v>
      </x:c>
      <x:c r="B17" s="29" t="n">
        <x:f>COUNTIF('Test Cases'!E2:E33,A17)</x:f>
        <x:v>2</x:v>
      </x:c>
      <x:c r="C17" s="29"/>
      <x:c r="D17" s="29" t="str">
        <x:v>Manual/Review Deferred</x:v>
      </x:c>
      <x:c r="E17" s="29" t="n">
        <x:v>2</x:v>
      </x:c>
      <x:c r="F17" s="29"/>
      <x:c r="G17" s="29"/>
      <x:c r="H17" s="29"/>
    </x:row>
    <x:row r="18">
      <x:c r="A18" s="29"/>
      <x:c r="B18" s="29"/>
      <x:c r="C18" s="29"/>
      <x:c r="D18" s="29"/>
      <x:c r="E18" s="29"/>
      <x:c r="F18" s="29"/>
      <x:c r="G18" s="29"/>
      <x:c r="H18" s="29"/>
    </x:row>
    <x:row r="19">
      <x:c r="A19" s="30" t="str">
        <x:v>Tracker rule: a WBS test case becomes Pass only after every required evidence layer for that case passes.</x:v>
      </x:c>
      <x:c r="B19" s="30"/>
      <x:c r="C19" s="30"/>
      <x:c r="D19" s="30"/>
      <x:c r="E19" s="30"/>
      <x:c r="F19" s="30"/>
      <x:c r="G19" s="30"/>
      <x:c r="H19" s="30"/>
    </x:row>
  </x:sheetData>
  <x:mergeCells>
    <x:mergeCell ref="A1:H1"/>
    <x:mergeCell ref="A19:H19"/>
  </x:mergeCells>
  <x:conditionalFormatting sqref="E5:E9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{8213237C-262D-8CED-9257-E0A72B4BD1FC}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a41207aff7a4ce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8213237C-262D-8CED-9257-E0A72B4BD1FC}">
            <x14:dataBar gradient="1">
              <x14:cfvo type="min"/>
              <x14:cfvo type="max"/>
              <x14:fillColor rgb="FFA02B93"/>
            </x14:dataBar>
          </x14:cfRule>
          <xm:sqref>E5:E9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38" hidden="0" customWidth="1"/>
    <x:col min="4" max="4" width="42" hidden="0" customWidth="1"/>
    <x:col min="5" max="5" width="22" hidden="0" customWidth="1"/>
    <x:col min="6" max="6" width="48" hidden="0" customWidth="1"/>
    <x:col min="7" max="7" width="18" hidden="0" customWidth="1"/>
    <x:col min="8" max="8" width="38" hidden="0" customWidth="1"/>
    <x:col min="9" max="9" width="28" hidden="0" customWidth="1"/>
    <x:col min="10" max="10" width="25" hidden="0" customWidth="1"/>
    <x:col min="11" max="11" width="18" hidden="0" customWidth="1"/>
    <x:col min="12" max="12" width="21" hidden="0" customWidth="1"/>
    <x:col min="13" max="13" width="18" hidden="0" customWidth="1"/>
    <x:col min="14" max="14" width="34" hidden="0" customWidth="1"/>
    <x:col min="15" max="15" width="14" hidden="0" customWidth="1"/>
    <x:col min="16" max="16" width="18" hidden="0" customWidth="1"/>
    <x:col min="17" max="17" width="16" hidden="0" customWidth="1"/>
    <x:col min="18" max="18" width="42" hidden="0" customWidth="1"/>
    <x:col min="19" max="19" width="15" hidden="0" customWidth="1"/>
    <x:col min="20" max="20" width="16" hidden="0" customWidth="1"/>
    <x:col min="21" max="21" width="30" hidden="0" customWidth="1"/>
    <x:col min="22" max="22" width="44" hidden="0" customWidth="1"/>
  </x:cols>
  <x:sheetData>
    <x:row r="1" ht="34" customHeight="1">
      <x:c r="A1" s="37" t="str">
        <x:v>Test Case ID</x:v>
      </x:c>
      <x:c r="B1" s="37" t="str">
        <x:v>Security Area</x:v>
      </x:c>
      <x:c r="C1" s="37" t="str">
        <x:v>Test Objective</x:v>
      </x:c>
      <x:c r="D1" s="37" t="str">
        <x:v>Expected Result</x:v>
      </x:c>
      <x:c r="E1" s="37" t="str">
        <x:v>Evidence Method</x:v>
      </x:c>
      <x:c r="F1" s="37" t="str">
        <x:v>Automated Test Reference</x:v>
      </x:c>
      <x:c r="G1" s="37" t="str">
        <x:v>HTTP Method</x:v>
      </x:c>
      <x:c r="H1" s="37" t="str">
        <x:v>Endpoint</x:v>
      </x:c>
      <x:c r="I1" s="37" t="str">
        <x:v>Authentication State</x:v>
      </x:c>
      <x:c r="J1" s="37" t="str">
        <x:v>Expected HTTP Status</x:v>
      </x:c>
      <x:c r="K1" s="37" t="str">
        <x:v>Automated Evidence</x:v>
      </x:c>
      <x:c r="L1" s="37" t="str">
        <x:v>Manual / Review Evidence</x:v>
      </x:c>
      <x:c r="M1" s="37" t="str">
        <x:v>Actual HTTP Status</x:v>
      </x:c>
      <x:c r="N1" s="37" t="str">
        <x:v>Actual Result</x:v>
      </x:c>
      <x:c r="O1" s="37" t="str">
        <x:v>Status</x:v>
      </x:c>
      <x:c r="P1" s="37" t="str">
        <x:v>Tester</x:v>
      </x:c>
      <x:c r="Q1" s="37" t="str">
        <x:v>Execution Date</x:v>
      </x:c>
      <x:c r="R1" s="37" t="str">
        <x:v>Evidence File</x:v>
      </x:c>
      <x:c r="S1" s="37" t="str">
        <x:v>Defect ID</x:v>
      </x:c>
      <x:c r="T1" s="37" t="str">
        <x:v>Retest Status</x:v>
      </x:c>
      <x:c r="U1" s="37" t="str">
        <x:v>Notes</x:v>
      </x:c>
      <x:c r="V1" s="37" t="str">
        <x:v>Source / Implementation Files</x:v>
      </x:c>
    </x:row>
    <x:row r="2">
      <x:c r="A2" s="42" t="str">
        <x:v>S5-SEC-AUTH-01</x:v>
      </x:c>
      <x:c r="B2" s="42" t="str">
        <x:v>Authentication</x:v>
      </x:c>
      <x:c r="C2" s="42" t="str">
        <x:v>Verify valid credentials authenticate and return JWT access and refresh tokens with safe user fields only.</x:v>
      </x:c>
      <x:c r="D2" s="42" t="str">
        <x:v>Valid Student login returns HTTP 200, access and refresh JWTs, and safe user fields without password or privileged-field leakage.</x:v>
      </x:c>
      <x:c r="E2" s="42" t="str">
        <x:v>POSTMAN + AUTOMATED</x:v>
      </x:c>
      <x:c r="F2" s="42" t="str">
        <x:v>LoginAPITests.test_successful_login_returns_tokens_and_safe_user_information; LoginAPITests.test_successful_login_issues_valid_jwt_tokens</x:v>
      </x:c>
      <x:c r="G2" s="42" t="str">
        <x:v>POST</x:v>
      </x:c>
      <x:c r="H2" s="42" t="str">
        <x:v>/api/v1/auth/login/</x:v>
      </x:c>
      <x:c r="I2" s="42" t="str">
        <x:v>Unauthenticated</x:v>
      </x:c>
      <x:c r="J2" s="42" t="str">
        <x:v>200</x:v>
      </x:c>
      <x:c r="K2" s="42" t="str">
        <x:v>Pass</x:v>
      </x:c>
      <x:c r="L2" s="42" t="str">
        <x:v>Pass</x:v>
      </x:c>
      <x:c r="M2" s="42" t="str">
        <x:v>200</x:v>
      </x:c>
      <x:c r="N2" s="42" t="str">
        <x:v>Valid Student login returned HTTP 200 with access and refresh JWTs and safe user fields only.</x:v>
      </x:c>
      <x:c r="O2" s="42" t="str">
        <x:v>Pass</x:v>
      </x:c>
      <x:c r="P2" s="42" t="str">
        <x:v>Jerald</x:v>
      </x:c>
      <x:c r="Q2" s="44" t="n">
        <x:v>46301</x:v>
      </x:c>
      <x:c r="R2" s="42" t="str">
        <x:v>docs/testing/evidence/sprint-5/security/S5-SEC-AUTH-01-valid-student-login-pass.png</x:v>
      </x:c>
      <x:c r="S2" s="42"/>
      <x:c r="T2" s="42" t="str">
        <x:v>Not Required</x:v>
      </x:c>
      <x:c r="U2" s="42" t="str">
        <x:v>Postman validation passed 6/6.</x:v>
      </x:c>
      <x:c r="V2" s="42" t="str">
        <x:v>backend/accounts/views.py; backend/accounts/serializers.py; backend/accounts/tests.py</x:v>
      </x:c>
    </x:row>
    <x:row r="3">
      <x:c r="A3" s="42" t="str">
        <x:v>S5-SEC-AUTH-02</x:v>
      </x:c>
      <x:c r="B3" s="42" t="str">
        <x:v>Authentication</x:v>
      </x:c>
      <x:c r="C3" s="42" t="str">
        <x:v>Verify wrong password and unknown email return the same safe authentication error.</x:v>
      </x:c>
      <x:c r="D3" s="42" t="str">
        <x:v>Wrong password and unknown email both return HTTP 401 with the same safe invalid-credentials error and no account-discovery detail.</x:v>
      </x:c>
      <x:c r="E3" s="42" t="str">
        <x:v>POSTMAN + AUTOMATED</x:v>
      </x:c>
      <x:c r="F3" s="42" t="str">
        <x:v>LoginAPITests.test_wrong_password_is_rejected_with_safe_error; LoginAPITests.test_nonexistent_email_is_rejected_with_same_safe_error; LoginAPITests.test_wrong_password_and_nonexistent_email_return_same_error</x:v>
      </x:c>
      <x:c r="G3" s="42" t="str">
        <x:v>POST</x:v>
      </x:c>
      <x:c r="H3" s="42" t="str">
        <x:v>/api/v1/auth/login/</x:v>
      </x:c>
      <x:c r="I3" s="42" t="str">
        <x:v>Unauthenticated</x:v>
      </x:c>
      <x:c r="J3" s="42" t="str">
        <x:v>401</x:v>
      </x:c>
      <x:c r="K3" s="42" t="str">
        <x:v>Pass</x:v>
      </x:c>
      <x:c r="L3" s="42" t="str">
        <x:v>Pass</x:v>
      </x:c>
      <x:c r="M3" s="42" t="str">
        <x:v>401 for both negative login checks</x:v>
      </x:c>
      <x:c r="N3" s="42" t="str">
        <x:v>Wrong password and unknown email both returned the same safe HTTP 401 invalid-credentials response without account information leakage.</x:v>
      </x:c>
      <x:c r="O3" s="42" t="str">
        <x:v>Pass</x:v>
      </x:c>
      <x:c r="P3" s="42" t="str">
        <x:v>Jerald</x:v>
      </x:c>
      <x:c r="Q3" s="44" t="n">
        <x:v>46301</x:v>
      </x:c>
      <x:c r="R3" s="42" t="str">
        <x:v>docs/testing/evidence/sprint-5/security/S5-SEC-AUTH-02A-wrong-password-rejected-pass.png; docs/testing/evidence/sprint-5/security/S5-SEC-AUTH-02B-unknown-email-rejected-pass.png</x:v>
      </x:c>
      <x:c r="S3" s="42"/>
      <x:c r="T3" s="42" t="str">
        <x:v>Not Required</x:v>
      </x:c>
      <x:c r="U3" s="42" t="str">
        <x:v>Wrong-password and unknown-email Postman checks passed.</x:v>
      </x:c>
      <x:c r="V3" s="42" t="str">
        <x:v>backend/accounts/views.py; backend/accounts/tests.py</x:v>
      </x:c>
    </x:row>
    <x:row r="4">
      <x:c r="A4" s="42" t="str">
        <x:v>S5-SEC-AUTH-03</x:v>
      </x:c>
      <x:c r="B4" s="42" t="str">
        <x:v>Authentication</x:v>
      </x:c>
      <x:c r="C4" s="42" t="str">
        <x:v>Verify protected APIs reject missing, malformed, invalid, or inappropriate authentication tokens.</x:v>
      </x:c>
      <x:c r="D4" s="42" t="str">
        <x:v>Protected endpoint returns HTTP 401 for missing Bearer token, malformed token, and refresh token used as access authentication.</x:v>
      </x:c>
      <x:c r="E4" s="42" t="str">
        <x:v>POSTMAN + AUTOMATED</x:v>
      </x:c>
      <x:c r="F4" s="42" t="str">
        <x:v>CurrentUserAPITests.test_missing_authorization_header_is_rejected; CurrentUserAPITests.test_malformed_token_is_rejected; CurrentUserAPITests.test_refresh_token_cannot_authenticate_current_user_endpoint</x:v>
      </x:c>
      <x:c r="G4" s="42" t="str">
        <x:v>GET</x:v>
      </x:c>
      <x:c r="H4" s="42" t="str">
        <x:v>/api/v1/auth/me/</x:v>
      </x:c>
      <x:c r="I4" s="42" t="str">
        <x:v>Missing / invalid / refresh-as-access</x:v>
      </x:c>
      <x:c r="J4" s="42" t="str">
        <x:v>401</x:v>
      </x:c>
      <x:c r="K4" s="42" t="str">
        <x:v>Pass</x:v>
      </x:c>
      <x:c r="L4" s="42" t="str">
        <x:v>Pass</x:v>
      </x:c>
      <x:c r="M4" s="42" t="str">
        <x:v>401 for all three rejection checks</x:v>
      </x:c>
      <x:c r="N4" s="42" t="str">
        <x:v>Missing authorization, malformed access token, and refresh-token-as-access attempts were rejected with safe HTTP 401 responses.</x:v>
      </x:c>
      <x:c r="O4" s="42" t="str">
        <x:v>Pass</x:v>
      </x:c>
      <x:c r="P4" s="42" t="str">
        <x:v>Jerald</x:v>
      </x:c>
      <x:c r="Q4" s="44" t="n">
        <x:v>46301</x:v>
      </x:c>
      <x:c r="R4" s="42" t="str">
        <x:v>docs/testing/evidence/sprint-5/security/S5-SEC-AUTH-03A-missing-authorization-rejected-pass.png; docs/testing/evidence/sprint-5/security/S5-SEC-AUTH-03B-malformed-access-token-rejected-pass.png; docs/testing/evidence/sprint-5/security/S5-SEC-AUTH-03C-refresh-token-rejected-as-access-pass.png</x:v>
      </x:c>
      <x:c r="S4" s="42"/>
      <x:c r="T4" s="42" t="str">
        <x:v>Not Required</x:v>
      </x:c>
      <x:c r="U4" s="42" t="str">
        <x:v>All protected-endpoint authentication rejection checks passed.</x:v>
      </x:c>
      <x:c r="V4" s="42" t="str">
        <x:v>backend/accounts/views.py; backend/accounts/tests.py</x:v>
      </x:c>
    </x:row>
    <x:row r="5">
      <x:c r="A5" s="42" t="str">
        <x:v>S5-SEC-AUTH-04</x:v>
      </x:c>
      <x:c r="B5" s="42" t="str">
        <x:v>Authentication</x:v>
      </x:c>
      <x:c r="C5" s="42" t="str">
        <x:v>Verify refresh-token rotation works and the previous refresh token is rejected after rotation.</x:v>
      </x:c>
      <x:c r="D5" s="42" t="str">
        <x:v>Valid refresh returns HTTP 200 with rotated tokens. Reuse of the previous refresh token returns HTTP 401. The new refresh token remains usable.</x:v>
      </x:c>
      <x:c r="E5" s="42" t="str">
        <x:v>POSTMAN + AUTOMATED</x:v>
      </x:c>
      <x:c r="F5" s="42" t="str">
        <x:v>TokenRefreshAPITests.test_valid_refresh_token_succeeds_and_returns_rotated_tokens; TokenRefreshAPITests.test_original_refresh_token_cannot_be_reused_after_rotation; TokenRefreshAPITests.test_new_rotated_refresh_token_can_be_used_for_another_refresh</x:v>
      </x:c>
      <x:c r="G5" s="42" t="str">
        <x:v>POST</x:v>
      </x:c>
      <x:c r="H5" s="42" t="str">
        <x:v>/api/v1/auth/token/refresh/</x:v>
      </x:c>
      <x:c r="I5" s="42" t="str">
        <x:v>Refresh token</x:v>
      </x:c>
      <x:c r="J5" s="42" t="str">
        <x:v>200 then 401 on old-token reuse</x:v>
      </x:c>
      <x:c r="K5" s="42" t="str">
        <x:v>Pass</x:v>
      </x:c>
      <x:c r="L5" s="42" t="str">
        <x:v>Pass</x:v>
      </x:c>
      <x:c r="M5" s="42" t="str">
        <x:v>200, 401, 200</x:v>
      </x:c>
      <x:c r="N5" s="42" t="str">
        <x:v>Refresh rotation succeeded, the original refresh token was rejected after rotation, and the rotated refresh token remained usable.</x:v>
      </x:c>
      <x:c r="O5" s="42" t="str">
        <x:v>Pass</x:v>
      </x:c>
      <x:c r="P5" s="42" t="str">
        <x:v>Jerald</x:v>
      </x:c>
      <x:c r="Q5" s="44" t="n">
        <x:v>46301</x:v>
      </x:c>
      <x:c r="R5" s="42" t="str">
        <x:v>docs/testing/evidence/sprint-5/security/S5-SEC-AUTH-04A-refresh-token-rotation-succeeds-pass.png; docs/testing/evidence/sprint-5/security/S5-SEC-AUTH-04B-original-refresh-token-reuse-rejected-pass.png; docs/testing/evidence/sprint-5/security/S5-SEC-AUTH-04C-rotated-refresh-token-works-pass.png</x:v>
      </x:c>
      <x:c r="S5" s="42"/>
      <x:c r="T5" s="42" t="str">
        <x:v>Not Required</x:v>
      </x:c>
      <x:c r="U5" s="42" t="str">
        <x:v>JWT refresh-token rotation contract verified.</x:v>
      </x:c>
      <x:c r="V5" s="42" t="str">
        <x:v>backend/accounts/urls.py; backend/gradnavi/settings.py; backend/accounts/tests.py</x:v>
      </x:c>
    </x:row>
    <x:row r="6">
      <x:c r="A6" s="42" t="str">
        <x:v>S5-SEC-AUTH-05</x:v>
      </x:c>
      <x:c r="B6" s="42" t="str">
        <x:v>Authentication</x:v>
      </x:c>
      <x:c r="C6" s="42" t="str">
        <x:v>Verify logout blacklists the submitted refresh token and follows the documented access-token expiry behaviour.</x:v>
      </x:c>
      <x:c r="D6" s="42" t="str">
        <x:v>Authenticated logout returns HTTP 200. The submitted refresh token is rejected with HTTP 401 afterwards. Existing access token behaviour matches the documented expiry model.</x:v>
      </x:c>
      <x:c r="E6" s="42" t="str">
        <x:v>POSTMAN + AUTOMATED</x:v>
      </x:c>
      <x:c r="F6" s="42" t="str">
        <x:v>LogoutAPITests.test_successful_logout_blacklists_submitted_refresh_token; LogoutAPITests.test_existing_access_token_remains_usable_until_expiry_after_logout</x:v>
      </x:c>
      <x:c r="G6" s="42" t="str">
        <x:v>POST</x:v>
      </x:c>
      <x:c r="H6" s="42" t="str">
        <x:v>/api/v1/auth/logout/</x:v>
      </x:c>
      <x:c r="I6" s="42" t="str">
        <x:v>Student Bearer + refresh token body</x:v>
      </x:c>
      <x:c r="J6" s="42" t="str">
        <x:v>200; refresh reuse 401</x:v>
      </x:c>
      <x:c r="K6" s="42" t="str">
        <x:v>Pass</x:v>
      </x:c>
      <x:c r="L6" s="42" t="str">
        <x:v>Pass</x:v>
      </x:c>
      <x:c r="M6" s="42" t="str">
        <x:v>200, 401, 200</x:v>
      </x:c>
      <x:c r="N6" s="42" t="str">
        <x:v>Logout succeeded, the submitted refresh token was blacklisted and rejected, and the already-issued access token remained valid until expiry.</x:v>
      </x:c>
      <x:c r="O6" s="42" t="str">
        <x:v>Pass</x:v>
      </x:c>
      <x:c r="P6" s="42" t="str">
        <x:v>Jerald</x:v>
      </x:c>
      <x:c r="Q6" s="44" t="n">
        <x:v>46301</x:v>
      </x:c>
      <x:c r="R6" s="42" t="str">
        <x:v>docs/testing/evidence/sprint-5/security/S5-SEC-AUTH-05A-student-logout-succeeds-pass.png; docs/testing/evidence/sprint-5/security/S5-SEC-AUTH-05B-logged-out-refresh-token-rejected-pass.png; docs/testing/evidence/sprint-5/security/S5-SEC-AUTH-05C-existing-access-token-remains-valid-pass.png</x:v>
      </x:c>
      <x:c r="S6" s="42"/>
      <x:c r="T6" s="42" t="str">
        <x:v>Not Required</x:v>
      </x:c>
      <x:c r="U6" s="42" t="str">
        <x:v>Logout and documented access-token expiry behaviour verified.</x:v>
      </x:c>
      <x:c r="V6" s="42" t="str">
        <x:v>backend/accounts/views.py; backend/accounts/tests.py; backend/gradnavi/settings.py</x:v>
      </x:c>
    </x:row>
    <x:row r="7">
      <x:c r="A7" s="42" t="str">
        <x:v>S5-SEC-AUTH-06</x:v>
      </x:c>
      <x:c r="B7" s="42" t="str">
        <x:v>Authentication</x:v>
      </x:c>
      <x:c r="C7" s="42" t="str">
        <x:v>Verify password reset and authenticated password change enforce approved validation without exposing account-sensitive information.</x:v>
      </x:c>
      <x:c r="D7" s="42" t="str">
        <x:v>Password-reset request uses a safe non-enumerating response. Password change requires authentication, correct current password, matching confirmation, and an accepted new password.</x:v>
      </x:c>
      <x:c r="E7" s="42" t="str">
        <x:v>POSTMAN + AUTOMATED</x:v>
      </x:c>
      <x:c r="F7" s="42" t="str">
        <x:v>PasswordResetAPITests.test_unknown_email_request_returns_same_safe_response_and_sends_no_email; PasswordResetAPITests.test_reset_request_response_does_not_expose_uid_or_token; PasswordChangeAPITests.test_valid_password_change_succeeds; PasswordChangeAPITests.test_incorrect_current_password_is_rejected; PasswordChangeAPITests.test_weak_new_password_is_rejected</x:v>
      </x:c>
      <x:c r="G7" s="42" t="str">
        <x:v>POST</x:v>
      </x:c>
      <x:c r="H7" s="42" t="str">
        <x:v>/api/v1/auth/password/reset/; /api/v1/auth/password/change/</x:v>
      </x:c>
      <x:c r="I7" s="42" t="str">
        <x:v>Unauthenticated reset; Student Bearer change</x:v>
      </x:c>
      <x:c r="J7" s="42" t="str">
        <x:v>Safe reset response; 200 valid change; 400 invalid change</x:v>
      </x:c>
      <x:c r="K7" s="42" t="str">
        <x:v>Pass</x:v>
      </x:c>
      <x:c r="L7" s="42" t="str">
        <x:v>Pass</x:v>
      </x:c>
      <x:c r="M7" s="42" t="str">
        <x:v>200, 200, 400, 400, 200, 200</x:v>
      </x:c>
      <x:c r="N7" s="42" t="str">
        <x:v>Password reset used safe non-enumerating responses. Incorrect current password and weak new password were rejected. Valid password change succeeded and the original Student password was restored.</x:v>
      </x:c>
      <x:c r="O7" s="42" t="str">
        <x:v>Pass</x:v>
      </x:c>
      <x:c r="P7" s="42" t="str">
        <x:v>Jerald</x:v>
      </x:c>
      <x:c r="Q7" s="44" t="n">
        <x:v>46301</x:v>
      </x:c>
      <x:c r="R7" s="42" t="str">
        <x:v>docs/testing/evidence/sprint-5/security/S5-SEC-AUTH-06A-password-reset-safe-response-pass.png; docs/testing/evidence/sprint-5/security/S5-SEC-AUTH-06B-unknown-email-reset-safe-response-pass.png; docs/testing/evidence/sprint-5/security/S5-SEC-AUTH-06C-incorrect-current-password-rejected-pass.png; docs/testing/evidence/sprint-5/security/S5-SEC-AUTH-06D-weak-new-password-rejected-pass.png; docs/testing/evidence/sprint-5/security/S5-SEC-AUTH-06E-valid-password-change-succeeds-pass.png; docs/testing/evidence/sprint-5/security/S5-SEC-AUTH-06F-original-password-restored-pass.png</x:v>
      </x:c>
      <x:c r="S7" s="42"/>
      <x:c r="T7" s="42" t="str">
        <x:v>Not Required</x:v>
      </x:c>
      <x:c r="U7" s="42" t="str">
        <x:v>Original Student test password restored after valid-change verification.</x:v>
      </x:c>
      <x:c r="V7" s="42" t="str">
        <x:v>backend/accounts/views.py; backend/accounts/serializers.py; backend/accounts/tests.py</x:v>
      </x:c>
    </x:row>
    <x:row r="8">
      <x:c r="A8" s="42" t="str">
        <x:v>S5-SEC-RBAC-01</x:v>
      </x:c>
      <x:c r="B8" s="42" t="str">
        <x:v>Authorization / RBAC</x:v>
      </x:c>
      <x:c r="C8" s="42" t="str">
        <x:v>Verify unauthenticated requests receive 401 for Administrator endpoints.</x:v>
      </x:c>
      <x:c r="D8" s="42" t="str">
        <x:v>Representative Administrator list and detail endpoints return HTTP 401 without authentication.</x:v>
      </x:c>
      <x:c r="E8" s="42" t="str">
        <x:v>POSTMAN + AUTOMATED</x:v>
      </x:c>
      <x:c r="F8" s="42" t="str">
        <x:v>AdministrationPermissionTests.test_unauthenticated_users_cannot_access_admin_endpoints; AdministrationPermissionTests.test_non_admins_cannot_access_admin_detail_endpoints</x:v>
      </x:c>
      <x:c r="G8" s="42" t="str">
        <x:v>GET</x:v>
      </x:c>
      <x:c r="H8" s="42" t="str">
        <x:v>/api/v1/administration/users/; /api/v1/administration/audit-records/</x:v>
      </x:c>
      <x:c r="I8" s="42" t="str">
        <x:v>Unauthenticated</x:v>
      </x:c>
      <x:c r="J8" s="42" t="str">
        <x:v>401</x:v>
      </x:c>
      <x:c r="K8" s="42" t="str">
        <x:v>Pass</x:v>
      </x:c>
      <x:c r="L8" s="42" t="str">
        <x:v>Pass</x:v>
      </x:c>
      <x:c r="M8" s="42" t="str">
        <x:v>401 for collection and detail requests</x:v>
      </x:c>
      <x:c r="N8" s="42" t="str">
        <x:v>Unauthenticated requests to Administrator collection and user-detail endpoints were rejected with HTTP 401 and exposed no protected data.</x:v>
      </x:c>
      <x:c r="O8" s="42" t="str">
        <x:v>Pass</x:v>
      </x:c>
      <x:c r="P8" s="42" t="str">
        <x:v>Jerald</x:v>
      </x:c>
      <x:c r="Q8" s="44" t="n">
        <x:v>46301</x:v>
      </x:c>
      <x:c r="R8" s="42" t="str">
        <x:v>docs/testing/evidence/sprint-5/security/S5-SEC-RBAC-01A-unauthenticated-admin-users-rejected-pass.png; docs/testing/evidence/sprint-5/security/S5-SEC-RBAC-01B-unauthenticated-admin-user-detail-rejected-pass.png</x:v>
      </x:c>
      <x:c r="S8" s="42"/>
      <x:c r="T8" s="42" t="str">
        <x:v>Not Required</x:v>
      </x:c>
      <x:c r="U8" s="42" t="str">
        <x:v>Unauthenticated Administrator endpoint protection verified.</x:v>
      </x:c>
      <x:c r="V8" s="42" t="str">
        <x:v>backend/administration/permissions.py; backend/administration/views.py; backend/administration/tests.py</x:v>
      </x:c>
    </x:row>
    <x:row r="9">
      <x:c r="A9" s="42" t="str">
        <x:v>S5-SEC-RBAC-02</x:v>
      </x:c>
      <x:c r="B9" s="42" t="str">
        <x:v>Authorization / RBAC</x:v>
      </x:c>
      <x:c r="C9" s="42" t="str">
        <x:v>Verify Student accounts receive 403 for Administrator list and detail endpoints.</x:v>
      </x:c>
      <x:c r="D9" s="42" t="str">
        <x:v>Representative Administrator endpoints return HTTP 403 when called with a Student token.</x:v>
      </x:c>
      <x:c r="E9" s="42" t="str">
        <x:v>POSTMAN + AUTOMATED</x:v>
      </x:c>
      <x:c r="F9" s="42" t="str">
        <x:v>AdministrationPermissionTests.test_students_cannot_access_admin_endpoints; AdministrationPermissionTests.test_non_admins_cannot_access_admin_detail_endpoints</x:v>
      </x:c>
      <x:c r="G9" s="42" t="str">
        <x:v>GET</x:v>
      </x:c>
      <x:c r="H9" s="42" t="str">
        <x:v>/api/v1/administration/users/; /api/v1/administration/analytics/</x:v>
      </x:c>
      <x:c r="I9" s="42" t="str">
        <x:v>Student Bearer</x:v>
      </x:c>
      <x:c r="J9" s="42" t="str">
        <x:v>403</x:v>
      </x:c>
      <x:c r="K9" s="42" t="str">
        <x:v>Pass</x:v>
      </x:c>
      <x:c r="L9" s="42" t="str">
        <x:v>Pass</x:v>
      </x:c>
      <x:c r="M9" s="42" t="str">
        <x:v>403 for collection and detail requests</x:v>
      </x:c>
      <x:c r="N9" s="42" t="str">
        <x:v>Authenticated Student requests to Administrator collection and detail endpoints were rejected with permission_denied and HTTP 403.</x:v>
      </x:c>
      <x:c r="O9" s="42" t="str">
        <x:v>Pass</x:v>
      </x:c>
      <x:c r="P9" s="42" t="str">
        <x:v>Jerald</x:v>
      </x:c>
      <x:c r="Q9" s="44" t="n">
        <x:v>46301</x:v>
      </x:c>
      <x:c r="R9" s="42" t="str">
        <x:v>docs/testing/evidence/sprint-5/security/S5-SEC-RBAC-02A-student-admin-users-access-rejected-pass.png; docs/testing/evidence/sprint-5/security/S5-SEC-RBAC-02B-student-admin-user-detail-rejected-pass.png</x:v>
      </x:c>
      <x:c r="S9" s="42"/>
      <x:c r="T9" s="42" t="str">
        <x:v>Not Required</x:v>
      </x:c>
      <x:c r="U9" s="42" t="str">
        <x:v>Student-to-Administrator RBAC boundary verified.</x:v>
      </x:c>
      <x:c r="V9" s="42" t="str">
        <x:v>backend/administration/permissions.py; backend/administration/tests.py</x:v>
      </x:c>
    </x:row>
    <x:row r="10">
      <x:c r="A10" s="42" t="str">
        <x:v>S5-SEC-RBAC-03</x:v>
      </x:c>
      <x:c r="B10" s="42" t="str">
        <x:v>Authorization / RBAC</x:v>
      </x:c>
      <x:c r="C10" s="42" t="str">
        <x:v>Verify Student accounts cannot perform Administrator create, update, delete, role, status, report-review, analytics, or audit operations.</x:v>
      </x:c>
      <x:c r="D10" s="42" t="str">
        <x:v>Student requests to Administrator mutation and protected read endpoints are denied with HTTP 403.</x:v>
      </x:c>
      <x:c r="E10" s="42" t="str">
        <x:v>POSTMAN + AUTOMATED</x:v>
      </x:c>
      <x:c r="F10" s="42" t="str">
        <x:v>AdministrationPermissionTests.test_student_cannot_create_career; AdminUserRoleStatusAuditTests.test_student_cannot_change_role_or_status; AdminLearningResourceReportReviewTests.test_student_cannot_access_report_detail_or_update</x:v>
      </x:c>
      <x:c r="G10" s="42" t="str">
        <x:v>POST/PATCH/DELETE/GET</x:v>
      </x:c>
      <x:c r="H10" s="42" t="str">
        <x:v>/api/v1/administration/*</x:v>
      </x:c>
      <x:c r="I10" s="42" t="str">
        <x:v>Student Bearer</x:v>
      </x:c>
      <x:c r="J10" s="42" t="str">
        <x:v>403</x:v>
      </x:c>
      <x:c r="K10" s="42" t="str">
        <x:v>Pass</x:v>
      </x:c>
      <x:c r="L10" s="42" t="str">
        <x:v>Pass</x:v>
      </x:c>
      <x:c r="M10" s="42" t="str">
        <x:v>403 for all attempted Administrator operations</x:v>
      </x:c>
      <x:c r="N10" s="42" t="str">
        <x:v>Student create, update, delete, role, status, report-review, analytics, and audit operations were rejected with HTTP 403. Temporary report and learning-resource records were removed after testing.</x:v>
      </x:c>
      <x:c r="O10" s="42" t="str">
        <x:v>Pass</x:v>
      </x:c>
      <x:c r="P10" s="42" t="str">
        <x:v>Jerald</x:v>
      </x:c>
      <x:c r="Q10" s="44" t="n">
        <x:v>46301</x:v>
      </x:c>
      <x:c r="R10" s="42" t="str">
        <x:v>docs/testing/evidence/sprint-5/security/S5-SEC-RBAC-03A-student-admin-career-create-rejected-pass.png; docs/testing/evidence/sprint-5/security/S5-SEC-RBAC-03B-student-admin-role-change-rejected-pass.png; docs/testing/evidence/sprint-5/security/S5-SEC-RBAC-03C-student-admin-status-change-rejected-pass.png; docs/testing/evidence/sprint-5/security/S5-SEC-RBAC-03D-student-admin-analytics-access-rejected-pass.png; docs/testing/evidence/sprint-5/security/S5-SEC-RBAC-03E-student-admin-audit-access-rejected-pass.png; docs/testing/evidence/sprint-5/security/S5-SEC-RBAC-03F1-student-admin-report-detail-access-rejected-pass.png; docs/testing/evidence/sprint-5/security/S5-SEC-RBAC-03F2-student-admin-report-update-rejected-pass.png; docs/testing/evidence/sprint-5/security/S5-SEC-RBAC-03G-student-admin-resource-update-rejected-pass.png; docs/testing/evidence/sprint-5/security/S5-SEC-RBAC-03H-student-admin-resource-delete-rejected-pass.png</x:v>
      </x:c>
      <x:c r="S10" s="42"/>
      <x:c r="T10" s="42" t="str">
        <x:v>Not Required</x:v>
      </x:c>
      <x:c r="U10" s="42" t="str">
        <x:v>All planned RBAC-03 Student denial operations passed. Temporary test records were cleaned up.</x:v>
      </x:c>
      <x:c r="V10" s="42" t="str">
        <x:v>backend/administration/permissions.py; backend/administration/views.py; backend/administration/tests.py</x:v>
      </x:c>
    </x:row>
    <x:row r="11">
      <x:c r="A11" s="42" t="str">
        <x:v>S5-SEC-RBAC-04</x:v>
      </x:c>
      <x:c r="B11" s="42" t="str">
        <x:v>Authorization / RBAC</x:v>
      </x:c>
      <x:c r="C11" s="42" t="str">
        <x:v>Verify general Administrator user editing cannot modify role or active status through the general user endpoint.</x:v>
      </x:c>
      <x:c r="D11" s="42" t="str">
        <x:v>General user-detail update preserves role and active status as server-controlled fields.</x:v>
      </x:c>
      <x:c r="E11" s="42" t="str">
        <x:v>POSTMAN + AUTOMATED</x:v>
      </x:c>
      <x:c r="F11" s="42" t="str">
        <x:v>AdminUserManagementTests.test_admin_cannot_change_role_or_active_status</x:v>
      </x:c>
      <x:c r="G11" s="42" t="str">
        <x:v>PATCH</x:v>
      </x:c>
      <x:c r="H11" s="42" t="str">
        <x:v>/api/v1/administration/users/&lt;id&gt;/</x:v>
      </x:c>
      <x:c r="I11" s="42" t="str">
        <x:v>Administrator Bearer</x:v>
      </x:c>
      <x:c r="J11" s="42" t="str">
        <x:v>200 with role/status unchanged</x:v>
      </x:c>
      <x:c r="K11" s="42" t="str">
        <x:v>Pass</x:v>
      </x:c>
      <x:c r="L11" s="42" t="str">
        <x:v>Pass</x:v>
      </x:c>
      <x:c r="M11" s="42" t="str">
        <x:v>200</x:v>
      </x:c>
      <x:c r="N11" s="42" t="str">
        <x:v>General Administrator user-detail PATCH returned HTTP 200 while preserving role=admin and is_active=true. Sensitive authentication data was not exposed.</x:v>
      </x:c>
      <x:c r="O11" s="42" t="str">
        <x:v>Pass</x:v>
      </x:c>
      <x:c r="P11" s="42" t="str">
        <x:v>Jerald</x:v>
      </x:c>
      <x:c r="Q11" s="44" t="n">
        <x:v>46301</x:v>
      </x:c>
      <x:c r="R11" s="42" t="str">
        <x:v>docs/testing/evidence/sprint-5/security/S5-SEC-RBAC-04-general-admin-user-edit-protects-role-status-pass.png</x:v>
      </x:c>
      <x:c r="S11" s="42"/>
      <x:c r="T11" s="42" t="str">
        <x:v>Not Required</x:v>
      </x:c>
      <x:c r="U11" s="42" t="str">
        <x:v>General user-edit endpoint preserved server-controlled role and active status. Postman checks passed 6/6.</x:v>
      </x:c>
      <x:c r="V11" s="42" t="str">
        <x:v>backend/administration/serializers.py; backend/administration/views.py; backend/administration/tests.py</x:v>
      </x:c>
    </x:row>
    <x:row r="12">
      <x:c r="A12" s="42" t="str">
        <x:v>S5-SEC-RBAC-05</x:v>
      </x:c>
      <x:c r="B12" s="42" t="str">
        <x:v>Authorization / RBAC</x:v>
      </x:c>
      <x:c r="C12" s="42" t="str">
        <x:v>Verify role and active-status changes use dedicated Administrator-only endpoints and reject invalid role values.</x:v>
      </x:c>
      <x:c r="D12" s="42" t="str">
        <x:v>Valid dedicated role/status changes succeed for an Administrator. Invalid role values are rejected. Student and unauthenticated callers are denied.</x:v>
      </x:c>
      <x:c r="E12" s="42" t="str">
        <x:v>POSTMAN + AUTOMATED</x:v>
      </x:c>
      <x:c r="F12" s="42" t="str">
        <x:v>AdminUserRoleStatusAuditTests.test_admin_can_change_user_role_through_dedicated_endpoint; AdminUserRoleStatusAuditTests.test_admin_can_change_user_active_status_through_dedicated_endpoint; AdminUserRoleStatusAuditTests.test_invalid_role_change_is_rejected</x:v>
      </x:c>
      <x:c r="G12" s="42" t="str">
        <x:v>PATCH</x:v>
      </x:c>
      <x:c r="H12" s="42" t="str">
        <x:v>/api/v1/administration/users/&lt;id&gt;/role/; /api/v1/administration/users/&lt;id&gt;/status/</x:v>
      </x:c>
      <x:c r="I12" s="42" t="str">
        <x:v>Administrator Bearer</x:v>
      </x:c>
      <x:c r="J12" s="42" t="str">
        <x:v>200 valid; 400 invalid role</x:v>
      </x:c>
      <x:c r="K12" s="42" t="str">
        <x:v>Pass</x:v>
      </x:c>
      <x:c r="L12" s="42" t="str">
        <x:v>Pass</x:v>
      </x:c>
      <x:c r="M12" s="42" t="str">
        <x:v>200, 200, 400</x:v>
      </x:c>
      <x:c r="N12" s="42" t="str">
        <x:v>Dedicated Administrator role and status endpoints accepted valid changes. An invalid role value returned a controlled HTTP 400 validation response.</x:v>
      </x:c>
      <x:c r="O12" s="42" t="str">
        <x:v>Pass</x:v>
      </x:c>
      <x:c r="P12" s="42" t="str">
        <x:v>Jerald</x:v>
      </x:c>
      <x:c r="Q12" s="44" t="n">
        <x:v>46301</x:v>
      </x:c>
      <x:c r="R12" s="42" t="str">
        <x:v>docs/testing/evidence/sprint-5/security/S5-SEC-RBAC-05A-dedicated-admin-role-change-succeeds-pass.png; docs/testing/evidence/sprint-5/security/S5-SEC-RBAC-05B-dedicated-admin-status-change-succeeds-pass.png; docs/testing/evidence/sprint-5/security/S5-SEC-RBAC-05C-invalid-admin-role-change-rejected-pass.png</x:v>
      </x:c>
      <x:c r="S12" s="42"/>
      <x:c r="T12" s="42" t="str">
        <x:v>Not Required</x:v>
      </x:c>
      <x:c r="U12" s="42" t="str">
        <x:v>Dedicated role/status endpoint contract verified. Invalid role validation passed 6/6.</x:v>
      </x:c>
      <x:c r="V12" s="42" t="str">
        <x:v>backend/administration/serializers.py; backend/administration/views.py; backend/administration/tests.py</x:v>
      </x:c>
    </x:row>
    <x:row r="13">
      <x:c r="A13" s="42" t="str">
        <x:v>S5-SEC-RBAC-06</x:v>
      </x:c>
      <x:c r="B13" s="42" t="str">
        <x:v>Authorization / RBAC</x:v>
      </x:c>
      <x:c r="C13" s="42" t="str">
        <x:v>Verify audit and analytics endpoints are Administrator-only, audit records are read-only, and responses do not expose unnecessary Student information.</x:v>
      </x:c>
      <x:c r="D13" s="42" t="str">
        <x:v>Administrator reads succeed. Student access is denied. Audit mutation is not allowed. Analytics and audit responses omit unnecessary Student identity information.</x:v>
      </x:c>
      <x:c r="E13" s="42" t="str">
        <x:v>POSTMAN + AUTOMATED</x:v>
      </x:c>
      <x:c r="F13" s="42" t="str">
        <x:v>AdminAuditRecordTests.test_admin_can_list_and_retrieve_audit_records; AdminAuditRecordTests.test_audit_records_endpoint_is_read_only; AdminAuditRecordTests.test_audit_response_does_not_expose_user_email; AdminAnalyticsTests.test_analytics_response_exposes_no_student_data</x:v>
      </x:c>
      <x:c r="G13" s="42" t="str">
        <x:v>GET + write attempt</x:v>
      </x:c>
      <x:c r="H13" s="42" t="str">
        <x:v>/api/v1/administration/audit-records/; /api/v1/administration/analytics/</x:v>
      </x:c>
      <x:c r="I13" s="42" t="str">
        <x:v>Administrator / Student</x:v>
      </x:c>
      <x:c r="J13" s="42" t="str">
        <x:v>200 admin; 403 student; 405 audit write</x:v>
      </x:c>
      <x:c r="K13" s="42" t="str">
        <x:v>Pass</x:v>
      </x:c>
      <x:c r="L13" s="42" t="str">
        <x:v>Pass</x:v>
      </x:c>
      <x:c r="M13" s="42" t="str">
        <x:v>200, 200, 405, 200</x:v>
      </x:c>
      <x:c r="N13" s="42" t="str">
        <x:v>Administrator audit list/detail and analytics reads succeeded. Audit write was rejected with HTTP 405. Responses excluded unnecessary identity, password, and token values.</x:v>
      </x:c>
      <x:c r="O13" s="42" t="str">
        <x:v>Pass</x:v>
      </x:c>
      <x:c r="P13" s="42" t="str">
        <x:v>Jerald</x:v>
      </x:c>
      <x:c r="Q13" s="44" t="n">
        <x:v>46301</x:v>
      </x:c>
      <x:c r="R13" s="42" t="str">
        <x:v>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docs/testing/evidence/sprint-5/security/S5-SEC-RBAC-06C-audit-records-endpoint-read-only-pass.png; docs/testing/evidence/sprint-5/security/S5-SEC-RBAC-06D-administrator-analytics-response-safe-pass.png</x:v>
      </x:c>
      <x:c r="S13" s="42"/>
      <x:c r="T13" s="42" t="str">
        <x:v>Not Required</x:v>
      </x:c>
      <x:c r="U13" s="42" t="str">
        <x:v>Audit read-only behaviour and analytics response minimisation verified.</x:v>
      </x:c>
      <x:c r="V13" s="42" t="str">
        <x:v>backend/administration/views.py; backend/administration/serializers.py; backend/administration/tests.py</x:v>
      </x:c>
    </x:row>
    <x:row r="14">
      <x:c r="A14" s="42" t="str">
        <x:v>S5-SEC-OWN-01</x:v>
      </x:c>
      <x:c r="B14" s="42" t="str">
        <x:v>Object Ownership</x:v>
      </x:c>
      <x:c r="C14" s="42" t="str">
        <x:v>Verify Student Profile GET resolves only the authenticated user's profile and does not expose another Student profile.</x:v>
      </x:c>
      <x:c r="D14" s="42" t="str">
        <x:v>Authenticated GET returns only the caller's Student Profile. Cross-user profile data is absent.</x:v>
      </x:c>
      <x:c r="E14" s="42" t="str">
        <x:v>POSTMAN + AUTOMATED</x:v>
      </x:c>
      <x:c r="F14" s="42" t="str">
        <x:v>StudentProfileReadAPITests.test_get_uses_authenticated_user_and_does_not_leak_cross_user_data</x:v>
      </x:c>
      <x:c r="G14" s="42" t="str">
        <x:v>GET</x:v>
      </x:c>
      <x:c r="H14" s="42" t="str">
        <x:v>/api/v1/profile/</x:v>
      </x:c>
      <x:c r="I14" s="42" t="str">
        <x:v>Student Bearer</x:v>
      </x:c>
      <x:c r="J14" s="42" t="str">
        <x:v>200</x:v>
      </x:c>
      <x:c r="K14" s="42" t="str">
        <x:v>Pass</x:v>
      </x:c>
      <x:c r="L14" s="42" t="str">
        <x:v>Pass</x:v>
      </x:c>
      <x:c r="M14" s="42" t="str">
        <x:v>200</x:v>
      </x:c>
      <x:c r="N14" s="42" t="str">
        <x:v>Student Profile GET used the authenticated Student context. Cross-user query identifiers did not expose another profile, career goal, or ownership fields.</x:v>
      </x:c>
      <x:c r="O14" s="42" t="str">
        <x:v>Pass</x:v>
      </x:c>
      <x:c r="P14" s="42" t="str">
        <x:v>Jerald</x:v>
      </x:c>
      <x:c r="Q14" s="44" t="n">
        <x:v>46301</x:v>
      </x:c>
      <x:c r="R14" s="42" t="str">
        <x:v>docs/testing/evidence/sprint-5/security/S5-SEC-OWN-01-student-profile-ignores-cross-user-identifiers-pass.png</x:v>
      </x:c>
      <x:c r="S14" s="42"/>
      <x:c r="T14" s="42" t="str">
        <x:v>Not Required</x:v>
      </x:c>
      <x:c r="U14" s="42" t="str">
        <x:v>Authenticated-profile isolation passed 6/6.</x:v>
      </x:c>
      <x:c r="V14" s="42" t="str">
        <x:v>backend/profiles/views.py; backend/profiles/tests.py</x:v>
      </x:c>
    </x:row>
    <x:row r="15">
      <x:c r="A15" s="42" t="str">
        <x:v>S5-SEC-OWN-02</x:v>
      </x:c>
      <x:c r="B15" s="42" t="str">
        <x:v>Object Ownership</x:v>
      </x:c>
      <x:c r="C15" s="42" t="str">
        <x:v>Verify Student Profile PATCH rejects ownership spoofing through identifiers, nested records, query parameters, or protected fields.</x:v>
      </x:c>
      <x:c r="D15" s="42" t="str">
        <x:v>Ownership identifiers and cross-user nested record IDs are rejected. Another Student profile is not modified.</x:v>
      </x:c>
      <x:c r="E15" s="42" t="str">
        <x:v>POSTMAN + AUTOMATED</x:v>
      </x:c>
      <x:c r="F15" s="42" t="str">
        <x:v>StudentProfilePatchAPITests.test_client_supplied_ownership_identifiers_are_rejected; StudentProfilePatchAPITests.test_cross_user_nested_id_is_rejected_without_modifying_other_profile; StudentProfilePatchAPITests.test_authenticated_user_cannot_patch_another_profile_with_query_parameters</x:v>
      </x:c>
      <x:c r="G15" s="42" t="str">
        <x:v>PATCH</x:v>
      </x:c>
      <x:c r="H15" s="42" t="str">
        <x:v>/api/v1/profile/</x:v>
      </x:c>
      <x:c r="I15" s="42" t="str">
        <x:v>Student Bearer</x:v>
      </x:c>
      <x:c r="J15" s="42" t="str">
        <x:v>400</x:v>
      </x:c>
      <x:c r="K15" s="42" t="str">
        <x:v>Pass</x:v>
      </x:c>
      <x:c r="L15" s="42" t="str">
        <x:v>Pass</x:v>
      </x:c>
      <x:c r="M15" s="42" t="str">
        <x:v>400, 400, 200</x:v>
      </x:c>
      <x:c r="N15" s="42" t="str">
        <x:v>Client-supplied user_id and cross-user CareerGoal ID were rejected. Cross-user query parameters could not redirect profile update. Database verification confirmed caller and cross-user data stayed isolated.</x:v>
      </x:c>
      <x:c r="O15" s="42" t="str">
        <x:v>Pass</x:v>
      </x:c>
      <x:c r="P15" s="42" t="str">
        <x:v>Jerald</x:v>
      </x:c>
      <x:c r="Q15" s="44" t="n">
        <x:v>46301</x:v>
      </x:c>
      <x:c r="R15" s="42" t="str">
        <x:v>docs/testing/evidence/sprint-5/security/S5-SEC-OWN-02A-client-supplied-user-id-rejected-pass.png; docs/testing/evidence/sprint-5/security/S5-SEC-OWN-02B-cross-user-career-goal-id-rejected-pass.png; docs/testing/evidence/sprint-5/security/S5-SEC-OWN-02C-cross-user-query-parameters-cannot-redirect-profile-update-pass.png; docs/testing/evidence/sprint-5/security/S5-SEC-OWN-02-database-state-verification-pass.png; docs/testing/evidence/sprint-5/security/S5-SEC-OWN-02-temporary-users-cleanup-pass.png</x:v>
      </x:c>
      <x:c r="S15" s="42"/>
      <x:c r="T15" s="42" t="str">
        <x:v>Not Required</x:v>
      </x:c>
      <x:c r="U15" s="42" t="str">
        <x:v>Ownership spoofing rejected and database state verified. Temporary ownership users were removed after testing.</x:v>
      </x:c>
      <x:c r="V15" s="42" t="str">
        <x:v>backend/profiles/views.py; backend/profiles/tests.py</x:v>
      </x:c>
    </x:row>
    <x:row r="16">
      <x:c r="A16" s="42" t="str">
        <x:v>S5-SEC-OWN-03</x:v>
      </x:c>
      <x:c r="B16" s="42" t="str">
        <x:v>Object Ownership</x:v>
      </x:c>
      <x:c r="C16" s="42" t="str">
        <x:v>Verify Career Recommendation, Learning Resource, Roadmap, and related Student guidance operations derive Student context from the authenticated user.</x:v>
      </x:c>
      <x:c r="D16" s="42" t="str">
        <x:v>Guidance services obtain Student Profile context from request.user rather than a client-selected Student identity.</x:v>
      </x:c>
      <x:c r="E16" s="42" t="str">
        <x:v>AUTOMATED + STATIC</x:v>
      </x:c>
      <x:c r="F16" s="42" t="str">
        <x:v>RecommendationAPITests.test_authenticated_user_profile_is_used_exclusively; LearningRoadmapAPITests.test_student_profile_is_derived_from_request_user</x:v>
      </x:c>
      <x:c r="G16" s="42" t="str">
        <x:v>N/A</x:v>
      </x:c>
      <x:c r="H16" s="42" t="str">
        <x:v>/api/v1/recommendations/; /api/v1/learning-resources/; /api/v1/roadmaps/</x:v>
      </x:c>
      <x:c r="I16" s="42" t="str">
        <x:v>Authenticated Student context</x:v>
      </x:c>
      <x:c r="J16" s="42" t="str">
        <x:v>N/A for static layer</x:v>
      </x:c>
      <x:c r="K16" s="42" t="str">
        <x:v>Pass</x:v>
      </x:c>
      <x:c r="L16" s="42" t="str">
        <x:v>Pass</x:v>
      </x:c>
      <x:c r="M16" s="42" t="str">
        <x:v>N/A (automated/static)</x:v>
      </x:c>
      <x:c r="N16" s="42" t="str">
        <x:v>Targeted ownership tests passed and static review confirmed Recommendation, Learning/Roadmap, and related guidance paths derive Student Profile context from request.user rather than client-supplied identity.</x:v>
      </x:c>
      <x:c r="O16" s="42" t="str">
        <x:v>Pass</x:v>
      </x:c>
      <x:c r="P16" s="42" t="str">
        <x:v>Jerald</x:v>
      </x:c>
      <x:c r="Q16" s="44" t="n">
        <x:v>46301</x:v>
      </x:c>
      <x:c r="R16" s="42" t="str">
        <x:v>docs/testing/evidence/sprint-5/security/S5-SEC-OWN-03-targeted-automated-tests-pass.png; docs/testing/evidence/sprint-5/security/S5-SEC-OWN-03-static-recommendation-ownership-check.png; docs/testing/evidence/sprint-5/security/S5-SEC-OWN-03-static-learning-roadmap-ownership-check.png; docs/testing/evidence/sprint-5/security/S5-SEC-OWN-03-static-query-ownership-check.png</x:v>
      </x:c>
      <x:c r="S16" s="42"/>
      <x:c r="T16" s="42" t="str">
        <x:v>Not Required</x:v>
      </x:c>
      <x:c r="U16" s="42" t="str">
        <x:v>Targeted automated coverage and static request.user ownership review completed.</x:v>
      </x:c>
      <x:c r="V16" s="42" t="str">
        <x:v>backend/careers/views.py; backend/careers/tests.py</x:v>
      </x:c>
    </x:row>
    <x:row r="17">
      <x:c r="A17" s="42" t="str">
        <x:v>S5-SEC-OWN-04</x:v>
      </x:c>
      <x:c r="B17" s="42" t="str">
        <x:v>Object Ownership</x:v>
      </x:c>
      <x:c r="C17" s="42" t="str">
        <x:v>Verify Job Description Matching derives the Student Profile from request.user rather than a client-supplied profile identity.</x:v>
      </x:c>
      <x:c r="D17" s="42" t="str">
        <x:v>Valid job-match request uses the authenticated Student Profile and does not accept another Student profile identity.</x:v>
      </x:c>
      <x:c r="E17" s="42" t="str">
        <x:v>POSTMAN + AUTOMATED</x:v>
      </x:c>
      <x:c r="F17" s="42" t="str">
        <x:v>JobDescriptionMatchAPITests.test_authenticated_profile_ownership</x:v>
      </x:c>
      <x:c r="G17" s="42" t="str">
        <x:v>POST</x:v>
      </x:c>
      <x:c r="H17" s="42" t="str">
        <x:v>/api/v1/careers/job-match/</x:v>
      </x:c>
      <x:c r="I17" s="42" t="str">
        <x:v>Student Bearer</x:v>
      </x:c>
      <x:c r="J17" s="42" t="str">
        <x:v>200 valid request</x:v>
      </x:c>
      <x:c r="K17" s="42" t="str">
        <x:v>Pass</x:v>
      </x:c>
      <x:c r="L17" s="42" t="str">
        <x:v>Pass</x:v>
      </x:c>
      <x:c r="M17" s="42" t="str">
        <x:v>200, 400</x:v>
      </x:c>
      <x:c r="N17" s="42" t="str">
        <x:v>Valid Job Match used the authenticated Student Profile. A client-supplied profile identity field was rejected with HTTP 400.</x:v>
      </x:c>
      <x:c r="O17" s="42" t="str">
        <x:v>Pass</x:v>
      </x:c>
      <x:c r="P17" s="42" t="str">
        <x:v>Jerald</x:v>
      </x:c>
      <x:c r="Q17" s="44" t="n">
        <x:v>46301</x:v>
      </x:c>
      <x:c r="R17" s="42" t="str">
        <x:v>docs/testing/evidence/sprint-5/security/S5-SEC-OWN-04A-job-match-uses-authenticated-student-profile-pass.png; docs/testing/evidence/sprint-5/security/S5-SEC-OWN-04B-job-match-rejects-client-supplied-profile-identity-pass.png</x:v>
      </x:c>
      <x:c r="S17" s="42"/>
      <x:c r="T17" s="42" t="str">
        <x:v>Not Required</x:v>
      </x:c>
      <x:c r="U17" s="42" t="str">
        <x:v>Job Match authenticated-profile ownership and selector rejection verified.</x:v>
      </x:c>
      <x:c r="V17" s="42" t="str">
        <x:v>backend/careers/views.py; backend/careers/test_job_description_matching.py</x:v>
      </x:c>
    </x:row>
    <x:row r="18">
      <x:c r="A18" s="42" t="str">
        <x:v>S5-SEC-OWN-05</x:v>
      </x:c>
      <x:c r="B18" s="42" t="str">
        <x:v>Object Ownership</x:v>
      </x:c>
      <x:c r="C18" s="42" t="str">
        <x:v>Verify Resume and Cover Letter generation use the authenticated user's profile and reject attempts to select another Student profile or supply protected prompt controls.</x:v>
      </x:c>
      <x:c r="D18" s="42" t="str">
        <x:v>Valid generation uses the caller's profile. Client-supplied Student profile IDs, user IDs, profile prompts, or system prompts are rejected where prohibited.</x:v>
      </x:c>
      <x:c r="E18" s="42" t="str">
        <x:v>POSTMAN + AUTOMATED</x:v>
      </x:c>
      <x:c r="F18" s="42" t="str">
        <x:v>ResumeGenerationAPITests.test_authenticated_user_profile_is_used_exclusively; CoverLetterGenerationAPITests.test_authenticated_user_profile_is_used_exclusively; CoverLetterGenerationAPITests.test_client_cannot_select_another_student_profile; CoverLetterGenerationAPITests.test_student_profile_id_is_rejected</x:v>
      </x:c>
      <x:c r="G18" s="42" t="str">
        <x:v>POST</x:v>
      </x:c>
      <x:c r="H18" s="42" t="str">
        <x:v>/api/v1/documents/resume/generate/; /api/v1/documents/cover-letter/generate/</x:v>
      </x:c>
      <x:c r="I18" s="42" t="str">
        <x:v>Student Bearer</x:v>
      </x:c>
      <x:c r="J18" s="42" t="str">
        <x:v>200 valid; 400 protected/spoof fields</x:v>
      </x:c>
      <x:c r="K18" s="42" t="str">
        <x:v>Pass</x:v>
      </x:c>
      <x:c r="L18" s="42" t="str">
        <x:v>Pass</x:v>
      </x:c>
      <x:c r="M18" s="42" t="str">
        <x:v>400, 400</x:v>
      </x:c>
      <x:c r="N18" s="42" t="str">
        <x:v>Resume and Cover Letter generation rejected client-supplied Student Profile selectors. Automated coverage confirms generation derives profile context from the authenticated user.</x:v>
      </x:c>
      <x:c r="O18" s="42" t="str">
        <x:v>Pass</x:v>
      </x:c>
      <x:c r="P18" s="42" t="str">
        <x:v>Jerald</x:v>
      </x:c>
      <x:c r="Q18" s="44" t="n">
        <x:v>46301</x:v>
      </x:c>
      <x:c r="R18" s="42" t="str">
        <x:v>docs/testing/evidence/sprint-5/security/S5-SEC-OWN-05A-resume-rejects-client-supplied-student-profile-pass.png; docs/testing/evidence/sprint-5/security/S5-SEC-OWN-05B-cover-letter-rejects-client-supplied-student-profile-pass.png</x:v>
      </x:c>
      <x:c r="S18" s="42"/>
      <x:c r="T18" s="42" t="str">
        <x:v>Not Required</x:v>
      </x:c>
      <x:c r="U18" s="42" t="str">
        <x:v>Protected Student Profile selector rejection verified for both document-generation endpoints.</x:v>
      </x:c>
      <x:c r="V18" s="42" t="str">
        <x:v>backend/documents/views.py; backend/documents/tests.py</x:v>
      </x:c>
    </x:row>
    <x:row r="19">
      <x:c r="A19" s="42" t="str">
        <x:v>S5-SEC-OWN-06</x:v>
      </x:c>
      <x:c r="B19" s="42" t="str">
        <x:v>Object Ownership</x:v>
      </x:c>
      <x:c r="C19" s="42" t="str">
        <x:v>Verify Interview History returns only the authenticated user's records and new history records bind ownership to request.user.</x:v>
      </x:c>
      <x:c r="D19" s="42" t="str">
        <x:v>GET returns only caller history. POST binds the new session to the caller. Client-supplied user ownership is rejected.</x:v>
      </x:c>
      <x:c r="E19" s="42" t="str">
        <x:v>POSTMAN + AUTOMATED</x:v>
      </x:c>
      <x:c r="F19" s="42" t="str">
        <x:v>InterviewHistoryAPITests.test_post_creates_owned_session_metadata; InterviewHistoryAPITests.test_get_returns_only_authenticated_user_history; InterviewHistoryAPITests.test_user_id_is_rejected</x:v>
      </x:c>
      <x:c r="G19" s="42" t="str">
        <x:v>GET/POST</x:v>
      </x:c>
      <x:c r="H19" s="42" t="str">
        <x:v>/api/v1/interviews/history/</x:v>
      </x:c>
      <x:c r="I19" s="42" t="str">
        <x:v>Student Bearer</x:v>
      </x:c>
      <x:c r="J19" s="42" t="str">
        <x:v>200 GET; 201 POST; 400 spoofed owner</x:v>
      </x:c>
      <x:c r="K19" s="42" t="str">
        <x:v>Pass</x:v>
      </x:c>
      <x:c r="L19" s="42" t="str">
        <x:v>Pass</x:v>
      </x:c>
      <x:c r="M19" s="42" t="str">
        <x:v>201, 200, 400, 200</x:v>
      </x:c>
      <x:c r="N19" s="42" t="str">
        <x:v>Student A created and retrieved its own Interview History. Client-supplied user_id was rejected. Student B could not retrieve Student A history.</x:v>
      </x:c>
      <x:c r="O19" s="42" t="str">
        <x:v>Pass</x:v>
      </x:c>
      <x:c r="P19" s="42" t="str">
        <x:v>Jerald</x:v>
      </x:c>
      <x:c r="Q19" s="44" t="n">
        <x:v>46301</x:v>
      </x:c>
      <x:c r="R19" s="42" t="str">
        <x:v>docs/testing/evidence/sprint-5/security/S5-SEC-OWN-06A-student-a-creates-owned-interview-history-pass.png; docs/testing/evidence/sprint-5/security/S5-SEC-OWN-06B-student-a-sees-own-interview-history-pass.png; docs/testing/evidence/sprint-5/security/S5-SEC-OWN-06C-client-supplied-interview-history-user-id-rejected-pass.png; docs/testing/evidence/sprint-5/security/S5-SEC-OWN-06D-student-b-cannot-see-student-a-interview-history-pass.png; docs/testing/evidence/sprint-5/security/S5-SEC-OWN-06-student-b-fixture-created.png</x:v>
      </x:c>
      <x:c r="S19" s="42"/>
      <x:c r="T19" s="42" t="str">
        <x:v>Not Required</x:v>
      </x:c>
      <x:c r="U19" s="42" t="str">
        <x:v>Interview History ownership binding and cross-user isolation verified.</x:v>
      </x:c>
      <x:c r="V19" s="42" t="str">
        <x:v>backend/interviews/views.py; backend/interviews/tests.py</x:v>
      </x:c>
    </x:row>
    <x:row r="20">
      <x:c r="A20" s="42" t="str">
        <x:v>S5-SEC-IN-01</x:v>
      </x:c>
      <x:c r="B20" s="42" t="str">
        <x:v>Input Protection</x:v>
      </x:c>
      <x:c r="C20" s="42" t="str">
        <x:v>Verify clients cannot set protected role, ownership, system-prompt, profile-identity, or server-controlled values.</x:v>
      </x:c>
      <x:c r="D20" s="42" t="str">
        <x:v>Protected fields are rejected or ignored according to the documented endpoint contract. Server-controlled identity and privilege values remain unchanged.</x:v>
      </x:c>
      <x:c r="E20" s="42" t="str">
        <x:v>POSTMAN + AUTOMATED</x:v>
      </x:c>
      <x:c r="F20" s="42" t="str">
        <x:v>RegistrationAPITests.test_public_registration_cannot_create_privileged_user; AccountSettingsAPITests.test_email_and_role_are_read_only; CoverLetterGenerationAPITests.test_user_id_is_rejected; CoverLetterGenerationAPITests.test_profile_prompt_and_system_prompt_fields_are_rejected; InterviewRequestSerializerTests.test_question_request_rejects_user_id; InterviewRequestSerializerTests.test_question_request_rejects_client_prompt</x:v>
      </x:c>
      <x:c r="G20" s="42" t="str">
        <x:v>POST/PATCH</x:v>
      </x:c>
      <x:c r="H20" s="42" t="str">
        <x:v>Representative auth, settings, document and interview endpoints</x:v>
      </x:c>
      <x:c r="I20" s="42" t="str">
        <x:v>Unauthenticated / Student Bearer</x:v>
      </x:c>
      <x:c r="J20" s="42" t="str">
        <x:v>400 or safe read-only preservation</x:v>
      </x:c>
      <x:c r="K20" s="42" t="str">
        <x:v>Pass</x:v>
      </x:c>
      <x:c r="L20" s="42" t="str">
        <x:v>Pass</x:v>
      </x:c>
      <x:c r="M20" s="42" t="str">
        <x:v>201, 200, 400, 400, 400, 400</x:v>
      </x:c>
      <x:c r="N20" s="42" t="str">
        <x:v>Registration could not create an Administrator. Account settings preserved protected email/role. Document and Interview endpoints rejected client-supplied ownership, profile, prompt, and system-prompt controls.</x:v>
      </x:c>
      <x:c r="O20" s="42" t="str">
        <x:v>Pass</x:v>
      </x:c>
      <x:c r="P20" s="42" t="str">
        <x:v>Jerald</x:v>
      </x:c>
      <x:c r="Q20" s="44" t="n">
        <x:v>46301</x:v>
      </x:c>
      <x:c r="R20" s="42" t="str">
        <x:v>docs/testing/evidence/sprint-5/security/S5-SEC-IN-01A-public-registration-cannot-create-privileged-user-pass.png; docs/testing/evidence/sprint-5/security/S5-SEC-IN-01B-account-settings-protect-email-and-role-pass.png; docs/testing/evidence/sprint-5/security/S5-SEC-IN-01C-cover-letter-rejects-client-supplied-user-id-pass.png; docs/testing/evidence/sprint-5/security/S5-SEC-IN-01D-cover-letter-rejects-protected-prompt-controls-pass.png; docs/testing/evidence/sprint-5/security/S5-SEC-IN-01E-interview-questions-reject-client-supplied-user-id-pass.png; docs/testing/evidence/sprint-5/security/S5-SEC-IN-01F-interview-questions-reject-client-supplied-prompt-pass.png</x:v>
      </x:c>
      <x:c r="S20" s="42"/>
      <x:c r="T20" s="42" t="str">
        <x:v>Not Required</x:v>
      </x:c>
      <x:c r="U20" s="42" t="str">
        <x:v>Server-controlled role, ownership, profile identity, and prompt boundaries verified.</x:v>
      </x:c>
      <x:c r="V20" s="42" t="str">
        <x:v>backend/accounts/serializers.py; backend/documents/serializers.py; backend/interviews/serializers.py</x:v>
      </x:c>
    </x:row>
    <x:row r="21">
      <x:c r="A21" s="42" t="str">
        <x:v>S5-SEC-IN-02</x:v>
      </x:c>
      <x:c r="B21" s="42" t="str">
        <x:v>Input Protection</x:v>
      </x:c>
      <x:c r="C21" s="42" t="str">
        <x:v>Verify invalid values, invalid identifiers, invalid file content, invalid role values, and unsupported data produce controlled validation responses.</x:v>
      </x:c>
      <x:c r="D21" s="42" t="str">
        <x:v>Invalid inputs return controlled HTTP 400 validation responses without unsafe internal details.</x:v>
      </x:c>
      <x:c r="E21" s="42" t="str">
        <x:v>POSTMAN + AUTOMATED</x:v>
      </x:c>
      <x:c r="F21" s="42" t="str">
        <x:v>AdminUserRoleStatusAuditTests.test_invalid_role_change_is_rejected; AccountSettingsAPITests.test_gif_profile_photo_is_rejected; AccountSettingsAPITests.test_profile_photo_over_five_mb_is_rejected; StudentProfilePatchAPITests.test_invalid_proficiency_and_missing_reference_are_rejected; JobDescriptionMatchAPITests.test_unknown_fields_rejected</x:v>
      </x:c>
      <x:c r="G21" s="42" t="str">
        <x:v>POST/PATCH</x:v>
      </x:c>
      <x:c r="H21" s="42" t="str">
        <x:v>Representative administration, settings, profile and job-match endpoints</x:v>
      </x:c>
      <x:c r="I21" s="42" t="str">
        <x:v>Student / Administrator Bearer</x:v>
      </x:c>
      <x:c r="J21" s="42" t="str">
        <x:v>400</x:v>
      </x:c>
      <x:c r="K21" s="42" t="str">
        <x:v>Pass</x:v>
      </x:c>
      <x:c r="L21" s="42" t="str">
        <x:v>Pass</x:v>
      </x:c>
      <x:c r="M21" s="42" t="str">
        <x:v>400 for all invalid-input checks</x:v>
      </x:c>
      <x:c r="N21" s="42" t="str">
        <x:v>Invalid Administrator role, GIF upload, oversized profile photo, invalid skill proficiency, missing Interest reference, and unknown Job Match profile field all produced controlled HTTP 400 validation responses.</x:v>
      </x:c>
      <x:c r="O21" s="42" t="str">
        <x:v>Pass</x:v>
      </x:c>
      <x:c r="P21" s="42" t="str">
        <x:v>Jerald</x:v>
      </x:c>
      <x:c r="Q21" s="44" t="n">
        <x:v>46301</x:v>
      </x:c>
      <x:c r="R21" s="42" t="str">
        <x:v>docs/testing/evidence/sprint-5/security/S5-SEC-RBAC-05C-invalid-admin-role-change-rejected-pass.png; docs/testing/evidence/sprint-5/security/S5-SEC-IN-02A-gif-profile-photo-rejected-pass.png; docs/testing/evidence/sprint-5/security/S5-SEC-IN-02B-oversized-profile-photo-rejected-pass.png; docs/testing/evidence/sprint-5/security/S5-SEC-IN-02C-invalid-skill-proficiency-rejected-pass.png; docs/testing/evidence/sprint-5/security/S5-SEC-IN-02D-missing-interest-reference-rejected-pass.png; docs/testing/evidence/sprint-5/security/S5-SEC-IN-02E-job-match-rejects-unknown-student-profile-field-pass.png</x:v>
      </x:c>
      <x:c r="S21" s="42"/>
      <x:c r="T21" s="42" t="str">
        <x:v>Not Required</x:v>
      </x:c>
      <x:c r="U21" s="42" t="str">
        <x:v>RBAC-05C is reused as the mapped invalid-role evidence. All remaining IN-02 invalid-input checks passed.</x:v>
      </x:c>
      <x:c r="V21" s="42" t="str">
        <x:v>backend/accounts/serializers.py; backend/administration/serializers.py; backend/profiles/serializers.py</x:v>
      </x:c>
    </x:row>
    <x:row r="22">
      <x:c r="A22" s="42" t="str">
        <x:v>S5-SEC-AI-01</x:v>
      </x:c>
      <x:c r="B22" s="42" t="str">
        <x:v>AI Privacy / Trust</x:v>
      </x:c>
      <x:c r="C22" s="42" t="str">
        <x:v>Verify AI Student Profile context is restricted to the approved allowlist.</x:v>
      </x:c>
      <x:c r="D22" s="42" t="str">
        <x:v>Only approved Student Profile areas are mapped into AI context.</x:v>
      </x:c>
      <x:c r="E22" s="42" t="str">
        <x:v>AUTOMATED + STATIC</x:v>
      </x:c>
      <x:c r="F22" s="42" t="str">
        <x:v>ResumeGenerationServiceTests.test_approved_profile_context_reaches_provider_through_privacy_mapper; CoverLetterGenerationServiceTests.test_approved_profile_context_reaches_provider_through_privacy_mapper</x:v>
      </x:c>
      <x:c r="G22" s="42" t="str">
        <x:v>N/A</x:v>
      </x:c>
      <x:c r="H22" s="42" t="str">
        <x:v>N/A</x:v>
      </x:c>
      <x:c r="I22" s="42" t="str">
        <x:v>N/A</x:v>
      </x:c>
      <x:c r="J22" s="42" t="str">
        <x:v>N/A</x:v>
      </x:c>
      <x:c r="K22" s="42" t="str">
        <x:v>Pass</x:v>
      </x:c>
      <x:c r="L22" s="42" t="str">
        <x:v>Pass</x:v>
      </x:c>
      <x:c r="M22" s="42" t="str">
        <x:v>N/A (automated/static)</x:v>
      </x:c>
      <x:c r="N22" s="42" t="str">
        <x:v>Resume and Cover Letter privacy-mapper tests passed. Static review confirmed AI_PROFILE_ALLOWLIST contains only skills, education, experience, projects, and career_goals.</x:v>
      </x:c>
      <x:c r="O22" s="42" t="str">
        <x:v>Pass</x:v>
      </x:c>
      <x:c r="P22" s="42" t="str">
        <x:v>Jerald</x:v>
      </x:c>
      <x:c r="Q22" s="44" t="n">
        <x:v>46301</x:v>
      </x:c>
      <x:c r="R22" s="42" t="str">
        <x:v>docs/testing/evidence/sprint-5/security/S5-SEC-AI-01-approved-profile-context-privacy-mapper-tests-pass.png</x:v>
      </x:c>
      <x:c r="S22" s="42"/>
      <x:c r="T22" s="42" t="str">
        <x:v>Not Required</x:v>
      </x:c>
      <x:c r="U22" s="42" t="str">
        <x:v>Mapped provider-context tests passed 2/2. Static review of backend/ai_services/safety/privacy.py confirmed the five-section allowlist.</x:v>
      </x:c>
      <x:c r="V22" s="42" t="str">
        <x:v>backend/ai_services/safety/privacy.py; backend/documents/tests.py</x:v>
      </x:c>
    </x:row>
    <x:row r="23">
      <x:c r="A23" s="42" t="str">
        <x:v>S5-SEC-AI-02</x:v>
      </x:c>
      <x:c r="B23" s="42" t="str">
        <x:v>AI Privacy / Trust</x:v>
      </x:c>
      <x:c r="C23" s="42" t="str">
        <x:v>Verify sensitive profile and account fields are excluded from AI profile context.</x:v>
      </x:c>
      <x:c r="D23" s="42" t="str">
        <x:v>User IDs, StudentProfile IDs, email, role, password data, JWT data, internal identifiers, personality responses, interests, project URLs, and database timestamps do not reach the provider profile context.</x:v>
      </x:c>
      <x:c r="E23" s="42" t="str">
        <x:v>AUTOMATED + STATIC</x:v>
      </x:c>
      <x:c r="F23" s="42" t="str">
        <x:v>ResumeGenerationServiceTests.test_private_profile_fields_are_not_exposed_to_provider_prompt; CoverLetterGenerationServiceTests.test_private_profile_fields_are_not_exposed_to_provider_prompt</x:v>
      </x:c>
      <x:c r="G23" s="42" t="str">
        <x:v>N/A</x:v>
      </x:c>
      <x:c r="H23" s="42" t="str">
        <x:v>N/A</x:v>
      </x:c>
      <x:c r="I23" s="42" t="str">
        <x:v>N/A</x:v>
      </x:c>
      <x:c r="J23" s="42" t="str">
        <x:v>N/A</x:v>
      </x:c>
      <x:c r="K23" s="42" t="str">
        <x:v>Pass</x:v>
      </x:c>
      <x:c r="L23" s="42" t="str">
        <x:v>Pass</x:v>
      </x:c>
      <x:c r="M23" s="42" t="str">
        <x:v>N/A (automated/static)</x:v>
      </x:c>
      <x:c r="N23" s="42" t="str">
        <x:v>Resume and Cover Letter tests confirmed private profile values are not exposed to provider prompts. Static privacy mapper excludes identity, credentials, interests, personality responses, project URLs, timestamps, and internal identifiers.</x:v>
      </x:c>
      <x:c r="O23" s="42" t="str">
        <x:v>Pass</x:v>
      </x:c>
      <x:c r="P23" s="42" t="str">
        <x:v>Jerald</x:v>
      </x:c>
      <x:c r="Q23" s="44" t="n">
        <x:v>46301</x:v>
      </x:c>
      <x:c r="R23" s="42" t="str">
        <x:v>docs/testing/evidence/sprint-5/security/S5-SEC-AI-02-private-profile-fields-not-exposed-to-provider-prompt-pass.png</x:v>
      </x:c>
      <x:c r="S23" s="42"/>
      <x:c r="T23" s="42" t="str">
        <x:v>Not Required</x:v>
      </x:c>
      <x:c r="U23" s="42" t="str">
        <x:v>Mapped private-field provider-prompt tests passed 2/2. Static exclusion rules reviewed.</x:v>
      </x:c>
      <x:c r="V23" s="42" t="str">
        <x:v>backend/ai_services/safety/privacy.py; backend/documents/tests.py</x:v>
      </x:c>
    </x:row>
    <x:row r="24">
      <x:c r="A24" s="42" t="str">
        <x:v>S5-SEC-AI-03</x:v>
      </x:c>
      <x:c r="B24" s="42" t="str">
        <x:v>AI Privacy / Trust</x:v>
      </x:c>
      <x:c r="C24" s="42" t="str">
        <x:v>Verify AI provider failures and invalid generated responses return controlled API errors without provider credentials or internal exception details.</x:v>
      </x:c>
      <x:c r="D24" s="42" t="str">
        <x:v>Provider timeout, unavailability, semantic validation failure, and response validation failure return controlled 502/503 responses without secret or stack-trace leakage.</x:v>
      </x:c>
      <x:c r="E24" s="42" t="str">
        <x:v>AUTOMATED + STATIC</x:v>
      </x:c>
      <x:c r="F24" s="42" t="str">
        <x:v>ResumeGenerationAPITests.test_shared_ai_service_failure_returns_503; ResumeGenerationAPITests.test_response_validation_failure_is_sanitized_503; CoverLetterGenerationAPITests.test_provider_unavailable_returns_503; InterviewQuestionAPITests.test_provider_timeout_returns_503; InterviewQuestionAPITests.test_semantic_validation_failure_returns_controlled_502; InterviewFeedbackAPITests.test_provider_timeout_returns_503</x:v>
      </x:c>
      <x:c r="G24" s="42" t="str">
        <x:v>N/A</x:v>
      </x:c>
      <x:c r="H24" s="42" t="str">
        <x:v>AI-backed document and interview endpoints</x:v>
      </x:c>
      <x:c r="I24" s="42" t="str">
        <x:v>Authenticated Student</x:v>
      </x:c>
      <x:c r="J24" s="42" t="str">
        <x:v>Controlled 502/503 in automated failure simulations</x:v>
      </x:c>
      <x:c r="K24" s="42" t="str">
        <x:v>Pass</x:v>
      </x:c>
      <x:c r="L24" s="42" t="str">
        <x:v>Pass</x:v>
      </x:c>
      <x:c r="M24" s="42" t="str">
        <x:v>502/503 (automated failure simulations)</x:v>
      </x:c>
      <x:c r="N24" s="42" t="str">
        <x:v>All six mapped provider-failure and invalid-response tests passed. Static review confirmed controlled errors and no provider secret, stack trace, prompt, credential, or Student-content leakage.</x:v>
      </x:c>
      <x:c r="O24" s="42" t="str">
        <x:v>Pass</x:v>
      </x:c>
      <x:c r="P24" s="42" t="str">
        <x:v>Jerald</x:v>
      </x:c>
      <x:c r="Q24" s="44" t="n">
        <x:v>46301</x:v>
      </x:c>
      <x:c r="R24" s="42" t="str">
        <x:v>docs/testing/evidence/sprint-5/security/S5-SEC-AI-03-controlled-ai-provider-failure-tests-pass.png</x:v>
      </x:c>
      <x:c r="S24" s="42" t="str"/>
      <x:c r="T24" s="42" t="str">
        <x:v>Not Required</x:v>
      </x:c>
      <x:c r="U24" s="42" t="str">
        <x:v>Mapped AI failure tests passed 6/6. Static review confirmed safe 502/503 handling, sanitised error envelopes, and safe validation logging.</x:v>
      </x:c>
      <x:c r="V24" s="42" t="str">
        <x:v>backend/gradnavi/exceptions.py; backend/documents/tests.py; backend/interviews/tests.py</x:v>
      </x:c>
    </x:row>
    <x:row r="25">
      <x:c r="A25" s="42" t="str">
        <x:v>S5-SEC-AI-04</x:v>
      </x:c>
      <x:c r="B25" s="42" t="str">
        <x:v>AI Privacy / Trust</x:v>
      </x:c>
      <x:c r="C25" s="42" t="str">
        <x:v>Verify user-supplied content stays separate from backend-controlled AI instructions and AI output does not replace backend authorization or deterministic scoring.</x:v>
      </x:c>
      <x:c r="D25" s="42" t="str">
        <x:v>Untrusted content cannot become trusted system instruction. Job matching and scoring authority remains backend-controlled and deterministic where designed.</x:v>
      </x:c>
      <x:c r="E25" s="42" t="str">
        <x:v>AUTOMATED + STATIC</x:v>
      </x:c>
      <x:c r="F25" s="42" t="str">
        <x:v>CoverLetterGenerationServiceTests.test_job_description_instructions_do_not_become_trusted_instructions; InterviewQuestionServiceTests.test_question_context_preserves_trust_boundary; InterviewFeedbackServiceTests.test_feedback_context_is_untrusted; JobDescriptionMatchAPITests.test_job_matching_output_is_independent_of_text_ai_provider</x:v>
      </x:c>
      <x:c r="G25" s="42" t="str">
        <x:v>N/A</x:v>
      </x:c>
      <x:c r="H25" s="42" t="str">
        <x:v>N/A</x:v>
      </x:c>
      <x:c r="I25" s="42" t="str">
        <x:v>N/A</x:v>
      </x:c>
      <x:c r="J25" s="42" t="str">
        <x:v>N/A</x:v>
      </x:c>
      <x:c r="K25" s="42" t="str">
        <x:v>Pass</x:v>
      </x:c>
      <x:c r="L25" s="42" t="str">
        <x:v>Pass</x:v>
      </x:c>
      <x:c r="M25" s="42" t="str">
        <x:v>N/A (automated/static)</x:v>
      </x:c>
      <x:c r="N25" s="42" t="str">
        <x:v>Four mapped trust-boundary tests passed. User-supplied Job Description, target role, interview question, and Student answer remained untrusted content. Job Match scoring remained independent of the text AI provider.</x:v>
      </x:c>
      <x:c r="O25" s="42" t="str">
        <x:v>Pass</x:v>
      </x:c>
      <x:c r="P25" s="42" t="str">
        <x:v>Jerald</x:v>
      </x:c>
      <x:c r="Q25" s="44" t="n">
        <x:v>46301</x:v>
      </x:c>
      <x:c r="R25" s="42" t="str">
        <x:v>docs/testing/evidence/sprint-5/security/S5-SEC-AI-04-untrusted-content-and-deterministic-scoring-tests-pass.png</x:v>
      </x:c>
      <x:c r="S25" s="42" t="str"/>
      <x:c r="T25" s="42" t="str">
        <x:v>Not Required</x:v>
      </x:c>
      <x:c r="U25" s="42" t="str">
        <x:v>Mapped trust-boundary and deterministic-scoring tests passed 4/4.</x:v>
      </x:c>
      <x:c r="V25" s="42" t="str">
        <x:v>backend/ai_services/prompts; backend/documents/tests.py; backend/interviews/tests.py</x:v>
      </x:c>
    </x:row>
    <x:row r="26">
      <x:c r="A26" s="42" t="str">
        <x:v>S5-SEC-AUD-01</x:v>
      </x:c>
      <x:c r="B26" s="42" t="str">
        <x:v>Audit / Error Protection</x:v>
      </x:c>
      <x:c r="C26" s="42" t="str">
        <x:v>Verify supported Administrator mutations create the required audit records.</x:v>
      </x:c>
      <x:c r="D26" s="42" t="str">
        <x:v>An approved Administrator mutation succeeds and the corresponding audit action becomes available through the Administrator audit endpoint.</x:v>
      </x:c>
      <x:c r="E26" s="42" t="str">
        <x:v>POSTMAN + AUTOMATED</x:v>
      </x:c>
      <x:c r="F26" s="42" t="str">
        <x:v>AdminAuditRecordTests.test_career_create_update_and_delete_create_audit_records; AdminAuditRecordTests.test_learning_resource_report_status_change_creates_audit_record</x:v>
      </x:c>
      <x:c r="G26" s="42" t="str">
        <x:v>POST/PATCH then GET</x:v>
      </x:c>
      <x:c r="H26" s="42" t="str">
        <x:v>/api/v1/administration/careers/ then /api/v1/administration/audit-records/</x:v>
      </x:c>
      <x:c r="I26" s="42" t="str">
        <x:v>Administrator Bearer</x:v>
      </x:c>
      <x:c r="J26" s="42" t="str">
        <x:v>201/200 mutation then 200 audit read</x:v>
      </x:c>
      <x:c r="K26" s="42" t="str">
        <x:v>Pass</x:v>
      </x:c>
      <x:c r="L26" s="42" t="str">
        <x:v>Pass</x:v>
      </x:c>
      <x:c r="M26" s="42" t="str">
        <x:v>201/200/204 mutations; 200 audit reads</x:v>
      </x:c>
      <x:c r="N26" s="42" t="str">
        <x:v>Administrator Career create, update, and delete operations produced matching audit records. Learning Resource Report status transition from open to resolved produced the expected status_changed audit record and metadata.</x:v>
      </x:c>
      <x:c r="O26" s="42" t="str">
        <x:v>Pass</x:v>
      </x:c>
      <x:c r="P26" s="42" t="str">
        <x:v>Jerald</x:v>
      </x:c>
      <x:c r="Q26" s="44" t="n">
        <x:v>46301</x:v>
      </x:c>
      <x:c r="R26" s="42" t="str">
        <x:v>docs/testing/evidence/sprint-5/security/S5-SEC-AUD-01-administrator-mutations-create-audit-records-tests-pass.png; docs/testing/evidence/sprint-5/security/S5-SEC-AUD-01A-administrator-creates-audited-career-pass.png; docs/testing/evidence/sprint-5/security/S5-SEC-AUD-01B-career-creation-audit-record-exists-pass.png; docs/testing/evidence/sprint-5/security/S5-SEC-AUD-01C-administrator-updates-audited-career-pass.png; docs/testing/evidence/sprint-5/security/S5-SEC-AUD-01D-career-update-audit-record-exists-pass.png; docs/testing/evidence/sprint-5/security/S5-SEC-AUD-01E-administrator-deletes-audited-career-pass.png; docs/testing/evidence/sprint-5/security/S5-SEC-AUD-01F-career-deletion-audit-record-exists-pass.png; docs/testing/evidence/sprint-5/security/S5-SEC-AUD-01G-administrator-resolves-learning-resource-report-pass.png; docs/testing/evidence/sprint-5/security/S5-SEC-AUD-01H-learning-resource-report-status-audit-record-exists-pass.png</x:v>
      </x:c>
      <x:c r="S26" s="42" t="str"/>
      <x:c r="T26" s="42" t="str">
        <x:v>Not Required</x:v>
      </x:c>
      <x:c r="U26" s="42" t="str">
        <x:v>Mapped automated tests passed 2/2. Postman evidence verified Career audit lifecycle and Learning Resource Report status-change metadata.</x:v>
      </x:c>
      <x:c r="V26" s="42" t="str">
        <x:v>backend/administration/audit.py; backend/administration/views.py; backend/administration/tests.py</x:v>
      </x:c>
    </x:row>
    <x:row r="27">
      <x:c r="A27" s="42" t="str">
        <x:v>S5-SEC-AUD-02</x:v>
      </x:c>
      <x:c r="B27" s="42" t="str">
        <x:v>Audit / Error Protection</x:v>
      </x:c>
      <x:c r="C27" s="42" t="str">
        <x:v>Verify audit responses are Administrator-only, read-only, and exclude unnecessary identity or credential information.</x:v>
      </x:c>
      <x:c r="D27" s="42" t="str">
        <x:v>Administrator GET succeeds, Student access is denied, audit modification is rejected, and audit response does not expose user email or credential data.</x:v>
      </x:c>
      <x:c r="E27" s="42" t="str">
        <x:v>POSTMAN + AUTOMATED</x:v>
      </x:c>
      <x:c r="F27" s="42" t="str">
        <x:v>AdminAuditRecordTests.test_admin_can_list_and_retrieve_audit_records; AdminAuditRecordTests.test_audit_records_endpoint_is_read_only; AdminAuditRecordTests.test_audit_response_does_not_expose_user_email</x:v>
      </x:c>
      <x:c r="G27" s="42" t="str">
        <x:v>GET + write attempt</x:v>
      </x:c>
      <x:c r="H27" s="42" t="str">
        <x:v>/api/v1/administration/audit-records/</x:v>
      </x:c>
      <x:c r="I27" s="42" t="str">
        <x:v>Administrator / Student</x:v>
      </x:c>
      <x:c r="J27" s="42" t="str">
        <x:v>200 admin; 403 student; 405 write</x:v>
      </x:c>
      <x:c r="K27" s="42" t="str">
        <x:v>Pass</x:v>
      </x:c>
      <x:c r="L27" s="42" t="str">
        <x:v>Pass</x:v>
      </x:c>
      <x:c r="M27" s="42" t="str">
        <x:v>200 admin; 403 student; 405 write</x:v>
      </x:c>
      <x:c r="N27" s="42" t="str">
        <x:v>Administrator audit list/detail reads succeeded, Student access was denied with HTTP 403, audit POST remained read-only with HTTP 405, and audit responses excluded unnecessary identity and credential information.</x:v>
      </x:c>
      <x:c r="O27" s="42" t="str">
        <x:v>Pass</x:v>
      </x:c>
      <x:c r="P27" s="42" t="str">
        <x:v>Jerald</x:v>
      </x:c>
      <x:c r="Q27" s="44" t="n">
        <x:v>46301</x:v>
      </x:c>
      <x:c r="R27" s="42" t="str">
        <x:v>docs/testing/evidence/sprint-5/security/S5-SEC-AUD-02-audit-access-read-only-safe-response-tests-pass.png; docs/testing/evidence/sprint-5/security/S5-SEC-AUD-02A-student-cannot-access-audit-records-pass.png; 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</x:v>
      </x:c>
      <x:c r="S27" s="42" t="str"/>
      <x:c r="T27" s="42" t="str">
        <x:v>Not Required</x:v>
      </x:c>
      <x:c r="U27" s="42" t="str">
        <x:v>Reused RBAC-06A/B/C for Administrator and read-only evidence. Added AUD-02A for explicit Student denial.</x:v>
      </x:c>
      <x:c r="V27" s="42" t="str">
        <x:v>backend/administration/views.py; backend/administration/serializers.py; backend/administration/tests.py</x:v>
      </x:c>
    </x:row>
    <x:row r="28">
      <x:c r="A28" s="42" t="str">
        <x:v>S5-SEC-AUD-03</x:v>
      </x:c>
      <x:c r="B28" s="42" t="str">
        <x:v>Audit / Error Protection</x:v>
      </x:c>
      <x:c r="C28" s="42" t="str">
        <x:v>Verify error and audit handling does not expose passwords, JWT tokens, API keys, credentials, stack traces, internal paths, or unsafe metadata.</x:v>
      </x:c>
      <x:c r="D28" s="42" t="str">
        <x:v>System audit/error handling records safe categories and metadata only, without intentionally exposing protected secret or internal diagnostic information.</x:v>
      </x:c>
      <x:c r="E28" s="42" t="str">
        <x:v>AUTOMATED + STATIC</x:v>
      </x:c>
      <x:c r="F28" s="42" t="str">
        <x:v>ResumeGenerationAPITests.test_external_service_failure_creates_safe_system_audit_record; InterviewQuestionAPITests.test_semantic_validation_failure_logs_safe_category; InterviewFeedbackAPITests.test_feedback_validation_failure_logs_safe_category</x:v>
      </x:c>
      <x:c r="G28" s="42" t="str">
        <x:v>N/A</x:v>
      </x:c>
      <x:c r="H28" s="42" t="str">
        <x:v>N/A</x:v>
      </x:c>
      <x:c r="I28" s="42" t="str">
        <x:v>N/A</x:v>
      </x:c>
      <x:c r="J28" s="42" t="str">
        <x:v>N/A</x:v>
      </x:c>
      <x:c r="K28" s="42" t="str">
        <x:v>Pass</x:v>
      </x:c>
      <x:c r="L28" s="42" t="str">
        <x:v>Pass</x:v>
      </x:c>
      <x:c r="M28" s="42" t="str">
        <x:v>N/A (automated/static)</x:v>
      </x:c>
      <x:c r="N28" s="42" t="str">
        <x:v>Safe system audit metadata and validation logging were verified. Audit metadata rejects sensitive key names, external-service failure records retain only controlled operational fields, and interview validation logs use safe categories.</x:v>
      </x:c>
      <x:c r="O28" s="42" t="str">
        <x:v>Pass</x:v>
      </x:c>
      <x:c r="P28" s="42" t="str">
        <x:v>Jerald</x:v>
      </x:c>
      <x:c r="Q28" s="44" t="n">
        <x:v>46301</x:v>
      </x:c>
      <x:c r="R28" s="42" t="str">
        <x:v>docs/testing/evidence/sprint-5/security/S5-SEC-AUD-03-safe-audit-and-error-handling-tests-pass.png</x:v>
      </x:c>
      <x:c r="S28" s="42" t="str"/>
      <x:c r="T28" s="42" t="str">
        <x:v>Not Required</x:v>
      </x:c>
      <x:c r="U28" s="42" t="str">
        <x:v>Mapped safe audit/error tests passed 3/3. Static review confirmed sensitive metadata key blocking and safe log categorisation.</x:v>
      </x:c>
      <x:c r="V28" s="42" t="str">
        <x:v>backend/administration/audit.py; backend/gradnavi/exceptions.py; backend/documents/tests.py; backend/interviews/tests.py</x:v>
      </x:c>
    </x:row>
    <x:row r="29">
      <x:c r="A29" s="42" t="str">
        <x:v>S5-SEC-SECRET-01</x:v>
      </x:c>
      <x:c r="B29" s="42" t="str">
        <x:v>Secret Protection</x:v>
      </x:c>
      <x:c r="C29" s="42" t="str">
        <x:v>Verify repository tracking does not include real .env files, database passwords, AI API keys, JWT secrets, or other real credentials.</x:v>
      </x:c>
      <x:c r="D29" s="42" t="str">
        <x:v>Repository review finds no committed real secrets. If a suspected secret is found, its value is not printed into retained evidence.</x:v>
      </x:c>
      <x:c r="E29" s="42" t="str">
        <x:v>REPOSITORY REVIEW</x:v>
      </x:c>
      <x:c r="F29" s="42" t="str">
        <x:v>No single automated test proves repository-wide secret absence</x:v>
      </x:c>
      <x:c r="G29" s="42" t="str">
        <x:v>N/A</x:v>
      </x:c>
      <x:c r="H29" s="42" t="str">
        <x:v>Repository-wide</x:v>
      </x:c>
      <x:c r="I29" s="42" t="str">
        <x:v>N/A</x:v>
      </x:c>
      <x:c r="J29" s="42" t="str">
        <x:v>N/A</x:v>
      </x:c>
      <x:c r="K29" s="42" t="str">
        <x:v>N/A</x:v>
      </x:c>
      <x:c r="L29" s="42" t="str">
        <x:v>Pass</x:v>
      </x:c>
      <x:c r="M29" s="42" t="str">
        <x:v>N/A (repository review)</x:v>
      </x:c>
      <x:c r="N29" s="42" t="str">
        <x:v>Backend tracked-file review found no committed real .env/private-key/credential files. backend/.env is ignored. Secret-name hits were references/placeholders only, and the real token-pattern scan returned no matches.</x:v>
      </x:c>
      <x:c r="O29" s="42" t="str">
        <x:v>Pass</x:v>
      </x:c>
      <x:c r="P29" s="42" t="str">
        <x:v>Jerald</x:v>
      </x:c>
      <x:c r="Q29" s="44" t="n">
        <x:v>46301</x:v>
      </x:c>
      <x:c r="R29" s="42" t="str">
        <x:v>docs/testing/evidence/sprint-5/security/S5-SEC-SECRET-01A-backend-secret-name-and-ignore-review-pass.png; docs/testing/evidence/sprint-5/security/S5-SEC-SECRET-01B-backend-token-pattern-scan-pass.png</x:v>
      </x:c>
      <x:c r="S29" s="42" t="str"/>
      <x:c r="T29" s="42" t="str">
        <x:v>Not Required</x:v>
      </x:c>
      <x:c r="U29" s="42" t="str">
        <x:v>Repository review completed without printing or retaining secret values.</x:v>
      </x:c>
      <x:c r="V29" s="42" t="str">
        <x:v>.gitignore; backend/.env.example; repository tracked files</x:v>
      </x:c>
    </x:row>
    <x:row r="30">
      <x:c r="A30" s="42" t="str">
        <x:v>S5-SEC-SECRET-02</x:v>
      </x:c>
      <x:c r="B30" s="42" t="str">
        <x:v>Secret Protection</x:v>
      </x:c>
      <x:c r="C30" s="42" t="str">
        <x:v>Verify AI provider credentials and backend secrets do not appear in frontend source or browser-facing configuration.</x:v>
      </x:c>
      <x:c r="D30" s="42" t="str">
        <x:v>Frontend source and browser-facing configuration contain no backend secret values, AI API keys, database credentials, Django secrets, or administration credentials.</x:v>
      </x:c>
      <x:c r="E30" s="42" t="str">
        <x:v>REPOSITORY REVIEW</x:v>
      </x:c>
      <x:c r="F30" s="42" t="str">
        <x:v>No single automated test proves frontend-wide secret absence</x:v>
      </x:c>
      <x:c r="G30" s="42" t="str">
        <x:v>N/A</x:v>
      </x:c>
      <x:c r="H30" s="42" t="str">
        <x:v>frontend/</x:v>
      </x:c>
      <x:c r="I30" s="42" t="str">
        <x:v>N/A</x:v>
      </x:c>
      <x:c r="J30" s="42" t="str">
        <x:v>N/A</x:v>
      </x:c>
      <x:c r="K30" s="42" t="str">
        <x:v>N/A</x:v>
      </x:c>
      <x:c r="L30" s="42" t="str">
        <x:v>Pass</x:v>
      </x:c>
      <x:c r="M30" s="42" t="str">
        <x:v>N/A (repository review)</x:v>
      </x:c>
      <x:c r="N30" s="42" t="str">
        <x:v>Frontend .env and .env.local are ignored. No tracked sensitive filename was found. Secret-name scan found token storage identifiers only, while real token-pattern scanning returned no OpenAI, GitHub, AWS, Slack, or JWT values.</x:v>
      </x:c>
      <x:c r="O30" s="42" t="str">
        <x:v>Pass</x:v>
      </x:c>
      <x:c r="P30" s="42" t="str">
        <x:v>Jerald</x:v>
      </x:c>
      <x:c r="Q30" s="44" t="n">
        <x:v>46301</x:v>
      </x:c>
      <x:c r="R30" s="42" t="str">
        <x:v>docs/testing/evidence/sprint-5/security/S5-SEC-SECRET-02A-frontend-secret-name-and-ignore-review-pass.png; docs/testing/evidence/sprint-5/security/S5-SEC-SECRET-02B-frontend-token-pattern-scan-pass.png; docs/testing/evidence/sprint-5/security/S5-SEC-SECRET-02C-frontend-tracked-sensitive-filename-scan-pass.png</x:v>
      </x:c>
      <x:c r="S30" s="42" t="str"/>
      <x:c r="T30" s="42" t="str">
        <x:v>Not Required</x:v>
      </x:c>
      <x:c r="U30" s="42" t="str">
        <x:v>Frontend repository review completed without printing or retaining secret values.</x:v>
      </x:c>
      <x:c r="V30" s="42" t="str">
        <x:v>frontend/src; frontend configuration; backend/gradnavi/settings.py</x:v>
      </x:c>
    </x:row>
    <x:row r="31">
      <x:c r="A31" s="42" t="str">
        <x:v>S5-SEC-FE-01</x:v>
      </x:c>
      <x:c r="B31" s="42" t="str">
        <x:v>Frontend Permission</x:v>
      </x:c>
      <x:c r="C31" s="42" t="str">
        <x:v>Verify Administrator frontend routes reject unauthenticated and Student access while allowing the approved Administrator role.</x:v>
      </x:c>
      <x:c r="D31" s="42" t="str">
        <x:v>After WBS 7.7 integration, unauthenticated and Student users cannot enter Administrator frontend routes. Administrator role receives approved access.</x:v>
      </x:c>
      <x:c r="E31" s="42" t="str">
        <x:v>BROWSER / INTEGRATION</x:v>
      </x:c>
      <x:c r="F31" s="42" t="str">
        <x:v>Backend role permission tests exist, but integrated Administrator frontend route is not present yet</x:v>
      </x:c>
      <x:c r="G31" s="42" t="str">
        <x:v>Browser</x:v>
      </x:c>
      <x:c r="H31" s="42" t="str">
        <x:v>Administrator frontend route after WBS 7.7</x:v>
      </x:c>
      <x:c r="I31" s="42" t="str">
        <x:v>Unauthenticated / Student / Administrator</x:v>
      </x:c>
      <x:c r="J31" s="42" t="str">
        <x:v>Route-level access result</x:v>
      </x:c>
      <x:c r="K31" s="42" t="str">
        <x:v>N/A</x:v>
      </x:c>
      <x:c r="L31" s="42" t="str">
        <x:v>Blocked</x:v>
      </x:c>
      <x:c r="M31" s="42" t="str"/>
      <x:c r="N31" s="42" t="str"/>
      <x:c r="O31" s="42" t="str">
        <x:f>IF(OR(K31="Fail",L31="Fail"),"Fail",IF(L31="Blocked","Blocked",IF(L31="Deferred","Deferred",IF(AND(OR(K31="Pass",K31="N/A"),OR(L31="Pass",L31="N/A")),"Pass","Not Run"))))</x:f>
        <x:v>Blocked</x:v>
      </x:c>
      <x:c r="P31" s="42" t="str"/>
      <x:c r="Q31" s="44" t="str"/>
      <x:c r="R31" s="42" t="str"/>
      <x:c r="S31" s="42" t="str"/>
      <x:c r="T31" s="42" t="str">
        <x:v>Not Required</x:v>
      </x:c>
      <x:c r="U31" s="42" t="str"/>
      <x:c r="V31" s="42" t="str">
        <x:v>frontend/src/App.jsx; WBS 7.7 / PR #64</x:v>
      </x:c>
    </x:row>
    <x:row r="32">
      <x:c r="A32" s="42" t="str">
        <x:v>S5-SEC-DEP-01</x:v>
      </x:c>
      <x:c r="B32" s="42" t="str">
        <x:v>Deployment Security</x:v>
      </x:c>
      <x:c r="C32" s="42" t="str">
        <x:v>Verify deployed Django configuration uses appropriate Debug, Allowed Hosts, CORS, environment-secret, HTTPS, and production error settings.</x:v>
      </x:c>
      <x:c r="D32" s="42" t="str">
        <x:v>Production configuration disables unsafe development behaviour, restricts hosts/origins, uses environment-managed secrets, and returns controlled production errors.</x:v>
      </x:c>
      <x:c r="E32" s="42" t="str">
        <x:v>DEPLOYMENT REVIEW</x:v>
      </x:c>
      <x:c r="F32" s="42" t="str">
        <x:v>Deferred to deployment and production verification</x:v>
      </x:c>
      <x:c r="G32" s="42" t="str">
        <x:v>Deployment review</x:v>
      </x:c>
      <x:c r="H32" s="42" t="str">
        <x:v>Production backend configuration</x:v>
      </x:c>
      <x:c r="I32" s="42" t="str">
        <x:v>N/A</x:v>
      </x:c>
      <x:c r="J32" s="42" t="str">
        <x:v>N/A</x:v>
      </x:c>
      <x:c r="K32" s="42" t="str">
        <x:v>N/A</x:v>
      </x:c>
      <x:c r="L32" s="42" t="str">
        <x:v>Deferred</x:v>
      </x:c>
      <x:c r="M32" s="42" t="str"/>
      <x:c r="N32" s="42" t="str"/>
      <x:c r="O32" s="42" t="str">
        <x:f>IF(OR(K32="Fail",L32="Fail"),"Fail",IF(L32="Blocked","Blocked",IF(L32="Deferred","Deferred",IF(AND(OR(K32="Pass",K32="N/A"),OR(L32="Pass",L32="N/A")),"Pass","Not Run"))))</x:f>
        <x:v>Deferred</x:v>
      </x:c>
      <x:c r="P32" s="42" t="str"/>
      <x:c r="Q32" s="44" t="str"/>
      <x:c r="R32" s="42" t="str"/>
      <x:c r="S32" s="42" t="str"/>
      <x:c r="T32" s="42" t="str">
        <x:v>Not Required</x:v>
      </x:c>
      <x:c r="U32" s="42" t="str"/>
      <x:c r="V32" s="42" t="str">
        <x:v>backend/gradnavi/settings.py; docs/system-design/security-architecture.md</x:v>
      </x:c>
    </x:row>
    <x:row r="33">
      <x:c r="A33" s="42" t="str">
        <x:v>S5-SEC-DEP-02</x:v>
      </x:c>
      <x:c r="B33" s="42" t="str">
        <x:v>Deployment Security</x:v>
      </x:c>
      <x:c r="C33" s="42" t="str">
        <x:v>Verify deployed frontend and backend expose no protected secrets and use approved production communication paths.</x:v>
      </x:c>
      <x:c r="D33" s="42" t="str">
        <x:v>Deployed browser assets and responses expose no protected secret values and frontend/backend communication uses the approved production path.</x:v>
      </x:c>
      <x:c r="E33" s="42" t="str">
        <x:v>DEPLOYMENT REVIEW</x:v>
      </x:c>
      <x:c r="F33" s="42" t="str">
        <x:v>Deferred to deployment and production verification</x:v>
      </x:c>
      <x:c r="G33" s="42" t="str">
        <x:v>Deployment review</x:v>
      </x:c>
      <x:c r="H33" s="42" t="str">
        <x:v>Production frontend and backend</x:v>
      </x:c>
      <x:c r="I33" s="42" t="str">
        <x:v>N/A</x:v>
      </x:c>
      <x:c r="J33" s="42" t="str">
        <x:v>N/A</x:v>
      </x:c>
      <x:c r="K33" s="42" t="str">
        <x:v>N/A</x:v>
      </x:c>
      <x:c r="L33" s="42" t="str">
        <x:v>Deferred</x:v>
      </x:c>
      <x:c r="M33" s="42" t="str"/>
      <x:c r="N33" s="42" t="str"/>
      <x:c r="O33" s="42" t="str">
        <x:f>IF(OR(K33="Fail",L33="Fail"),"Fail",IF(L33="Blocked","Blocked",IF(L33="Deferred","Deferred",IF(AND(OR(K33="Pass",K33="N/A"),OR(L33="Pass",L33="N/A")),"Pass","Not Run"))))</x:f>
        <x:v>Deferred</x:v>
      </x:c>
      <x:c r="P33" s="42" t="str"/>
      <x:c r="Q33" s="44" t="str"/>
      <x:c r="R33" s="42" t="str"/>
      <x:c r="S33" s="42" t="str"/>
      <x:c r="T33" s="42" t="str">
        <x:v>Not Required</x:v>
      </x:c>
      <x:c r="U33" s="42" t="str"/>
      <x:c r="V33" s="42" t="str">
        <x:v>frontend build; backend deployment configuration; docs/system-design/security-architecture.md</x:v>
      </x:c>
    </x:row>
  </x:sheetData>
  <x:conditionalFormatting sqref="O2:O33">
    <x:cfRule type="expression" dxfId="0" priority="1">
      <x:formula>O2="Pass"</x:formula>
    </x:cfRule>
    <x:cfRule type="expression" dxfId="1" priority="2">
      <x:formula>O2="Fail"</x:formula>
    </x:cfRule>
    <x:cfRule type="expression" dxfId="2" priority="3">
      <x:formula>O2="Blocked"</x:formula>
    </x:cfRule>
    <x:cfRule type="expression" dxfId="3" priority="4">
      <x:formula>O2="Deferred"</x:formula>
    </x:cfRule>
    <x:cfRule type="expression" dxfId="4" priority="5">
      <x:formula>O2="Not Run"</x:formula>
    </x:cfRule>
  </x:conditionalFormatting>
  <x:conditionalFormatting sqref="K2:L33">
    <x:cfRule type="expression" dxfId="5" priority="6">
      <x:formula>K2="Pass"</x:formula>
    </x:cfRule>
  </x:conditionalFormatting>
  <x:conditionalFormatting sqref="L2:L33">
    <x:cfRule type="expression" dxfId="6" priority="7">
      <x:formula>L2="Blocked"</x:formula>
    </x:cfRule>
    <x:cfRule type="expression" dxfId="7" priority="8">
      <x:formula>L2="Deferred"</x:formula>
    </x:cfRule>
  </x:conditionalFormatting>
  <x:dataValidations count="3">
    <x:dataValidation type="list" sqref="K2:K33">
      <x:formula1>"Pending,Pass,Fail,N/A"</x:formula1>
    </x:dataValidation>
    <x:dataValidation type="list" sqref="L2:L33">
      <x:formula1>"Pending,Pass,Fail,Blocked,Deferred,N/A"</x:formula1>
    </x:dataValidation>
    <x:dataValidation type="list" sqref="T2:T33">
      <x:formula1>"Not Required,Pending,Pass,Fail"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34789c9edb45e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22" hidden="0" customWidth="1"/>
    <x:col min="4" max="4" width="12" hidden="0" customWidth="1"/>
    <x:col min="5" max="5" width="16" hidden="0" customWidth="1"/>
    <x:col min="6" max="6" width="48" hidden="0" customWidth="1"/>
    <x:col min="7" max="7" width="42" hidden="0" customWidth="1"/>
    <x:col min="8" max="8" width="40" hidden="0" customWidth="1"/>
    <x:col min="9" max="9" width="18" hidden="0" customWidth="1"/>
    <x:col min="10" max="10" width="16" hidden="0" customWidth="1"/>
    <x:col min="11" max="11" width="48" hidden="0" customWidth="1"/>
  </x:cols>
  <x:sheetData>
    <x:row r="1">
      <x:c r="A1" s="37" t="str">
        <x:v>Evidence ID</x:v>
      </x:c>
      <x:c r="B1" s="37" t="str">
        <x:v>Test Case ID</x:v>
      </x:c>
      <x:c r="C1" s="37" t="str">
        <x:v>Evidence Type</x:v>
      </x:c>
      <x:c r="D1" s="37" t="str">
        <x:v>Required</x:v>
      </x:c>
      <x:c r="E1" s="37" t="str">
        <x:v>Evidence Status</x:v>
      </x:c>
      <x:c r="F1" s="37" t="str">
        <x:v>Evidence Location</x:v>
      </x:c>
      <x:c r="G1" s="37" t="str">
        <x:v>Result / Observation</x:v>
      </x:c>
      <x:c r="H1" s="37" t="str">
        <x:v>Sensitive Data Check</x:v>
      </x:c>
      <x:c r="I1" s="37" t="str">
        <x:v>Collected By</x:v>
      </x:c>
      <x:c r="J1" s="37" t="str">
        <x:v>Collection Date</x:v>
      </x:c>
      <x:c r="K1" s="37" t="str">
        <x:v>Notes</x:v>
      </x:c>
    </x:row>
    <x:row r="2">
      <x:c r="A2" s="42" t="str">
        <x:v>EVD-001</x:v>
      </x:c>
      <x:c r="B2" s="42" t="str">
        <x:v>S5-SEC-AUTH-01</x:v>
      </x:c>
      <x:c r="C2" s="42" t="str">
        <x:v>Automated Regression</x:v>
      </x:c>
      <x:c r="D2" s="42" t="str">
        <x:v>Yes</x:v>
      </x:c>
      <x:c r="E2" s="42" t="str">
        <x:v>Pass</x:v>
      </x:c>
      <x:c r="F2" s="42" t="str">
        <x:v>docs/testing/evidence/sprint-5/security/automated-security-regression.txt</x:v>
      </x:c>
      <x:c r="G2" s="42" t="str">
        <x:v>Mapped automated security coverage passed within the 330-test WBS 8.3 regression run.</x:v>
      </x:c>
      <x:c r="H2" s="42" t="str">
        <x:v>No real secrets intentionally retained</x:v>
      </x:c>
      <x:c r="I2" s="42" t="str">
        <x:v>Jerald</x:v>
      </x:c>
      <x:c r="J2" s="44" t="str"/>
      <x:c r="K2" s="42" t="str">
        <x:v>LoginAPITests.test_successful_login_returns_tokens_and_safe_user_information; LoginAPITests.test_successful_login_issues_valid_jwt_tokens</x:v>
      </x:c>
    </x:row>
    <x:row r="3">
      <x:c r="A3" s="42" t="str">
        <x:v>EVD-002</x:v>
      </x:c>
      <x:c r="B3" s="42" t="str">
        <x:v>S5-SEC-AUTH-02</x:v>
      </x:c>
      <x:c r="C3" s="42" t="str">
        <x:v>Automated Regression</x:v>
      </x:c>
      <x:c r="D3" s="42" t="str">
        <x:v>Yes</x:v>
      </x:c>
      <x:c r="E3" s="42" t="str">
        <x:v>Pass</x:v>
      </x:c>
      <x:c r="F3" s="42" t="str">
        <x:v>docs/testing/evidence/sprint-5/security/automated-security-regression.txt</x:v>
      </x:c>
      <x:c r="G3" s="42" t="str">
        <x:v>Mapped automated security coverage passed within the 330-test WBS 8.3 regression run.</x:v>
      </x:c>
      <x:c r="H3" s="42" t="str">
        <x:v>No real secrets intentionally retained</x:v>
      </x:c>
      <x:c r="I3" s="42" t="str">
        <x:v>Jerald</x:v>
      </x:c>
      <x:c r="J3" s="44" t="str"/>
      <x:c r="K3" s="42" t="str">
        <x:v>LoginAPITests.test_wrong_password_is_rejected_with_safe_error; LoginAPITests.test_nonexistent_email_is_rejected_with_same_safe_error; LoginAPITests.test_wrong_password_and_nonexistent_email_return_same_error</x:v>
      </x:c>
    </x:row>
    <x:row r="4">
      <x:c r="A4" s="42" t="str">
        <x:v>EVD-003</x:v>
      </x:c>
      <x:c r="B4" s="42" t="str">
        <x:v>S5-SEC-AUTH-03</x:v>
      </x:c>
      <x:c r="C4" s="42" t="str">
        <x:v>Automated Regression</x:v>
      </x:c>
      <x:c r="D4" s="42" t="str">
        <x:v>Yes</x:v>
      </x:c>
      <x:c r="E4" s="42" t="str">
        <x:v>Pass</x:v>
      </x:c>
      <x:c r="F4" s="42" t="str">
        <x:v>docs/testing/evidence/sprint-5/security/automated-security-regression.txt</x:v>
      </x:c>
      <x:c r="G4" s="42" t="str">
        <x:v>Mapped automated security coverage passed within the 330-test WBS 8.3 regression run.</x:v>
      </x:c>
      <x:c r="H4" s="42" t="str">
        <x:v>No real secrets intentionally retained</x:v>
      </x:c>
      <x:c r="I4" s="42" t="str">
        <x:v>Jerald</x:v>
      </x:c>
      <x:c r="J4" s="44" t="str"/>
      <x:c r="K4" s="42" t="str">
        <x:v>CurrentUserAPITests.test_missing_authorization_header_is_rejected; CurrentUserAPITests.test_malformed_token_is_rejected; CurrentUserAPITests.test_refresh_token_cannot_authenticate_current_user_endpoint</x:v>
      </x:c>
    </x:row>
    <x:row r="5">
      <x:c r="A5" s="42" t="str">
        <x:v>EVD-004</x:v>
      </x:c>
      <x:c r="B5" s="42" t="str">
        <x:v>S5-SEC-AUTH-04</x:v>
      </x:c>
      <x:c r="C5" s="42" t="str">
        <x:v>Automated Regression</x:v>
      </x:c>
      <x:c r="D5" s="42" t="str">
        <x:v>Yes</x:v>
      </x:c>
      <x:c r="E5" s="42" t="str">
        <x:v>Pass</x:v>
      </x:c>
      <x:c r="F5" s="42" t="str">
        <x:v>docs/testing/evidence/sprint-5/security/automated-security-regression.txt</x:v>
      </x:c>
      <x:c r="G5" s="42" t="str">
        <x:v>Mapped automated security coverage passed within the 330-test WBS 8.3 regression run.</x:v>
      </x:c>
      <x:c r="H5" s="42" t="str">
        <x:v>No real secrets intentionally retained</x:v>
      </x:c>
      <x:c r="I5" s="42" t="str">
        <x:v>Jerald</x:v>
      </x:c>
      <x:c r="J5" s="44" t="str"/>
      <x:c r="K5" s="42" t="str">
        <x:v>TokenRefreshAPITests.test_valid_refresh_token_succeeds_and_returns_rotated_tokens; TokenRefreshAPITests.test_original_refresh_token_cannot_be_reused_after_rotation; TokenRefreshAPITests.test_new_rotated_refresh_token_can_be_used_for_another_refresh</x:v>
      </x:c>
    </x:row>
    <x:row r="6">
      <x:c r="A6" s="42" t="str">
        <x:v>EVD-005</x:v>
      </x:c>
      <x:c r="B6" s="42" t="str">
        <x:v>S5-SEC-AUTH-05</x:v>
      </x:c>
      <x:c r="C6" s="42" t="str">
        <x:v>Automated Regression</x:v>
      </x:c>
      <x:c r="D6" s="42" t="str">
        <x:v>Yes</x:v>
      </x:c>
      <x:c r="E6" s="42" t="str">
        <x:v>Pass</x:v>
      </x:c>
      <x:c r="F6" s="42" t="str">
        <x:v>docs/testing/evidence/sprint-5/security/automated-security-regression.txt</x:v>
      </x:c>
      <x:c r="G6" s="42" t="str">
        <x:v>Mapped automated security coverage passed within the 330-test WBS 8.3 regression run.</x:v>
      </x:c>
      <x:c r="H6" s="42" t="str">
        <x:v>No real secrets intentionally retained</x:v>
      </x:c>
      <x:c r="I6" s="42" t="str">
        <x:v>Jerald</x:v>
      </x:c>
      <x:c r="J6" s="44" t="str"/>
      <x:c r="K6" s="42" t="str">
        <x:v>LogoutAPITests.test_successful_logout_blacklists_submitted_refresh_token; LogoutAPITests.test_existing_access_token_remains_usable_until_expiry_after_logout</x:v>
      </x:c>
    </x:row>
    <x:row r="7">
      <x:c r="A7" s="42" t="str">
        <x:v>EVD-006</x:v>
      </x:c>
      <x:c r="B7" s="42" t="str">
        <x:v>S5-SEC-AUTH-06</x:v>
      </x:c>
      <x:c r="C7" s="42" t="str">
        <x:v>Automated Regression</x:v>
      </x:c>
      <x:c r="D7" s="42" t="str">
        <x:v>Yes</x:v>
      </x:c>
      <x:c r="E7" s="42" t="str">
        <x:v>Pass</x:v>
      </x:c>
      <x:c r="F7" s="42" t="str">
        <x:v>docs/testing/evidence/sprint-5/security/automated-security-regression.txt</x:v>
      </x:c>
      <x:c r="G7" s="42" t="str">
        <x:v>Mapped automated security coverage passed within the 330-test WBS 8.3 regression run.</x:v>
      </x:c>
      <x:c r="H7" s="42" t="str">
        <x:v>No real secrets intentionally retained</x:v>
      </x:c>
      <x:c r="I7" s="42" t="str">
        <x:v>Jerald</x:v>
      </x:c>
      <x:c r="J7" s="44" t="str"/>
      <x:c r="K7" s="42" t="str">
        <x:v>PasswordResetAPITests.test_unknown_email_request_returns_same_safe_response_and_sends_no_email; PasswordResetAPITests.test_reset_request_response_does_not_expose_uid_or_token; PasswordChangeAPITests.test_valid_password_change_succeeds; PasswordChangeAPITests.test_incorrect_current_password_is_rejected; PasswordChangeAPITests.test_weak_new_password_is_rejected</x:v>
      </x:c>
    </x:row>
    <x:row r="8">
      <x:c r="A8" s="42" t="str">
        <x:v>EVD-007</x:v>
      </x:c>
      <x:c r="B8" s="42" t="str">
        <x:v>S5-SEC-RBAC-01</x:v>
      </x:c>
      <x:c r="C8" s="42" t="str">
        <x:v>Automated Regression</x:v>
      </x:c>
      <x:c r="D8" s="42" t="str">
        <x:v>Yes</x:v>
      </x:c>
      <x:c r="E8" s="42" t="str">
        <x:v>Pass</x:v>
      </x:c>
      <x:c r="F8" s="42" t="str">
        <x:v>docs/testing/evidence/sprint-5/security/automated-security-regression.txt</x:v>
      </x:c>
      <x:c r="G8" s="42" t="str">
        <x:v>Mapped automated security coverage passed within the 330-test WBS 8.3 regression run.</x:v>
      </x:c>
      <x:c r="H8" s="42" t="str">
        <x:v>No real secrets intentionally retained</x:v>
      </x:c>
      <x:c r="I8" s="42" t="str">
        <x:v>Jerald</x:v>
      </x:c>
      <x:c r="J8" s="44" t="str"/>
      <x:c r="K8" s="42" t="str">
        <x:v>AdministrationPermissionTests.test_unauthenticated_users_cannot_access_admin_endpoints; AdministrationPermissionTests.test_non_admins_cannot_access_admin_detail_endpoints</x:v>
      </x:c>
    </x:row>
    <x:row r="9">
      <x:c r="A9" s="42" t="str">
        <x:v>EVD-008</x:v>
      </x:c>
      <x:c r="B9" s="42" t="str">
        <x:v>S5-SEC-RBAC-02</x:v>
      </x:c>
      <x:c r="C9" s="42" t="str">
        <x:v>Automated Regression</x:v>
      </x:c>
      <x:c r="D9" s="42" t="str">
        <x:v>Yes</x:v>
      </x:c>
      <x:c r="E9" s="42" t="str">
        <x:v>Pass</x:v>
      </x:c>
      <x:c r="F9" s="42" t="str">
        <x:v>docs/testing/evidence/sprint-5/security/automated-security-regression.txt</x:v>
      </x:c>
      <x:c r="G9" s="42" t="str">
        <x:v>Mapped automated security coverage passed within the 330-test WBS 8.3 regression run.</x:v>
      </x:c>
      <x:c r="H9" s="42" t="str">
        <x:v>No real secrets intentionally retained</x:v>
      </x:c>
      <x:c r="I9" s="42" t="str">
        <x:v>Jerald</x:v>
      </x:c>
      <x:c r="J9" s="44" t="str"/>
      <x:c r="K9" s="42" t="str">
        <x:v>AdministrationPermissionTests.test_students_cannot_access_admin_endpoints; AdministrationPermissionTests.test_non_admins_cannot_access_admin_detail_endpoints</x:v>
      </x:c>
    </x:row>
    <x:row r="10">
      <x:c r="A10" s="42" t="str">
        <x:v>EVD-009</x:v>
      </x:c>
      <x:c r="B10" s="42" t="str">
        <x:v>S5-SEC-RBAC-03</x:v>
      </x:c>
      <x:c r="C10" s="42" t="str">
        <x:v>Automated Regression</x:v>
      </x:c>
      <x:c r="D10" s="42" t="str">
        <x:v>Yes</x:v>
      </x:c>
      <x:c r="E10" s="42" t="str">
        <x:v>Pass</x:v>
      </x:c>
      <x:c r="F10" s="42" t="str">
        <x:v>docs/testing/evidence/sprint-5/security/automated-security-regression.txt</x:v>
      </x:c>
      <x:c r="G10" s="42" t="str">
        <x:v>Mapped automated security coverage passed within the 330-test WBS 8.3 regression run.</x:v>
      </x:c>
      <x:c r="H10" s="42" t="str">
        <x:v>No real secrets intentionally retained</x:v>
      </x:c>
      <x:c r="I10" s="42" t="str">
        <x:v>Jerald</x:v>
      </x:c>
      <x:c r="J10" s="44" t="str"/>
      <x:c r="K10" s="42" t="str">
        <x:v>AdministrationPermissionTests.test_student_cannot_create_career; AdminUserRoleStatusAuditTests.test_student_cannot_change_role_or_status; AdminLearningResourceReportReviewTests.test_student_cannot_access_report_detail_or_update</x:v>
      </x:c>
    </x:row>
    <x:row r="11">
      <x:c r="A11" s="42" t="str">
        <x:v>EVD-010</x:v>
      </x:c>
      <x:c r="B11" s="42" t="str">
        <x:v>S5-SEC-RBAC-04</x:v>
      </x:c>
      <x:c r="C11" s="42" t="str">
        <x:v>Automated Regression</x:v>
      </x:c>
      <x:c r="D11" s="42" t="str">
        <x:v>Yes</x:v>
      </x:c>
      <x:c r="E11" s="42" t="str">
        <x:v>Pass</x:v>
      </x:c>
      <x:c r="F11" s="42" t="str">
        <x:v>docs/testing/evidence/sprint-5/security/automated-security-regression.txt</x:v>
      </x:c>
      <x:c r="G11" s="42" t="str">
        <x:v>Mapped automated security coverage passed within the 330-test WBS 8.3 regression run.</x:v>
      </x:c>
      <x:c r="H11" s="42" t="str">
        <x:v>No real secrets intentionally retained</x:v>
      </x:c>
      <x:c r="I11" s="42" t="str">
        <x:v>Jerald</x:v>
      </x:c>
      <x:c r="J11" s="44" t="str"/>
      <x:c r="K11" s="42" t="str">
        <x:v>AdminUserManagementTests.test_admin_cannot_change_role_or_active_status</x:v>
      </x:c>
    </x:row>
    <x:row r="12">
      <x:c r="A12" s="42" t="str">
        <x:v>EVD-011</x:v>
      </x:c>
      <x:c r="B12" s="42" t="str">
        <x:v>S5-SEC-RBAC-05</x:v>
      </x:c>
      <x:c r="C12" s="42" t="str">
        <x:v>Automated Regression</x:v>
      </x:c>
      <x:c r="D12" s="42" t="str">
        <x:v>Yes</x:v>
      </x:c>
      <x:c r="E12" s="42" t="str">
        <x:v>Pass</x:v>
      </x:c>
      <x:c r="F12" s="42" t="str">
        <x:v>docs/testing/evidence/sprint-5/security/automated-security-regression.txt</x:v>
      </x:c>
      <x:c r="G12" s="42" t="str">
        <x:v>Mapped automated security coverage passed within the 330-test WBS 8.3 regression run.</x:v>
      </x:c>
      <x:c r="H12" s="42" t="str">
        <x:v>No real secrets intentionally retained</x:v>
      </x:c>
      <x:c r="I12" s="42" t="str">
        <x:v>Jerald</x:v>
      </x:c>
      <x:c r="J12" s="44" t="str"/>
      <x:c r="K12" s="42" t="str">
        <x:v>AdminUserRoleStatusAuditTests.test_admin_can_change_user_role_through_dedicated_endpoint; AdminUserRoleStatusAuditTests.test_admin_can_change_user_active_status_through_dedicated_endpoint; AdminUserRoleStatusAuditTests.test_invalid_role_change_is_rejected</x:v>
      </x:c>
    </x:row>
    <x:row r="13">
      <x:c r="A13" s="42" t="str">
        <x:v>EVD-012</x:v>
      </x:c>
      <x:c r="B13" s="42" t="str">
        <x:v>S5-SEC-RBAC-06</x:v>
      </x:c>
      <x:c r="C13" s="42" t="str">
        <x:v>Automated Regression</x:v>
      </x:c>
      <x:c r="D13" s="42" t="str">
        <x:v>Yes</x:v>
      </x:c>
      <x:c r="E13" s="42" t="str">
        <x:v>Pass</x:v>
      </x:c>
      <x:c r="F13" s="42" t="str">
        <x:v>docs/testing/evidence/sprint-5/security/automated-security-regression.txt</x:v>
      </x:c>
      <x:c r="G13" s="42" t="str">
        <x:v>Mapped automated security coverage passed within the 330-test WBS 8.3 regression run.</x:v>
      </x:c>
      <x:c r="H13" s="42" t="str">
        <x:v>No real secrets intentionally retained</x:v>
      </x:c>
      <x:c r="I13" s="42" t="str">
        <x:v>Jerald</x:v>
      </x:c>
      <x:c r="J13" s="44" t="str"/>
      <x:c r="K13" s="42" t="str">
        <x:v>AdminAuditRecordTests.test_admin_can_list_and_retrieve_audit_records; AdminAuditRecordTests.test_audit_records_endpoint_is_read_only; AdminAuditRecordTests.test_audit_response_does_not_expose_user_email; AdminAnalyticsTests.test_analytics_response_exposes_no_student_data</x:v>
      </x:c>
    </x:row>
    <x:row r="14">
      <x:c r="A14" s="42" t="str">
        <x:v>EVD-013</x:v>
      </x:c>
      <x:c r="B14" s="42" t="str">
        <x:v>S5-SEC-OWN-01</x:v>
      </x:c>
      <x:c r="C14" s="42" t="str">
        <x:v>Automated Regression</x:v>
      </x:c>
      <x:c r="D14" s="42" t="str">
        <x:v>Yes</x:v>
      </x:c>
      <x:c r="E14" s="42" t="str">
        <x:v>Pass</x:v>
      </x:c>
      <x:c r="F14" s="42" t="str">
        <x:v>docs/testing/evidence/sprint-5/security/automated-security-regression.txt</x:v>
      </x:c>
      <x:c r="G14" s="42" t="str">
        <x:v>Mapped automated security coverage passed within the 330-test WBS 8.3 regression run.</x:v>
      </x:c>
      <x:c r="H14" s="42" t="str">
        <x:v>No real secrets intentionally retained</x:v>
      </x:c>
      <x:c r="I14" s="42" t="str">
        <x:v>Jerald</x:v>
      </x:c>
      <x:c r="J14" s="44" t="str"/>
      <x:c r="K14" s="42" t="str">
        <x:v>StudentProfileReadAPITests.test_get_uses_authenticated_user_and_does_not_leak_cross_user_data</x:v>
      </x:c>
    </x:row>
    <x:row r="15">
      <x:c r="A15" s="42" t="str">
        <x:v>EVD-014</x:v>
      </x:c>
      <x:c r="B15" s="42" t="str">
        <x:v>S5-SEC-OWN-02</x:v>
      </x:c>
      <x:c r="C15" s="42" t="str">
        <x:v>Automated Regression</x:v>
      </x:c>
      <x:c r="D15" s="42" t="str">
        <x:v>Yes</x:v>
      </x:c>
      <x:c r="E15" s="42" t="str">
        <x:v>Pass</x:v>
      </x:c>
      <x:c r="F15" s="42" t="str">
        <x:v>docs/testing/evidence/sprint-5/security/automated-security-regression.txt</x:v>
      </x:c>
      <x:c r="G15" s="42" t="str">
        <x:v>Mapped automated security coverage passed within the 330-test WBS 8.3 regression run.</x:v>
      </x:c>
      <x:c r="H15" s="42" t="str">
        <x:v>No real secrets intentionally retained</x:v>
      </x:c>
      <x:c r="I15" s="42" t="str">
        <x:v>Jerald</x:v>
      </x:c>
      <x:c r="J15" s="44" t="str"/>
      <x:c r="K15" s="42" t="str">
        <x:v>StudentProfilePatchAPITests.test_client_supplied_ownership_identifiers_are_rejected; StudentProfilePatchAPITests.test_cross_user_nested_id_is_rejected_without_modifying_other_profile; StudentProfilePatchAPITests.test_authenticated_user_cannot_patch_another_profile_with_query_parameters</x:v>
      </x:c>
    </x:row>
    <x:row r="16">
      <x:c r="A16" s="42" t="str">
        <x:v>EVD-015</x:v>
      </x:c>
      <x:c r="B16" s="42" t="str">
        <x:v>S5-SEC-OWN-03</x:v>
      </x:c>
      <x:c r="C16" s="42" t="str">
        <x:v>Automated Regression</x:v>
      </x:c>
      <x:c r="D16" s="42" t="str">
        <x:v>Yes</x:v>
      </x:c>
      <x:c r="E16" s="42" t="str">
        <x:v>Pass</x:v>
      </x:c>
      <x:c r="F16" s="42" t="str">
        <x:v>docs/testing/evidence/sprint-5/security/automated-security-regression.txt</x:v>
      </x:c>
      <x:c r="G16" s="42" t="str">
        <x:v>Mapped automated security coverage passed within the 330-test WBS 8.3 regression run.</x:v>
      </x:c>
      <x:c r="H16" s="42" t="str">
        <x:v>No real secrets intentionally retained</x:v>
      </x:c>
      <x:c r="I16" s="42" t="str">
        <x:v>Jerald</x:v>
      </x:c>
      <x:c r="J16" s="44" t="str"/>
      <x:c r="K16" s="42" t="str">
        <x:v>RecommendationAPITests.test_authenticated_user_profile_is_used_exclusively; LearningRoadmapAPITests.test_student_profile_is_derived_from_request_user</x:v>
      </x:c>
    </x:row>
    <x:row r="17">
      <x:c r="A17" s="42" t="str">
        <x:v>EVD-016</x:v>
      </x:c>
      <x:c r="B17" s="42" t="str">
        <x:v>S5-SEC-OWN-04</x:v>
      </x:c>
      <x:c r="C17" s="42" t="str">
        <x:v>Automated Regression</x:v>
      </x:c>
      <x:c r="D17" s="42" t="str">
        <x:v>Yes</x:v>
      </x:c>
      <x:c r="E17" s="42" t="str">
        <x:v>Pass</x:v>
      </x:c>
      <x:c r="F17" s="42" t="str">
        <x:v>docs/testing/evidence/sprint-5/security/automated-security-regression.txt</x:v>
      </x:c>
      <x:c r="G17" s="42" t="str">
        <x:v>Mapped automated security coverage passed within the 330-test WBS 8.3 regression run.</x:v>
      </x:c>
      <x:c r="H17" s="42" t="str">
        <x:v>No real secrets intentionally retained</x:v>
      </x:c>
      <x:c r="I17" s="42" t="str">
        <x:v>Jerald</x:v>
      </x:c>
      <x:c r="J17" s="44" t="str"/>
      <x:c r="K17" s="42" t="str">
        <x:v>JobDescriptionMatchAPITests.test_authenticated_profile_ownership</x:v>
      </x:c>
    </x:row>
    <x:row r="18">
      <x:c r="A18" s="42" t="str">
        <x:v>EVD-017</x:v>
      </x:c>
      <x:c r="B18" s="42" t="str">
        <x:v>S5-SEC-OWN-05</x:v>
      </x:c>
      <x:c r="C18" s="42" t="str">
        <x:v>Automated Regression</x:v>
      </x:c>
      <x:c r="D18" s="42" t="str">
        <x:v>Yes</x:v>
      </x:c>
      <x:c r="E18" s="42" t="str">
        <x:v>Pass</x:v>
      </x:c>
      <x:c r="F18" s="42" t="str">
        <x:v>docs/testing/evidence/sprint-5/security/automated-security-regression.txt</x:v>
      </x:c>
      <x:c r="G18" s="42" t="str">
        <x:v>Mapped automated security coverage passed within the 330-test WBS 8.3 regression run.</x:v>
      </x:c>
      <x:c r="H18" s="42" t="str">
        <x:v>No real secrets intentionally retained</x:v>
      </x:c>
      <x:c r="I18" s="42" t="str">
        <x:v>Jerald</x:v>
      </x:c>
      <x:c r="J18" s="44" t="str"/>
      <x:c r="K18" s="42" t="str">
        <x:v>ResumeGenerationAPITests.test_authenticated_user_profile_is_used_exclusively; CoverLetterGenerationAPITests.test_authenticated_user_profile_is_used_exclusively; CoverLetterGenerationAPITests.test_client_cannot_select_another_student_profile; CoverLetterGenerationAPITests.test_student_profile_id_is_rejected</x:v>
      </x:c>
    </x:row>
    <x:row r="19">
      <x:c r="A19" s="42" t="str">
        <x:v>EVD-018</x:v>
      </x:c>
      <x:c r="B19" s="42" t="str">
        <x:v>S5-SEC-OWN-06</x:v>
      </x:c>
      <x:c r="C19" s="42" t="str">
        <x:v>Automated Regression</x:v>
      </x:c>
      <x:c r="D19" s="42" t="str">
        <x:v>Yes</x:v>
      </x:c>
      <x:c r="E19" s="42" t="str">
        <x:v>Pass</x:v>
      </x:c>
      <x:c r="F19" s="42" t="str">
        <x:v>docs/testing/evidence/sprint-5/security/automated-security-regression.txt</x:v>
      </x:c>
      <x:c r="G19" s="42" t="str">
        <x:v>Mapped automated security coverage passed within the 330-test WBS 8.3 regression run.</x:v>
      </x:c>
      <x:c r="H19" s="42" t="str">
        <x:v>No real secrets intentionally retained</x:v>
      </x:c>
      <x:c r="I19" s="42" t="str">
        <x:v>Jerald</x:v>
      </x:c>
      <x:c r="J19" s="44" t="str"/>
      <x:c r="K19" s="42" t="str">
        <x:v>InterviewHistoryAPITests.test_post_creates_owned_session_metadata; InterviewHistoryAPITests.test_get_returns_only_authenticated_user_history; InterviewHistoryAPITests.test_user_id_is_rejected</x:v>
      </x:c>
    </x:row>
    <x:row r="20">
      <x:c r="A20" s="42" t="str">
        <x:v>EVD-019</x:v>
      </x:c>
      <x:c r="B20" s="42" t="str">
        <x:v>S5-SEC-IN-01</x:v>
      </x:c>
      <x:c r="C20" s="42" t="str">
        <x:v>Automated Regression</x:v>
      </x:c>
      <x:c r="D20" s="42" t="str">
        <x:v>Yes</x:v>
      </x:c>
      <x:c r="E20" s="42" t="str">
        <x:v>Pass</x:v>
      </x:c>
      <x:c r="F20" s="42" t="str">
        <x:v>docs/testing/evidence/sprint-5/security/automated-security-regression.txt</x:v>
      </x:c>
      <x:c r="G20" s="42" t="str">
        <x:v>Mapped automated security coverage passed within the 330-test WBS 8.3 regression run.</x:v>
      </x:c>
      <x:c r="H20" s="42" t="str">
        <x:v>No real secrets intentionally retained</x:v>
      </x:c>
      <x:c r="I20" s="42" t="str">
        <x:v>Jerald</x:v>
      </x:c>
      <x:c r="J20" s="44" t="str"/>
      <x:c r="K20" s="42" t="str">
        <x:v>RegistrationAPITests.test_public_registration_cannot_create_privileged_user; AccountSettingsAPITests.test_email_and_role_are_read_only; CoverLetterGenerationAPITests.test_user_id_is_rejected; CoverLetterGenerationAPITests.test_profile_prompt_and_system_prompt_fields_are_rejected; InterviewRequestSerializerTests.test_question_request_rejects_user_id; InterviewRequestSerializerTests.test_question_request_rejects_client_prompt</x:v>
      </x:c>
    </x:row>
    <x:row r="21">
      <x:c r="A21" s="42" t="str">
        <x:v>EVD-020</x:v>
      </x:c>
      <x:c r="B21" s="42" t="str">
        <x:v>S5-SEC-IN-02</x:v>
      </x:c>
      <x:c r="C21" s="42" t="str">
        <x:v>Automated Regression</x:v>
      </x:c>
      <x:c r="D21" s="42" t="str">
        <x:v>Yes</x:v>
      </x:c>
      <x:c r="E21" s="42" t="str">
        <x:v>Pass</x:v>
      </x:c>
      <x:c r="F21" s="42" t="str">
        <x:v>docs/testing/evidence/sprint-5/security/automated-security-regression.txt</x:v>
      </x:c>
      <x:c r="G21" s="42" t="str">
        <x:v>Mapped automated security coverage passed within the 330-test WBS 8.3 regression run.</x:v>
      </x:c>
      <x:c r="H21" s="42" t="str">
        <x:v>No real secrets intentionally retained</x:v>
      </x:c>
      <x:c r="I21" s="42" t="str">
        <x:v>Jerald</x:v>
      </x:c>
      <x:c r="J21" s="44" t="str"/>
      <x:c r="K21" s="42" t="str">
        <x:v>AdminUserRoleStatusAuditTests.test_invalid_role_change_is_rejected; AccountSettingsAPITests.test_gif_profile_photo_is_rejected; AccountSettingsAPITests.test_profile_photo_over_five_mb_is_rejected; StudentProfilePatchAPITests.test_invalid_proficiency_and_missing_reference_are_rejected; JobDescriptionMatchAPITests.test_unknown_fields_rejected</x:v>
      </x:c>
    </x:row>
    <x:row r="22">
      <x:c r="A22" s="42" t="str">
        <x:v>EVD-021</x:v>
      </x:c>
      <x:c r="B22" s="42" t="str">
        <x:v>S5-SEC-AI-01</x:v>
      </x:c>
      <x:c r="C22" s="42" t="str">
        <x:v>Automated Regression</x:v>
      </x:c>
      <x:c r="D22" s="42" t="str">
        <x:v>Yes</x:v>
      </x:c>
      <x:c r="E22" s="42" t="str">
        <x:v>Pass</x:v>
      </x:c>
      <x:c r="F22" s="42" t="str">
        <x:v>docs/testing/evidence/sprint-5/security/automated-security-regression.txt</x:v>
      </x:c>
      <x:c r="G22" s="42" t="str">
        <x:v>Mapped automated security coverage passed within the 330-test WBS 8.3 regression run.</x:v>
      </x:c>
      <x:c r="H22" s="42" t="str">
        <x:v>No real secrets intentionally retained</x:v>
      </x:c>
      <x:c r="I22" s="42" t="str">
        <x:v>Jerald</x:v>
      </x:c>
      <x:c r="J22" s="44" t="str"/>
      <x:c r="K22" s="42" t="str">
        <x:v>ResumeGenerationServiceTests.test_approved_profile_context_reaches_provider_through_privacy_mapper; CoverLetterGenerationServiceTests.test_approved_profile_context_reaches_provider_through_privacy_mapper</x:v>
      </x:c>
    </x:row>
    <x:row r="23">
      <x:c r="A23" s="42" t="str">
        <x:v>EVD-022</x:v>
      </x:c>
      <x:c r="B23" s="42" t="str">
        <x:v>S5-SEC-AI-02</x:v>
      </x:c>
      <x:c r="C23" s="42" t="str">
        <x:v>Automated Regression</x:v>
      </x:c>
      <x:c r="D23" s="42" t="str">
        <x:v>Yes</x:v>
      </x:c>
      <x:c r="E23" s="42" t="str">
        <x:v>Pass</x:v>
      </x:c>
      <x:c r="F23" s="42" t="str">
        <x:v>docs/testing/evidence/sprint-5/security/automated-security-regression.txt</x:v>
      </x:c>
      <x:c r="G23" s="42" t="str">
        <x:v>Mapped automated security coverage passed within the 330-test WBS 8.3 regression run.</x:v>
      </x:c>
      <x:c r="H23" s="42" t="str">
        <x:v>No real secrets intentionally retained</x:v>
      </x:c>
      <x:c r="I23" s="42" t="str">
        <x:v>Jerald</x:v>
      </x:c>
      <x:c r="J23" s="44" t="str"/>
      <x:c r="K23" s="42" t="str">
        <x:v>ResumeGenerationServiceTests.test_private_profile_fields_are_not_exposed_to_provider_prompt; CoverLetterGenerationServiceTests.test_private_profile_fields_are_not_exposed_to_provider_prompt</x:v>
      </x:c>
    </x:row>
    <x:row r="24">
      <x:c r="A24" s="42" t="str">
        <x:v>EVD-023</x:v>
      </x:c>
      <x:c r="B24" s="42" t="str">
        <x:v>S5-SEC-AI-03</x:v>
      </x:c>
      <x:c r="C24" s="42" t="str">
        <x:v>Automated Regression</x:v>
      </x:c>
      <x:c r="D24" s="42" t="str">
        <x:v>Yes</x:v>
      </x:c>
      <x:c r="E24" s="42" t="str">
        <x:v>Pass</x:v>
      </x:c>
      <x:c r="F24" s="42" t="str">
        <x:v>docs/testing/evidence/sprint-5/security/automated-security-regression.txt</x:v>
      </x:c>
      <x:c r="G24" s="42" t="str">
        <x:v>Mapped automated security coverage passed within the 330-test WBS 8.3 regression run.</x:v>
      </x:c>
      <x:c r="H24" s="42" t="str">
        <x:v>No real secrets intentionally retained</x:v>
      </x:c>
      <x:c r="I24" s="42" t="str">
        <x:v>Jerald</x:v>
      </x:c>
      <x:c r="J24" s="44" t="str"/>
      <x:c r="K24" s="42" t="str">
        <x:v>ResumeGenerationAPITests.test_shared_ai_service_failure_returns_503; ResumeGenerationAPITests.test_response_validation_failure_is_sanitized_503; CoverLetterGenerationAPITests.test_provider_unavailable_returns_503; InterviewQuestionAPITests.test_provider_timeout_returns_503; InterviewQuestionAPITests.test_semantic_validation_failure_returns_controlled_502; InterviewFeedbackAPITests.test_provider_timeout_returns_503</x:v>
      </x:c>
    </x:row>
    <x:row r="25">
      <x:c r="A25" s="42" t="str">
        <x:v>EVD-024</x:v>
      </x:c>
      <x:c r="B25" s="42" t="str">
        <x:v>S5-SEC-AI-04</x:v>
      </x:c>
      <x:c r="C25" s="42" t="str">
        <x:v>Automated Regression</x:v>
      </x:c>
      <x:c r="D25" s="42" t="str">
        <x:v>Yes</x:v>
      </x:c>
      <x:c r="E25" s="42" t="str">
        <x:v>Pass</x:v>
      </x:c>
      <x:c r="F25" s="42" t="str">
        <x:v>docs/testing/evidence/sprint-5/security/automated-security-regression.txt</x:v>
      </x:c>
      <x:c r="G25" s="42" t="str">
        <x:v>Mapped automated security coverage passed within the 330-test WBS 8.3 regression run.</x:v>
      </x:c>
      <x:c r="H25" s="42" t="str">
        <x:v>No real secrets intentionally retained</x:v>
      </x:c>
      <x:c r="I25" s="42" t="str">
        <x:v>Jerald</x:v>
      </x:c>
      <x:c r="J25" s="44" t="str"/>
      <x:c r="K25" s="42" t="str">
        <x:v>CoverLetterGenerationServiceTests.test_job_description_instructions_do_not_become_trusted_instructions; InterviewQuestionServiceTests.test_question_context_preserves_trust_boundary; InterviewFeedbackServiceTests.test_feedback_context_is_untrusted; JobDescriptionMatchAPITests.test_job_matching_output_is_independent_of_text_ai_provider</x:v>
      </x:c>
    </x:row>
    <x:row r="26">
      <x:c r="A26" s="42" t="str">
        <x:v>EVD-025</x:v>
      </x:c>
      <x:c r="B26" s="42" t="str">
        <x:v>S5-SEC-AUD-01</x:v>
      </x:c>
      <x:c r="C26" s="42" t="str">
        <x:v>Automated Regression</x:v>
      </x:c>
      <x:c r="D26" s="42" t="str">
        <x:v>Yes</x:v>
      </x:c>
      <x:c r="E26" s="42" t="str">
        <x:v>Pass</x:v>
      </x:c>
      <x:c r="F26" s="42" t="str">
        <x:v>docs/testing/evidence/sprint-5/security/automated-security-regression.txt</x:v>
      </x:c>
      <x:c r="G26" s="42" t="str">
        <x:v>Mapped automated security coverage passed within the 330-test WBS 8.3 regression run.</x:v>
      </x:c>
      <x:c r="H26" s="42" t="str">
        <x:v>No real secrets intentionally retained</x:v>
      </x:c>
      <x:c r="I26" s="42" t="str">
        <x:v>Jerald</x:v>
      </x:c>
      <x:c r="J26" s="44" t="str"/>
      <x:c r="K26" s="42" t="str">
        <x:v>AdminAuditRecordTests.test_career_create_update_and_delete_create_audit_records; AdminAuditRecordTests.test_learning_resource_report_status_change_creates_audit_record</x:v>
      </x:c>
    </x:row>
    <x:row r="27">
      <x:c r="A27" s="42" t="str">
        <x:v>EVD-026</x:v>
      </x:c>
      <x:c r="B27" s="42" t="str">
        <x:v>S5-SEC-AUD-02</x:v>
      </x:c>
      <x:c r="C27" s="42" t="str">
        <x:v>Automated Regression</x:v>
      </x:c>
      <x:c r="D27" s="42" t="str">
        <x:v>Yes</x:v>
      </x:c>
      <x:c r="E27" s="42" t="str">
        <x:v>Pass</x:v>
      </x:c>
      <x:c r="F27" s="42" t="str">
        <x:v>docs/testing/evidence/sprint-5/security/automated-security-regression.txt</x:v>
      </x:c>
      <x:c r="G27" s="42" t="str">
        <x:v>Mapped automated security coverage passed within the 330-test WBS 8.3 regression run.</x:v>
      </x:c>
      <x:c r="H27" s="42" t="str">
        <x:v>No real secrets intentionally retained</x:v>
      </x:c>
      <x:c r="I27" s="42" t="str">
        <x:v>Jerald</x:v>
      </x:c>
      <x:c r="J27" s="44" t="str"/>
      <x:c r="K27" s="42" t="str">
        <x:v>AdminAuditRecordTests.test_admin_can_list_and_retrieve_audit_records; AdminAuditRecordTests.test_audit_records_endpoint_is_read_only; AdminAuditRecordTests.test_audit_response_does_not_expose_user_email</x:v>
      </x:c>
    </x:row>
    <x:row r="28">
      <x:c r="A28" s="42" t="str">
        <x:v>EVD-027</x:v>
      </x:c>
      <x:c r="B28" s="42" t="str">
        <x:v>S5-SEC-AUD-03</x:v>
      </x:c>
      <x:c r="C28" s="42" t="str">
        <x:v>Automated Regression</x:v>
      </x:c>
      <x:c r="D28" s="42" t="str">
        <x:v>Yes</x:v>
      </x:c>
      <x:c r="E28" s="42" t="str">
        <x:v>Pass</x:v>
      </x:c>
      <x:c r="F28" s="42" t="str">
        <x:v>docs/testing/evidence/sprint-5/security/automated-security-regression.txt</x:v>
      </x:c>
      <x:c r="G28" s="42" t="str">
        <x:v>Mapped automated security coverage passed within the 330-test WBS 8.3 regression run.</x:v>
      </x:c>
      <x:c r="H28" s="42" t="str">
        <x:v>No real secrets intentionally retained</x:v>
      </x:c>
      <x:c r="I28" s="42" t="str">
        <x:v>Jerald</x:v>
      </x:c>
      <x:c r="J28" s="44" t="str"/>
      <x:c r="K28" s="42" t="str">
        <x:v>ResumeGenerationAPITests.test_external_service_failure_creates_safe_system_audit_record; InterviewQuestionAPITests.test_semantic_validation_failure_logs_safe_category; InterviewFeedbackAPITests.test_feedback_validation_failure_logs_safe_category</x:v>
      </x:c>
    </x:row>
    <x:row r="29">
      <x:c r="A29" s="42" t="str">
        <x:v>EVD-028</x:v>
      </x:c>
      <x:c r="B29" s="42" t="str">
        <x:v>S5-SEC-AUTH-01</x:v>
      </x:c>
      <x:c r="C29" s="42" t="str">
        <x:v>Postman</x:v>
      </x:c>
      <x:c r="D29" s="42" t="str">
        <x:v>Yes</x:v>
      </x:c>
      <x:c r="E29" s="42" t="str">
        <x:v>Pass</x:v>
      </x:c>
      <x:c r="F29" s="42" t="str">
        <x:v>docs/testing/evidence/sprint-5/security/S5-SEC-AUTH-01-valid-student-login-pass.png</x:v>
      </x:c>
      <x:c r="G29" s="42" t="str">
        <x:v>Valid Student login returned HTTP 200 with access and refresh JWTs and safe user fields only.</x:v>
      </x:c>
      <x:c r="H29" s="42" t="str">
        <x:v>PASS - screenshots exclude passwords, JWT values, API keys, and other secret values</x:v>
      </x:c>
      <x:c r="I29" s="42" t="str">
        <x:v>Jerald</x:v>
      </x:c>
      <x:c r="J29" s="44" t="n">
        <x:v>46301</x:v>
      </x:c>
      <x:c r="K29" s="42" t="str">
        <x:v>Postman validation passed 6/6.</x:v>
      </x:c>
    </x:row>
    <x:row r="30">
      <x:c r="A30" s="42" t="str">
        <x:v>EVD-029</x:v>
      </x:c>
      <x:c r="B30" s="42" t="str">
        <x:v>S5-SEC-AUTH-02</x:v>
      </x:c>
      <x:c r="C30" s="42" t="str">
        <x:v>Postman</x:v>
      </x:c>
      <x:c r="D30" s="42" t="str">
        <x:v>Yes</x:v>
      </x:c>
      <x:c r="E30" s="42" t="str">
        <x:v>Pass</x:v>
      </x:c>
      <x:c r="F30" s="42" t="str">
        <x:v>docs/testing/evidence/sprint-5/security/S5-SEC-AUTH-02A-wrong-password-rejected-pass.png; docs/testing/evidence/sprint-5/security/S5-SEC-AUTH-02B-unknown-email-rejected-pass.png</x:v>
      </x:c>
      <x:c r="G30" s="42" t="str">
        <x:v>Wrong password and unknown email both returned the same safe HTTP 401 invalid-credentials response without account information leakage.</x:v>
      </x:c>
      <x:c r="H30" s="42" t="str">
        <x:v>PASS - screenshots exclude passwords, JWT values, API keys, and other secret values</x:v>
      </x:c>
      <x:c r="I30" s="42" t="str">
        <x:v>Jerald</x:v>
      </x:c>
      <x:c r="J30" s="44" t="n">
        <x:v>46301</x:v>
      </x:c>
      <x:c r="K30" s="42" t="str">
        <x:v>Wrong-password and unknown-email Postman checks passed.</x:v>
      </x:c>
    </x:row>
    <x:row r="31">
      <x:c r="A31" s="42" t="str">
        <x:v>EVD-030</x:v>
      </x:c>
      <x:c r="B31" s="42" t="str">
        <x:v>S5-SEC-AUTH-03</x:v>
      </x:c>
      <x:c r="C31" s="42" t="str">
        <x:v>Postman</x:v>
      </x:c>
      <x:c r="D31" s="42" t="str">
        <x:v>Yes</x:v>
      </x:c>
      <x:c r="E31" s="42" t="str">
        <x:v>Pass</x:v>
      </x:c>
      <x:c r="F31" s="42" t="str">
        <x:v>docs/testing/evidence/sprint-5/security/S5-SEC-AUTH-03A-missing-authorization-rejected-pass.png; docs/testing/evidence/sprint-5/security/S5-SEC-AUTH-03B-malformed-access-token-rejected-pass.png; docs/testing/evidence/sprint-5/security/S5-SEC-AUTH-03C-refresh-token-rejected-as-access-pass.png</x:v>
      </x:c>
      <x:c r="G31" s="42" t="str">
        <x:v>Missing authorization, malformed access token, and refresh-token-as-access attempts were rejected with safe HTTP 401 responses.</x:v>
      </x:c>
      <x:c r="H31" s="42" t="str">
        <x:v>PASS - screenshots exclude passwords, JWT values, API keys, and other secret values</x:v>
      </x:c>
      <x:c r="I31" s="42" t="str">
        <x:v>Jerald</x:v>
      </x:c>
      <x:c r="J31" s="44" t="n">
        <x:v>46301</x:v>
      </x:c>
      <x:c r="K31" s="42" t="str">
        <x:v>All protected-endpoint authentication rejection checks passed.</x:v>
      </x:c>
    </x:row>
    <x:row r="32">
      <x:c r="A32" s="42" t="str">
        <x:v>EVD-031</x:v>
      </x:c>
      <x:c r="B32" s="42" t="str">
        <x:v>S5-SEC-AUTH-04</x:v>
      </x:c>
      <x:c r="C32" s="42" t="str">
        <x:v>Postman</x:v>
      </x:c>
      <x:c r="D32" s="42" t="str">
        <x:v>Yes</x:v>
      </x:c>
      <x:c r="E32" s="42" t="str">
        <x:v>Pass</x:v>
      </x:c>
      <x:c r="F32" s="42" t="str">
        <x:v>docs/testing/evidence/sprint-5/security/S5-SEC-AUTH-04A-refresh-token-rotation-succeeds-pass.png; docs/testing/evidence/sprint-5/security/S5-SEC-AUTH-04B-original-refresh-token-reuse-rejected-pass.png; docs/testing/evidence/sprint-5/security/S5-SEC-AUTH-04C-rotated-refresh-token-works-pass.png</x:v>
      </x:c>
      <x:c r="G32" s="42" t="str">
        <x:v>Refresh rotation succeeded, the original refresh token was rejected after rotation, and the rotated refresh token remained usable.</x:v>
      </x:c>
      <x:c r="H32" s="42" t="str">
        <x:v>PASS - screenshots exclude passwords, JWT values, API keys, and other secret values</x:v>
      </x:c>
      <x:c r="I32" s="42" t="str">
        <x:v>Jerald</x:v>
      </x:c>
      <x:c r="J32" s="44" t="n">
        <x:v>46301</x:v>
      </x:c>
      <x:c r="K32" s="42" t="str">
        <x:v>JWT refresh-token rotation contract verified.</x:v>
      </x:c>
    </x:row>
    <x:row r="33">
      <x:c r="A33" s="42" t="str">
        <x:v>EVD-032</x:v>
      </x:c>
      <x:c r="B33" s="42" t="str">
        <x:v>S5-SEC-AUTH-05</x:v>
      </x:c>
      <x:c r="C33" s="42" t="str">
        <x:v>Postman</x:v>
      </x:c>
      <x:c r="D33" s="42" t="str">
        <x:v>Yes</x:v>
      </x:c>
      <x:c r="E33" s="42" t="str">
        <x:v>Pass</x:v>
      </x:c>
      <x:c r="F33" s="42" t="str">
        <x:v>docs/testing/evidence/sprint-5/security/S5-SEC-AUTH-05A-student-logout-succeeds-pass.png; docs/testing/evidence/sprint-5/security/S5-SEC-AUTH-05B-logged-out-refresh-token-rejected-pass.png; docs/testing/evidence/sprint-5/security/S5-SEC-AUTH-05C-existing-access-token-remains-valid-pass.png</x:v>
      </x:c>
      <x:c r="G33" s="42" t="str">
        <x:v>Logout succeeded, the submitted refresh token was blacklisted and rejected, and the already-issued access token remained valid until expiry.</x:v>
      </x:c>
      <x:c r="H33" s="42" t="str">
        <x:v>PASS - screenshots exclude passwords, JWT values, API keys, and other secret values</x:v>
      </x:c>
      <x:c r="I33" s="42" t="str">
        <x:v>Jerald</x:v>
      </x:c>
      <x:c r="J33" s="44" t="n">
        <x:v>46301</x:v>
      </x:c>
      <x:c r="K33" s="42" t="str">
        <x:v>Logout and documented access-token expiry behaviour verified.</x:v>
      </x:c>
    </x:row>
    <x:row r="34">
      <x:c r="A34" s="42" t="str">
        <x:v>EVD-033</x:v>
      </x:c>
      <x:c r="B34" s="42" t="str">
        <x:v>S5-SEC-AUTH-06</x:v>
      </x:c>
      <x:c r="C34" s="42" t="str">
        <x:v>Postman</x:v>
      </x:c>
      <x:c r="D34" s="42" t="str">
        <x:v>Yes</x:v>
      </x:c>
      <x:c r="E34" s="42" t="str">
        <x:v>Pass</x:v>
      </x:c>
      <x:c r="F34" s="42" t="str">
        <x:v>docs/testing/evidence/sprint-5/security/S5-SEC-AUTH-06A-password-reset-safe-response-pass.png; docs/testing/evidence/sprint-5/security/S5-SEC-AUTH-06B-unknown-email-reset-safe-response-pass.png; docs/testing/evidence/sprint-5/security/S5-SEC-AUTH-06C-incorrect-current-password-rejected-pass.png; docs/testing/evidence/sprint-5/security/S5-SEC-AUTH-06D-weak-new-password-rejected-pass.png; docs/testing/evidence/sprint-5/security/S5-SEC-AUTH-06E-valid-password-change-succeeds-pass.png; docs/testing/evidence/sprint-5/security/S5-SEC-AUTH-06F-original-password-restored-pass.png</x:v>
      </x:c>
      <x:c r="G34" s="42" t="str">
        <x:v>Password reset used safe non-enumerating responses. Incorrect current password and weak new password were rejected. Valid password change succeeded and the original Student password was restored.</x:v>
      </x:c>
      <x:c r="H34" s="42" t="str">
        <x:v>PASS - screenshots exclude passwords, JWT values, API keys, and other secret values</x:v>
      </x:c>
      <x:c r="I34" s="42" t="str">
        <x:v>Jerald</x:v>
      </x:c>
      <x:c r="J34" s="44" t="n">
        <x:v>46301</x:v>
      </x:c>
      <x:c r="K34" s="42" t="str">
        <x:v>Original Student test password restored after valid-change verification.</x:v>
      </x:c>
    </x:row>
    <x:row r="35">
      <x:c r="A35" s="42" t="str">
        <x:v>EVD-034</x:v>
      </x:c>
      <x:c r="B35" s="42" t="str">
        <x:v>S5-SEC-RBAC-01</x:v>
      </x:c>
      <x:c r="C35" s="42" t="str">
        <x:v>Postman</x:v>
      </x:c>
      <x:c r="D35" s="42" t="str">
        <x:v>Yes</x:v>
      </x:c>
      <x:c r="E35" s="42" t="str">
        <x:v>Pass</x:v>
      </x:c>
      <x:c r="F35" s="42" t="str">
        <x:v>docs/testing/evidence/sprint-5/security/S5-SEC-RBAC-01A-unauthenticated-admin-users-rejected-pass.png; docs/testing/evidence/sprint-5/security/S5-SEC-RBAC-01B-unauthenticated-admin-user-detail-rejected-pass.png</x:v>
      </x:c>
      <x:c r="G35" s="42" t="str">
        <x:v>Unauthenticated requests to Administrator collection and user-detail endpoints were rejected with HTTP 401 and exposed no protected data.</x:v>
      </x:c>
      <x:c r="H35" s="42" t="str">
        <x:v>PASS - screenshots exclude passwords, JWT values, API keys, and other secret values</x:v>
      </x:c>
      <x:c r="I35" s="42" t="str">
        <x:v>Jerald</x:v>
      </x:c>
      <x:c r="J35" s="44" t="n">
        <x:v>46301</x:v>
      </x:c>
      <x:c r="K35" s="42" t="str">
        <x:v>Unauthenticated Administrator endpoint protection verified.</x:v>
      </x:c>
    </x:row>
    <x:row r="36">
      <x:c r="A36" s="42" t="str">
        <x:v>EVD-035</x:v>
      </x:c>
      <x:c r="B36" s="42" t="str">
        <x:v>S5-SEC-RBAC-02</x:v>
      </x:c>
      <x:c r="C36" s="42" t="str">
        <x:v>Postman</x:v>
      </x:c>
      <x:c r="D36" s="42" t="str">
        <x:v>Yes</x:v>
      </x:c>
      <x:c r="E36" s="42" t="str">
        <x:v>Pass</x:v>
      </x:c>
      <x:c r="F36" s="42" t="str">
        <x:v>docs/testing/evidence/sprint-5/security/S5-SEC-RBAC-02A-student-admin-users-access-rejected-pass.png; docs/testing/evidence/sprint-5/security/S5-SEC-RBAC-02B-student-admin-user-detail-rejected-pass.png</x:v>
      </x:c>
      <x:c r="G36" s="42" t="str">
        <x:v>Authenticated Student requests to Administrator collection and detail endpoints were rejected with permission_denied and HTTP 403.</x:v>
      </x:c>
      <x:c r="H36" s="42" t="str">
        <x:v>PASS - screenshots exclude passwords, JWT values, API keys, and other secret values</x:v>
      </x:c>
      <x:c r="I36" s="42" t="str">
        <x:v>Jerald</x:v>
      </x:c>
      <x:c r="J36" s="44" t="n">
        <x:v>46301</x:v>
      </x:c>
      <x:c r="K36" s="42" t="str">
        <x:v>Student-to-Administrator RBAC boundary verified.</x:v>
      </x:c>
    </x:row>
    <x:row r="37">
      <x:c r="A37" s="42" t="str">
        <x:v>EVD-036</x:v>
      </x:c>
      <x:c r="B37" s="42" t="str">
        <x:v>S5-SEC-RBAC-03</x:v>
      </x:c>
      <x:c r="C37" s="42" t="str">
        <x:v>Postman</x:v>
      </x:c>
      <x:c r="D37" s="42" t="str">
        <x:v>Yes</x:v>
      </x:c>
      <x:c r="E37" s="42" t="str">
        <x:v>Pass</x:v>
      </x:c>
      <x:c r="F37" s="42" t="str">
        <x:v>docs/testing/evidence/sprint-5/security/S5-SEC-RBAC-03A-student-admin-career-create-rejected-pass.png; docs/testing/evidence/sprint-5/security/S5-SEC-RBAC-03B-student-admin-role-change-rejected-pass.png; docs/testing/evidence/sprint-5/security/S5-SEC-RBAC-03C-student-admin-status-change-rejected-pass.png; docs/testing/evidence/sprint-5/security/S5-SEC-RBAC-03D-student-admin-analytics-access-rejected-pass.png; docs/testing/evidence/sprint-5/security/S5-SEC-RBAC-03E-student-admin-audit-access-rejected-pass.png; docs/testing/evidence/sprint-5/security/S5-SEC-RBAC-03F1-student-admin-report-detail-access-rejected-pass.png; docs/testing/evidence/sprint-5/security/S5-SEC-RBAC-03F2-student-admin-report-update-rejected-pass.png; docs/testing/evidence/sprint-5/security/S5-SEC-RBAC-03G-student-admin-resource-update-rejected-pass.png; docs/testing/evidence/sprint-5/security/S5-SEC-RBAC-03H-student-admin-resource-delete-rejected-pass.png</x:v>
      </x:c>
      <x:c r="G37" s="42" t="str">
        <x:v>Student create, update, delete, role, status, report-review, analytics, and audit operations were rejected with HTTP 403. Temporary report and learning-resource records were removed after testing.</x:v>
      </x:c>
      <x:c r="H37" s="42" t="str">
        <x:v>PASS - screenshots exclude passwords, JWT values, API keys, and other secret values</x:v>
      </x:c>
      <x:c r="I37" s="42" t="str">
        <x:v>Jerald</x:v>
      </x:c>
      <x:c r="J37" s="44" t="n">
        <x:v>46301</x:v>
      </x:c>
      <x:c r="K37" s="42" t="str">
        <x:v>All planned RBAC-03 Student denial operations passed. Temporary test records were cleaned up.</x:v>
      </x:c>
    </x:row>
    <x:row r="38">
      <x:c r="A38" s="42" t="str">
        <x:v>EVD-037</x:v>
      </x:c>
      <x:c r="B38" s="42" t="str">
        <x:v>S5-SEC-RBAC-04</x:v>
      </x:c>
      <x:c r="C38" s="42" t="str">
        <x:v>Postman</x:v>
      </x:c>
      <x:c r="D38" s="42" t="str">
        <x:v>Yes</x:v>
      </x:c>
      <x:c r="E38" s="42" t="str">
        <x:v>Pass</x:v>
      </x:c>
      <x:c r="F38" s="42" t="str">
        <x:v>docs/testing/evidence/sprint-5/security/S5-SEC-RBAC-04-general-admin-user-edit-protects-role-status-pass.png</x:v>
      </x:c>
      <x:c r="G38" s="42" t="str">
        <x:v>General Administrator user editing preserved role and active status while allowing safe editable fields.</x:v>
      </x:c>
      <x:c r="H38" s="42" t="str">
        <x:v>PASS - screenshots and static evidence exclude passwords, JWT values, API keys, database credentials, and other secret values</x:v>
      </x:c>
      <x:c r="I38" s="42" t="str">
        <x:v>Jerald</x:v>
      </x:c>
      <x:c r="J38" s="44" t="n">
        <x:v>46301</x:v>
      </x:c>
      <x:c r="K38" s="42" t="str">
        <x:v>General user-edit endpoint preserved server-controlled role and active status. Postman checks passed 6/6.</x:v>
      </x:c>
    </x:row>
    <x:row r="39">
      <x:c r="A39" s="42" t="str">
        <x:v>EVD-038</x:v>
      </x:c>
      <x:c r="B39" s="42" t="str">
        <x:v>S5-SEC-RBAC-05</x:v>
      </x:c>
      <x:c r="C39" s="42" t="str">
        <x:v>Postman</x:v>
      </x:c>
      <x:c r="D39" s="42" t="str">
        <x:v>Yes</x:v>
      </x:c>
      <x:c r="E39" s="42" t="str">
        <x:v>Pass</x:v>
      </x:c>
      <x:c r="F39" s="42" t="str">
        <x:v>docs/testing/evidence/sprint-5/security/S5-SEC-RBAC-05A-dedicated-admin-role-change-succeeds-pass.png; docs/testing/evidence/sprint-5/security/S5-SEC-RBAC-05B-dedicated-admin-status-change-succeeds-pass.png; docs/testing/evidence/sprint-5/security/S5-SEC-RBAC-05C-invalid-admin-role-change-rejected-pass.png</x:v>
      </x:c>
      <x:c r="G39" s="42" t="str">
        <x:v>Dedicated role/status changes succeeded for valid Administrator actions and invalid role input was safely rejected.</x:v>
      </x:c>
      <x:c r="H39" s="42" t="str">
        <x:v>PASS - screenshots and static evidence exclude passwords, JWT values, API keys, database credentials, and other secret values</x:v>
      </x:c>
      <x:c r="I39" s="42" t="str">
        <x:v>Jerald</x:v>
      </x:c>
      <x:c r="J39" s="44" t="n">
        <x:v>46301</x:v>
      </x:c>
      <x:c r="K39" s="42" t="str">
        <x:v>Dedicated role/status endpoint contract verified. Invalid role validation passed 6/6.</x:v>
      </x:c>
    </x:row>
    <x:row r="40">
      <x:c r="A40" s="42" t="str">
        <x:v>EVD-039</x:v>
      </x:c>
      <x:c r="B40" s="42" t="str">
        <x:v>S5-SEC-RBAC-06</x:v>
      </x:c>
      <x:c r="C40" s="42" t="str">
        <x:v>Postman</x:v>
      </x:c>
      <x:c r="D40" s="42" t="str">
        <x:v>Yes</x:v>
      </x:c>
      <x:c r="E40" s="42" t="str">
        <x:v>Pass</x:v>
      </x:c>
      <x:c r="F40" s="42" t="str">
        <x:v>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docs/testing/evidence/sprint-5/security/S5-SEC-RBAC-06C-audit-records-endpoint-read-only-pass.png; docs/testing/evidence/sprint-5/security/S5-SEC-RBAC-06D-administrator-analytics-response-safe-pass.png</x:v>
      </x:c>
      <x:c r="G40" s="42" t="str">
        <x:v>Administrator audit and analytics reads succeeded, audit writes were rejected, and responses avoided unnecessary sensitive values.</x:v>
      </x:c>
      <x:c r="H40" s="42" t="str">
        <x:v>PASS - screenshots and static evidence exclude passwords, JWT values, API keys, database credentials, and other secret values</x:v>
      </x:c>
      <x:c r="I40" s="42" t="str">
        <x:v>Jerald</x:v>
      </x:c>
      <x:c r="J40" s="44" t="n">
        <x:v>46301</x:v>
      </x:c>
      <x:c r="K40" s="42" t="str">
        <x:v>Audit read-only behaviour and analytics response minimisation verified.</x:v>
      </x:c>
    </x:row>
    <x:row r="41">
      <x:c r="A41" s="42" t="str">
        <x:v>EVD-040</x:v>
      </x:c>
      <x:c r="B41" s="42" t="str">
        <x:v>S5-SEC-OWN-01</x:v>
      </x:c>
      <x:c r="C41" s="42" t="str">
        <x:v>Postman</x:v>
      </x:c>
      <x:c r="D41" s="42" t="str">
        <x:v>Yes</x:v>
      </x:c>
      <x:c r="E41" s="42" t="str">
        <x:v>Pass</x:v>
      </x:c>
      <x:c r="F41" s="42" t="str">
        <x:v>docs/testing/evidence/sprint-5/security/S5-SEC-OWN-01-student-profile-ignores-cross-user-identifiers-pass.png</x:v>
      </x:c>
      <x:c r="G41" s="42" t="str">
        <x:v>Student Profile GET remained bound to the authenticated Student and did not expose cross-user identity or goal data.</x:v>
      </x:c>
      <x:c r="H41" s="42" t="str">
        <x:v>PASS - screenshots and static evidence exclude passwords, JWT values, API keys, database credentials, and other secret values</x:v>
      </x:c>
      <x:c r="I41" s="42" t="str">
        <x:v>Jerald</x:v>
      </x:c>
      <x:c r="J41" s="44" t="n">
        <x:v>46301</x:v>
      </x:c>
      <x:c r="K41" s="42" t="str">
        <x:v>Authenticated-profile isolation passed 6/6.</x:v>
      </x:c>
    </x:row>
    <x:row r="42">
      <x:c r="A42" s="42" t="str">
        <x:v>EVD-041</x:v>
      </x:c>
      <x:c r="B42" s="42" t="str">
        <x:v>S5-SEC-OWN-02</x:v>
      </x:c>
      <x:c r="C42" s="42" t="str">
        <x:v>Postman</x:v>
      </x:c>
      <x:c r="D42" s="42" t="str">
        <x:v>Yes</x:v>
      </x:c>
      <x:c r="E42" s="42" t="str">
        <x:v>Pass</x:v>
      </x:c>
      <x:c r="F42" s="42" t="str">
        <x:v>docs/testing/evidence/sprint-5/security/S5-SEC-OWN-02A-client-supplied-user-id-rejected-pass.png; docs/testing/evidence/sprint-5/security/S5-SEC-OWN-02B-cross-user-career-goal-id-rejected-pass.png; docs/testing/evidence/sprint-5/security/S5-SEC-OWN-02C-cross-user-query-parameters-cannot-redirect-profile-update-pass.png; docs/testing/evidence/sprint-5/security/S5-SEC-OWN-02-database-state-verification-pass.png; docs/testing/evidence/sprint-5/security/S5-SEC-OWN-02-temporary-users-cleanup-pass.png</x:v>
      </x:c>
      <x:c r="G42" s="42" t="str">
        <x:v>Ownership spoofing through user ID, nested CareerGoal ID, and query parameters was rejected or ignored; database state remained isolated.</x:v>
      </x:c>
      <x:c r="H42" s="42" t="str">
        <x:v>PASS - screenshots and static evidence exclude passwords, JWT values, API keys, database credentials, and other secret values</x:v>
      </x:c>
      <x:c r="I42" s="42" t="str">
        <x:v>Jerald</x:v>
      </x:c>
      <x:c r="J42" s="44" t="n">
        <x:v>46301</x:v>
      </x:c>
      <x:c r="K42" s="42" t="str">
        <x:v>Ownership spoofing rejected and database state verified. Temporary ownership users were removed after testing.</x:v>
      </x:c>
    </x:row>
    <x:row r="43">
      <x:c r="A43" s="42" t="str">
        <x:v>EVD-042</x:v>
      </x:c>
      <x:c r="B43" s="42" t="str">
        <x:v>S5-SEC-OWN-03</x:v>
      </x:c>
      <x:c r="C43" s="42" t="str">
        <x:v>Static Review</x:v>
      </x:c>
      <x:c r="D43" s="42" t="str">
        <x:v>Yes</x:v>
      </x:c>
      <x:c r="E43" s="42" t="str">
        <x:v>Pass</x:v>
      </x:c>
      <x:c r="F43" s="42" t="str">
        <x:v>docs/testing/evidence/sprint-5/security/S5-SEC-OWN-03-targeted-automated-tests-pass.png; docs/testing/evidence/sprint-5/security/S5-SEC-OWN-03-static-recommendation-ownership-check.png; docs/testing/evidence/sprint-5/security/S5-SEC-OWN-03-static-learning-roadmap-ownership-check.png; docs/testing/evidence/sprint-5/security/S5-SEC-OWN-03-static-query-ownership-check.png</x:v>
      </x:c>
      <x:c r="G43" s="42" t="str">
        <x:v>Targeted automated tests and static review confirmed guidance services derive profile ownership from request.user.</x:v>
      </x:c>
      <x:c r="H43" s="42" t="str">
        <x:v>PASS - screenshots and static evidence exclude passwords, JWT values, API keys, database credentials, and other secret values</x:v>
      </x:c>
      <x:c r="I43" s="42" t="str">
        <x:v>Jerald</x:v>
      </x:c>
      <x:c r="J43" s="44" t="n">
        <x:v>46301</x:v>
      </x:c>
      <x:c r="K43" s="42" t="str">
        <x:v>Targeted automated coverage and static request.user ownership review completed.</x:v>
      </x:c>
    </x:row>
    <x:row r="44">
      <x:c r="A44" s="42" t="str">
        <x:v>EVD-043</x:v>
      </x:c>
      <x:c r="B44" s="42" t="str">
        <x:v>S5-SEC-OWN-04</x:v>
      </x:c>
      <x:c r="C44" s="42" t="str">
        <x:v>Postman</x:v>
      </x:c>
      <x:c r="D44" s="42" t="str">
        <x:v>Yes</x:v>
      </x:c>
      <x:c r="E44" s="42" t="str">
        <x:v>Pass</x:v>
      </x:c>
      <x:c r="F44" s="42" t="str">
        <x:v>docs/testing/evidence/sprint-5/security/S5-SEC-OWN-04A-job-match-uses-authenticated-student-profile-pass.png; docs/testing/evidence/sprint-5/security/S5-SEC-OWN-04B-job-match-rejects-client-supplied-profile-identity-pass.png</x:v>
      </x:c>
      <x:c r="G44" s="42" t="str">
        <x:v>Job Match used the authenticated Student Profile and rejected client-supplied profile identity.</x:v>
      </x:c>
      <x:c r="H44" s="42" t="str">
        <x:v>PASS - screenshots and static evidence exclude passwords, JWT values, API keys, database credentials, and other secret values</x:v>
      </x:c>
      <x:c r="I44" s="42" t="str">
        <x:v>Jerald</x:v>
      </x:c>
      <x:c r="J44" s="44" t="n">
        <x:v>46301</x:v>
      </x:c>
      <x:c r="K44" s="42" t="str">
        <x:v>Job Match authenticated-profile ownership and selector rejection verified.</x:v>
      </x:c>
    </x:row>
    <x:row r="45">
      <x:c r="A45" s="42" t="str">
        <x:v>EVD-044</x:v>
      </x:c>
      <x:c r="B45" s="42" t="str">
        <x:v>S5-SEC-OWN-05</x:v>
      </x:c>
      <x:c r="C45" s="42" t="str">
        <x:v>Postman</x:v>
      </x:c>
      <x:c r="D45" s="42" t="str">
        <x:v>Yes</x:v>
      </x:c>
      <x:c r="E45" s="42" t="str">
        <x:v>Pass</x:v>
      </x:c>
      <x:c r="F45" s="42" t="str">
        <x:v>docs/testing/evidence/sprint-5/security/S5-SEC-OWN-05A-resume-rejects-client-supplied-student-profile-pass.png; docs/testing/evidence/sprint-5/security/S5-SEC-OWN-05B-cover-letter-rejects-client-supplied-student-profile-pass.png</x:v>
      </x:c>
      <x:c r="G45" s="42" t="str">
        <x:v>Resume and Cover Letter generation rejected client-supplied Student Profile selectors.</x:v>
      </x:c>
      <x:c r="H45" s="42" t="str">
        <x:v>PASS - screenshots and static evidence exclude passwords, JWT values, API keys, database credentials, and other secret values</x:v>
      </x:c>
      <x:c r="I45" s="42" t="str">
        <x:v>Jerald</x:v>
      </x:c>
      <x:c r="J45" s="44" t="n">
        <x:v>46301</x:v>
      </x:c>
      <x:c r="K45" s="42" t="str">
        <x:v>Protected Student Profile selector rejection verified for both document-generation endpoints.</x:v>
      </x:c>
    </x:row>
    <x:row r="46">
      <x:c r="A46" s="42" t="str">
        <x:v>EVD-045</x:v>
      </x:c>
      <x:c r="B46" s="42" t="str">
        <x:v>S5-SEC-OWN-06</x:v>
      </x:c>
      <x:c r="C46" s="42" t="str">
        <x:v>Postman</x:v>
      </x:c>
      <x:c r="D46" s="42" t="str">
        <x:v>Yes</x:v>
      </x:c>
      <x:c r="E46" s="42" t="str">
        <x:v>Pass</x:v>
      </x:c>
      <x:c r="F46" s="42" t="str">
        <x:v>docs/testing/evidence/sprint-5/security/S5-SEC-OWN-06A-student-a-creates-owned-interview-history-pass.png; docs/testing/evidence/sprint-5/security/S5-SEC-OWN-06B-student-a-sees-own-interview-history-pass.png; docs/testing/evidence/sprint-5/security/S5-SEC-OWN-06C-client-supplied-interview-history-user-id-rejected-pass.png; docs/testing/evidence/sprint-5/security/S5-SEC-OWN-06D-student-b-cannot-see-student-a-interview-history-pass.png; docs/testing/evidence/sprint-5/security/S5-SEC-OWN-06-student-b-fixture-created.png</x:v>
      </x:c>
      <x:c r="G46" s="42" t="str">
        <x:v>Interview History records bound to the authenticated Student; Student B could not receive Student A history.</x:v>
      </x:c>
      <x:c r="H46" s="42" t="str">
        <x:v>PASS - screenshots and static evidence exclude passwords, JWT values, API keys, database credentials, and other secret values</x:v>
      </x:c>
      <x:c r="I46" s="42" t="str">
        <x:v>Jerald</x:v>
      </x:c>
      <x:c r="J46" s="44" t="n">
        <x:v>46301</x:v>
      </x:c>
      <x:c r="K46" s="42" t="str">
        <x:v>Interview History ownership binding and cross-user isolation verified.</x:v>
      </x:c>
    </x:row>
    <x:row r="47">
      <x:c r="A47" s="42" t="str">
        <x:v>EVD-046</x:v>
      </x:c>
      <x:c r="B47" s="42" t="str">
        <x:v>S5-SEC-IN-01</x:v>
      </x:c>
      <x:c r="C47" s="42" t="str">
        <x:v>Postman</x:v>
      </x:c>
      <x:c r="D47" s="42" t="str">
        <x:v>Yes</x:v>
      </x:c>
      <x:c r="E47" s="42" t="str">
        <x:v>Pass</x:v>
      </x:c>
      <x:c r="F47" s="42" t="str">
        <x:v>docs/testing/evidence/sprint-5/security/S5-SEC-IN-01A-public-registration-cannot-create-privileged-user-pass.png; docs/testing/evidence/sprint-5/security/S5-SEC-IN-01B-account-settings-protect-email-and-role-pass.png; docs/testing/evidence/sprint-5/security/S5-SEC-IN-01C-cover-letter-rejects-client-supplied-user-id-pass.png; docs/testing/evidence/sprint-5/security/S5-SEC-IN-01D-cover-letter-rejects-protected-prompt-controls-pass.png; docs/testing/evidence/sprint-5/security/S5-SEC-IN-01E-interview-questions-reject-client-supplied-user-id-pass.png; docs/testing/evidence/sprint-5/security/S5-SEC-IN-01F-interview-questions-reject-client-supplied-prompt-pass.png</x:v>
      </x:c>
      <x:c r="G47" s="42" t="str">
        <x:v>Protected role, ownership, profile identity, prompt, and system-prompt inputs were ignored or rejected according to endpoint contracts.</x:v>
      </x:c>
      <x:c r="H47" s="42" t="str">
        <x:v>PASS - screenshots and static evidence exclude passwords, JWT values, API keys, database credentials, and other secret values</x:v>
      </x:c>
      <x:c r="I47" s="42" t="str">
        <x:v>Jerald</x:v>
      </x:c>
      <x:c r="J47" s="44" t="n">
        <x:v>46301</x:v>
      </x:c>
      <x:c r="K47" s="42" t="str">
        <x:v>Server-controlled role, ownership, profile identity, and prompt boundaries verified.</x:v>
      </x:c>
    </x:row>
    <x:row r="48">
      <x:c r="A48" s="42" t="str">
        <x:v>EVD-047</x:v>
      </x:c>
      <x:c r="B48" s="42" t="str">
        <x:v>S5-SEC-IN-02</x:v>
      </x:c>
      <x:c r="C48" s="42" t="str">
        <x:v>Postman</x:v>
      </x:c>
      <x:c r="D48" s="42" t="str">
        <x:v>Yes</x:v>
      </x:c>
      <x:c r="E48" s="42" t="str">
        <x:v>Pass</x:v>
      </x:c>
      <x:c r="F48" s="42" t="str">
        <x:v>docs/testing/evidence/sprint-5/security/S5-SEC-RBAC-05C-invalid-admin-role-change-rejected-pass.png; docs/testing/evidence/sprint-5/security/S5-SEC-IN-02A-gif-profile-photo-rejected-pass.png; docs/testing/evidence/sprint-5/security/S5-SEC-IN-02B-oversized-profile-photo-rejected-pass.png; docs/testing/evidence/sprint-5/security/S5-SEC-IN-02C-invalid-skill-proficiency-rejected-pass.png; docs/testing/evidence/sprint-5/security/S5-SEC-IN-02D-missing-interest-reference-rejected-pass.png; docs/testing/evidence/sprint-5/security/S5-SEC-IN-02E-job-match-rejects-unknown-student-profile-field-pass.png</x:v>
      </x:c>
      <x:c r="G48" s="42" t="str">
        <x:v>Invalid roles, file types/sizes, proficiency values, missing references, and unsupported Job Match fields returned controlled validation errors.</x:v>
      </x:c>
      <x:c r="H48" s="42" t="str">
        <x:v>PASS - screenshots and static evidence exclude passwords, JWT values, API keys, database credentials, and other secret values</x:v>
      </x:c>
      <x:c r="I48" s="42" t="str">
        <x:v>Jerald</x:v>
      </x:c>
      <x:c r="J48" s="44" t="n">
        <x:v>46301</x:v>
      </x:c>
      <x:c r="K48" s="42" t="str">
        <x:v>RBAC-05C is reused as the mapped invalid-role evidence. All remaining IN-02 invalid-input checks passed.</x:v>
      </x:c>
    </x:row>
    <x:row r="49">
      <x:c r="A49" s="42" t="str">
        <x:v>EVD-048</x:v>
      </x:c>
      <x:c r="B49" s="42" t="str">
        <x:v>S5-SEC-AI-01</x:v>
      </x:c>
      <x:c r="C49" s="42" t="str">
        <x:v>Static Review</x:v>
      </x:c>
      <x:c r="D49" s="42" t="str">
        <x:v>Yes</x:v>
      </x:c>
      <x:c r="E49" s="42" t="str">
        <x:v>Pass</x:v>
      </x:c>
      <x:c r="F49" s="42" t="str">
        <x:v>docs/testing/evidence/sprint-5/security/S5-SEC-AI-01-approved-profile-context-privacy-mapper-tests-pass.png</x:v>
      </x:c>
      <x:c r="G49" s="42" t="str">
        <x:v>Mapped AI privacy tests passed and static review confirmed only the approved five Student Profile sections enter AI context.</x:v>
      </x:c>
      <x:c r="H49" s="42" t="str">
        <x:v>PASS - screenshots and static evidence exclude passwords, JWT values, API keys, database credentials, and other secret values</x:v>
      </x:c>
      <x:c r="I49" s="42" t="str">
        <x:v>Jerald</x:v>
      </x:c>
      <x:c r="J49" s="44" t="n">
        <x:v>46301</x:v>
      </x:c>
      <x:c r="K49" s="42" t="str">
        <x:v>Mapped provider-context tests passed 2/2. Static review of backend/ai_services/safety/privacy.py confirmed the five-section allowlist.</x:v>
      </x:c>
    </x:row>
    <x:row r="50">
      <x:c r="A50" s="42" t="str">
        <x:v>EVD-049</x:v>
      </x:c>
      <x:c r="B50" s="42" t="str">
        <x:v>S5-SEC-AI-02</x:v>
      </x:c>
      <x:c r="C50" s="42" t="str">
        <x:v>Static Review</x:v>
      </x:c>
      <x:c r="D50" s="42" t="str">
        <x:v>Yes</x:v>
      </x:c>
      <x:c r="E50" s="42" t="str">
        <x:v>Pass</x:v>
      </x:c>
      <x:c r="F50" s="42" t="str">
        <x:v>docs/testing/evidence/sprint-5/security/S5-SEC-AI-02-private-profile-fields-not-exposed-to-provider-prompt-pass.png</x:v>
      </x:c>
      <x:c r="G50" s="42" t="str">
        <x:v>Mapped provider-prompt tests passed and static review confirmed private identity, credential, interest, personality, URL, timestamp, and internal-ID data stay outside AI context.</x:v>
      </x:c>
      <x:c r="H50" s="42" t="str">
        <x:v>PASS - screenshots and static evidence exclude passwords, JWT values, API keys, database credentials, and other secret values</x:v>
      </x:c>
      <x:c r="I50" s="42" t="str">
        <x:v>Jerald</x:v>
      </x:c>
      <x:c r="J50" s="44" t="n">
        <x:v>46301</x:v>
      </x:c>
      <x:c r="K50" s="42" t="str">
        <x:v>Mapped private-field provider-prompt tests passed 2/2. Static exclusion rules reviewed.</x:v>
      </x:c>
    </x:row>
    <x:row r="51">
      <x:c r="A51" s="42" t="str">
        <x:v>EVD-050</x:v>
      </x:c>
      <x:c r="B51" s="42" t="str">
        <x:v>S5-SEC-AI-03</x:v>
      </x:c>
      <x:c r="C51" s="42" t="str">
        <x:v>Static Review</x:v>
      </x:c>
      <x:c r="D51" s="42" t="str">
        <x:v>Yes</x:v>
      </x:c>
      <x:c r="E51" s="42" t="str">
        <x:v>Pass</x:v>
      </x:c>
      <x:c r="F51" s="42" t="str">
        <x:v>docs/testing/evidence/sprint-5/security/S5-SEC-AI-03-controlled-ai-provider-failure-tests-pass.png</x:v>
      </x:c>
      <x:c r="G51" s="42" t="str">
        <x:v>Six mapped AI provider/validation failure tests passed. Static review confirmed controlled 502/503 responses and sanitised logging/error behaviour.</x:v>
      </x:c>
      <x:c r="H51" s="42" t="str">
        <x:v>PASS - no provider secret, stack trace, prompt, credential, API-key, token, or Student-content leakage observed</x:v>
      </x:c>
      <x:c r="I51" s="42" t="str">
        <x:v>Jerald</x:v>
      </x:c>
      <x:c r="J51" s="44" t="n">
        <x:v>46301</x:v>
      </x:c>
      <x:c r="K51" s="42" t="str">
        <x:v>Mapped provider-failure tests passed 6/6 and static error-handling review passed.</x:v>
      </x:c>
    </x:row>
    <x:row r="52">
      <x:c r="A52" s="42" t="str">
        <x:v>EVD-051</x:v>
      </x:c>
      <x:c r="B52" s="42" t="str">
        <x:v>S5-SEC-AI-04</x:v>
      </x:c>
      <x:c r="C52" s="42" t="str">
        <x:v>Static Review</x:v>
      </x:c>
      <x:c r="D52" s="42" t="str">
        <x:v>Yes</x:v>
      </x:c>
      <x:c r="E52" s="42" t="str">
        <x:v>Pass</x:v>
      </x:c>
      <x:c r="F52" s="42" t="str">
        <x:v>docs/testing/evidence/sprint-5/security/S5-SEC-AI-04-untrusted-content-and-deterministic-scoring-tests-pass.png</x:v>
      </x:c>
      <x:c r="G52" s="42" t="str">
        <x:v>Trust-boundary tests confirmed user-supplied content stays untrusted and Job Match scoring remains deterministic without the text AI provider.</x:v>
      </x:c>
      <x:c r="H52" s="42" t="str">
        <x:v>PASS - no secret values intentionally retained</x:v>
      </x:c>
      <x:c r="I52" s="42" t="str">
        <x:v>Jerald</x:v>
      </x:c>
      <x:c r="J52" s="44" t="n">
        <x:v>46301</x:v>
      </x:c>
      <x:c r="K52" s="42" t="str">
        <x:v>Mapped trust-boundary and deterministic-scoring tests passed 4/4.</x:v>
      </x:c>
    </x:row>
    <x:row r="53">
      <x:c r="A53" s="42" t="str">
        <x:v>EVD-052</x:v>
      </x:c>
      <x:c r="B53" s="42" t="str">
        <x:v>S5-SEC-AUD-01</x:v>
      </x:c>
      <x:c r="C53" s="42" t="str">
        <x:v>Postman</x:v>
      </x:c>
      <x:c r="D53" s="42" t="str">
        <x:v>Yes</x:v>
      </x:c>
      <x:c r="E53" s="42" t="str">
        <x:v>Pass</x:v>
      </x:c>
      <x:c r="F53" s="42" t="str">
        <x:v>docs/testing/evidence/sprint-5/security/S5-SEC-AUD-01A-administrator-creates-audited-career-pass.png; docs/testing/evidence/sprint-5/security/S5-SEC-AUD-01B-career-creation-audit-record-exists-pass.png; docs/testing/evidence/sprint-5/security/S5-SEC-AUD-01C-administrator-updates-audited-career-pass.png; docs/testing/evidence/sprint-5/security/S5-SEC-AUD-01D-career-update-audit-record-exists-pass.png; docs/testing/evidence/sprint-5/security/S5-SEC-AUD-01E-administrator-deletes-audited-career-pass.png; docs/testing/evidence/sprint-5/security/S5-SEC-AUD-01F-career-deletion-audit-record-exists-pass.png; docs/testing/evidence/sprint-5/security/S5-SEC-AUD-01G-administrator-resolves-learning-resource-report-pass.png; docs/testing/evidence/sprint-5/security/S5-SEC-AUD-01H-learning-resource-report-status-audit-record-exists-pass.png</x:v>
      </x:c>
      <x:c r="G53" s="42" t="str">
        <x:v>Career create/update/delete and Learning Resource Report status change produced the expected Administrator audit records and metadata.</x:v>
      </x:c>
      <x:c r="H53" s="42" t="str">
        <x:v>PASS - audit responses excluded passwords, tokens, API keys, and credentials</x:v>
      </x:c>
      <x:c r="I53" s="42" t="str">
        <x:v>Jerald</x:v>
      </x:c>
      <x:c r="J53" s="44" t="n">
        <x:v>46301</x:v>
      </x:c>
      <x:c r="K53" s="42" t="str">
        <x:v>Automated audit mutation tests passed 2/2. Postman lifecycle evidence passed.</x:v>
      </x:c>
    </x:row>
    <x:row r="54">
      <x:c r="A54" s="42" t="str">
        <x:v>EVD-053</x:v>
      </x:c>
      <x:c r="B54" s="42" t="str">
        <x:v>S5-SEC-AUD-02</x:v>
      </x:c>
      <x:c r="C54" s="42" t="str">
        <x:v>Postman</x:v>
      </x:c>
      <x:c r="D54" s="42" t="str">
        <x:v>Yes</x:v>
      </x:c>
      <x:c r="E54" s="42" t="str">
        <x:v>Pass</x:v>
      </x:c>
      <x:c r="F54" s="42" t="str">
        <x:v>docs/testing/evidence/sprint-5/security/S5-SEC-AUD-02-audit-access-read-only-safe-response-tests-pass.png; docs/testing/evidence/sprint-5/security/S5-SEC-AUD-02A-student-cannot-access-audit-records-pass.png; 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</x:v>
      </x:c>
      <x:c r="G54" s="42" t="str">
        <x:v>Administrator audit reads succeeded, Student access was denied, audit mutation was rejected, and response fields remained controlled.</x:v>
      </x:c>
      <x:c r="H54" s="42" t="str">
        <x:v>PASS - no user email, password, token, API-key, or audit-record leakage to Student</x:v>
      </x:c>
      <x:c r="I54" s="42" t="str">
        <x:v>Jerald</x:v>
      </x:c>
      <x:c r="J54" s="44" t="n">
        <x:v>46301</x:v>
      </x:c>
      <x:c r="K54" s="42" t="str">
        <x:v>Automated tests passed 3/3. RBAC-06 evidence reused where identical; AUD-02A added for Student denial.</x:v>
      </x:c>
    </x:row>
    <x:row r="55">
      <x:c r="A55" s="42" t="str">
        <x:v>EVD-054</x:v>
      </x:c>
      <x:c r="B55" s="42" t="str">
        <x:v>S5-SEC-AUD-03</x:v>
      </x:c>
      <x:c r="C55" s="42" t="str">
        <x:v>Static Review</x:v>
      </x:c>
      <x:c r="D55" s="42" t="str">
        <x:v>Yes</x:v>
      </x:c>
      <x:c r="E55" s="42" t="str">
        <x:v>Pass</x:v>
      </x:c>
      <x:c r="F55" s="42" t="str">
        <x:v>docs/testing/evidence/sprint-5/security/S5-SEC-AUD-03-safe-audit-and-error-handling-tests-pass.png</x:v>
      </x:c>
      <x:c r="G55" s="42" t="str">
        <x:v>Safe audit/error tests and static review confirmed sensitive metadata key blocking, controlled external-service audit fields, and safe validation categories.</x:v>
      </x:c>
      <x:c r="H55" s="42" t="str">
        <x:v>PASS - no passwords, JWTs, API keys, credentials, internal content, or Student answers retained in audit/log evidence</x:v>
      </x:c>
      <x:c r="I55" s="42" t="str">
        <x:v>Jerald</x:v>
      </x:c>
      <x:c r="J55" s="44" t="n">
        <x:v>46301</x:v>
      </x:c>
      <x:c r="K55" s="42" t="str">
        <x:v>Mapped safe audit/error tests passed 3/3.</x:v>
      </x:c>
    </x:row>
    <x:row r="56">
      <x:c r="A56" s="42" t="str">
        <x:v>EVD-055</x:v>
      </x:c>
      <x:c r="B56" s="42" t="str">
        <x:v>S5-SEC-SECRET-01</x:v>
      </x:c>
      <x:c r="C56" s="42" t="str">
        <x:v>Repository Review</x:v>
      </x:c>
      <x:c r="D56" s="42" t="str">
        <x:v>Yes</x:v>
      </x:c>
      <x:c r="E56" s="42" t="str">
        <x:v>Pass</x:v>
      </x:c>
      <x:c r="F56" s="42" t="str">
        <x:v>docs/testing/evidence/sprint-5/security/S5-SEC-SECRET-01A-backend-secret-name-and-ignore-review-pass.png; docs/testing/evidence/sprint-5/security/S5-SEC-SECRET-01B-backend-token-pattern-scan-pass.png</x:v>
      </x:c>
      <x:c r="G56" s="42" t="str">
        <x:v>Backend repository review found no tracked real secret files or real token-pattern matches. backend/.env is ignored.</x:v>
      </x:c>
      <x:c r="H56" s="42" t="str">
        <x:v>PASS - scan output intentionally showed names/pattern categories only, not secret values</x:v>
      </x:c>
      <x:c r="I56" s="42" t="str">
        <x:v>Jerald</x:v>
      </x:c>
      <x:c r="J56" s="44" t="n">
        <x:v>46301</x:v>
      </x:c>
      <x:c r="K56" s="42" t="str">
        <x:v>Secret-name hits were expected references/placeholders in env example, settings, tests, and documentation.</x:v>
      </x:c>
    </x:row>
    <x:row r="57">
      <x:c r="A57" s="42" t="str">
        <x:v>EVD-056</x:v>
      </x:c>
      <x:c r="B57" s="42" t="str">
        <x:v>S5-SEC-SECRET-02</x:v>
      </x:c>
      <x:c r="C57" s="42" t="str">
        <x:v>Repository Review</x:v>
      </x:c>
      <x:c r="D57" s="42" t="str">
        <x:v>Yes</x:v>
      </x:c>
      <x:c r="E57" s="42" t="str">
        <x:v>Pass</x:v>
      </x:c>
      <x:c r="F57" s="42" t="str">
        <x:v>docs/testing/evidence/sprint-5/security/S5-SEC-SECRET-02A-frontend-secret-name-and-ignore-review-pass.png; docs/testing/evidence/sprint-5/security/S5-SEC-SECRET-02B-frontend-token-pattern-scan-pass.png; docs/testing/evidence/sprint-5/security/S5-SEC-SECRET-02C-frontend-tracked-sensitive-filename-scan-pass.png</x:v>
      </x:c>
      <x:c r="G57" s="42" t="str">
        <x:v>Frontend repository review confirmed .env/.env.local are ignored, no sensitive filenames are tracked, and no real token-pattern matches were found.</x:v>
      </x:c>
      <x:c r="H57" s="42" t="str">
        <x:v>PASS - ACCESS_TOKEN and REFRESH_TOKEN hits were identifier names in authStorage.js, not retained token values</x:v>
      </x:c>
      <x:c r="I57" s="42" t="str">
        <x:v>Jerald</x:v>
      </x:c>
      <x:c r="J57" s="44" t="n">
        <x:v>46301</x:v>
      </x:c>
      <x:c r="K57" s="42" t="str">
        <x:v>No backend secret, API key, credential, or real JWT/token value found in tracked frontend source.</x:v>
      </x:c>
    </x:row>
    <x:row r="58">
      <x:c r="A58" s="42" t="str">
        <x:v>EVD-057</x:v>
      </x:c>
      <x:c r="B58" s="42" t="str">
        <x:v>S5-SEC-FE-01</x:v>
      </x:c>
      <x:c r="C58" s="42" t="str">
        <x:v>Browser / Integration</x:v>
      </x:c>
      <x:c r="D58" s="42" t="str">
        <x:v>Yes</x:v>
      </x:c>
      <x:c r="E58" s="42" t="str">
        <x:v>Blocked</x:v>
      </x:c>
      <x:c r="F58" s="42" t="str"/>
      <x:c r="G58" s="42" t="str"/>
      <x:c r="H58" s="42" t="str">
        <x:v>Do not retain passwords, tokens, API keys, database credentials, or secret values</x:v>
      </x:c>
      <x:c r="I58" s="42" t="str"/>
      <x:c r="J58" s="44" t="str"/>
      <x:c r="K58" s="42" t="str"/>
    </x:row>
    <x:row r="59">
      <x:c r="A59" s="42" t="str">
        <x:v>EVD-058</x:v>
      </x:c>
      <x:c r="B59" s="42" t="str">
        <x:v>S5-SEC-DEP-01</x:v>
      </x:c>
      <x:c r="C59" s="42" t="str">
        <x:v>Deployment Review</x:v>
      </x:c>
      <x:c r="D59" s="42" t="str">
        <x:v>Yes</x:v>
      </x:c>
      <x:c r="E59" s="42" t="str">
        <x:v>Deferred</x:v>
      </x:c>
      <x:c r="F59" s="42" t="str"/>
      <x:c r="G59" s="42" t="str"/>
      <x:c r="H59" s="42" t="str">
        <x:v>Do not retain passwords, tokens, API keys, database credentials, or secret values</x:v>
      </x:c>
      <x:c r="I59" s="42" t="str"/>
      <x:c r="J59" s="44" t="str"/>
      <x:c r="K59" s="42" t="str"/>
    </x:row>
    <x:row r="60">
      <x:c r="A60" s="42" t="str">
        <x:v>EVD-059</x:v>
      </x:c>
      <x:c r="B60" s="42" t="str">
        <x:v>S5-SEC-DEP-02</x:v>
      </x:c>
      <x:c r="C60" s="42" t="str">
        <x:v>Deployment Review</x:v>
      </x:c>
      <x:c r="D60" s="42" t="str">
        <x:v>Yes</x:v>
      </x:c>
      <x:c r="E60" s="42" t="str">
        <x:v>Deferred</x:v>
      </x:c>
      <x:c r="F60" s="42" t="str"/>
      <x:c r="G60" s="42" t="str"/>
      <x:c r="H60" s="42" t="str">
        <x:v>Do not retain passwords, tokens, API keys, database credentials, or secret values</x:v>
      </x:c>
      <x:c r="I60" s="42" t="str"/>
      <x:c r="J60" s="44" t="str"/>
      <x:c r="K60" s="42" t="str"/>
    </x:row>
    <x:row r="61">
      <x:c r="A61" t="str">
        <x:v>EVD-060</x:v>
      </x:c>
      <x:c r="B61" t="str">
        <x:v>WBS-8.3-CLEANUP</x:v>
      </x:c>
      <x:c r="C61" t="str">
        <x:v>Cleanup Verification</x:v>
      </x:c>
      <x:c r="D61" t="str">
        <x:v>No</x:v>
      </x:c>
      <x:c r="E61" t="str">
        <x:v>Pass</x:v>
      </x:c>
      <x:c r="F61" s="25" t="str">
        <x:v>docs/testing/evidence/sprint-5/security/S5-SEC-CLEANUP-01-temporary-test-data-cleanup-verified-pass.png</x:v>
      </x:c>
      <x:c r="G61" s="25" t="str">
        <x:v>Temporary audit Administrator, temporary report Student, related Student Profile, Learning Resource, Learning Resource Report, and temporary Administrator audit records were removed after evidence collection.</x:v>
      </x:c>
      <x:c r="H61" s="25" t="str">
        <x:v>PASS - cleanup output contains identifiers/counts only and retains the real test.student@gradnavi.local account</x:v>
      </x:c>
      <x:c r="I61" s="25" t="str">
        <x:v>Jerald</x:v>
      </x:c>
      <x:c r="J61" s="48" t="n">
        <x:v>46301</x:v>
      </x:c>
      <x:c r="K61" s="25" t="str">
        <x:v>Verification: temporary Administrator 0, temporary report Student 0, temporary resource 0, temporary report 0, real test Student 1.</x:v>
      </x:c>
    </x:row>
  </x:sheetData>
  <x:conditionalFormatting sqref="E2:E60">
    <x:cfRule type="expression" dxfId="8" priority="1">
      <x:formula>E2="Pass"</x:formula>
    </x:cfRule>
    <x:cfRule type="expression" dxfId="9" priority="2">
      <x:formula>E2="Pending"</x:formula>
    </x:cfRule>
    <x:cfRule type="expression" dxfId="10" priority="3">
      <x:formula>E2="Blocked"</x:formula>
    </x:cfRule>
    <x:cfRule type="expression" dxfId="11" priority="4">
      <x:formula>E2="Deferred"</x:formula>
    </x:cfRule>
  </x:conditionalFormatting>
  <x:dataValidations count="1">
    <x:dataValidation type="list" sqref="E2:E60">
      <x:formula1>"Pending,Pass,Fail,Blocked,Deferred,N/A"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76d90eeb63410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4" hidden="0" customWidth="1"/>
    <x:col min="4" max="4" width="14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16" hidden="0" customWidth="1"/>
    <x:col min="10" max="10" width="28" hidden="0" customWidth="1"/>
    <x:col min="11" max="11" width="16" hidden="0" customWidth="1"/>
    <x:col min="12" max="12" width="38" hidden="0" customWidth="1"/>
    <x:col min="13" max="13" width="34" hidden="0" customWidth="1"/>
  </x:cols>
  <x:sheetData>
    <x:row r="1">
      <x:c r="A1" s="37" t="str">
        <x:v>Defect ID</x:v>
      </x:c>
      <x:c r="B1" s="37" t="str">
        <x:v>Test Case ID</x:v>
      </x:c>
      <x:c r="C1" s="37" t="str">
        <x:v>Severity</x:v>
      </x:c>
      <x:c r="D1" s="37" t="str">
        <x:v>Priority</x:v>
      </x:c>
      <x:c r="E1" s="37" t="str">
        <x:v>Summary</x:v>
      </x:c>
      <x:c r="F1" s="37" t="str">
        <x:v>Expected Result</x:v>
      </x:c>
      <x:c r="G1" s="37" t="str">
        <x:v>Actual Result</x:v>
      </x:c>
      <x:c r="H1" s="37" t="str">
        <x:v>Owner</x:v>
      </x:c>
      <x:c r="I1" s="37" t="str">
        <x:v>Status</x:v>
      </x:c>
      <x:c r="J1" s="37" t="str">
        <x:v>Fix Branch / Commit</x:v>
      </x:c>
      <x:c r="K1" s="37" t="str">
        <x:v>Retest Result</x:v>
      </x:c>
      <x:c r="L1" s="37" t="str">
        <x:v>Evidence</x:v>
      </x:c>
      <x:c r="M1" s="37" t="str">
        <x:v>Notes</x:v>
      </x:c>
    </x:row>
    <x:row r="2">
      <x:c r="A2" s="42" t="str"/>
      <x:c r="B2" s="42" t="str"/>
      <x:c r="C2" s="42" t="str"/>
      <x:c r="D2" s="42" t="str"/>
      <x:c r="E2" s="42" t="str"/>
      <x:c r="F2" s="42" t="str"/>
      <x:c r="G2" s="42" t="str"/>
      <x:c r="H2" s="42" t="str"/>
      <x:c r="I2" s="42" t="str"/>
      <x:c r="J2" s="42" t="str"/>
      <x:c r="K2" s="42" t="str"/>
      <x:c r="L2" s="42" t="str"/>
      <x:c r="M2" s="42" t="str"/>
    </x:row>
    <x:row r="3">
      <x:c r="A3" s="42" t="str"/>
      <x:c r="B3" s="42" t="str"/>
      <x:c r="C3" s="42" t="str"/>
      <x:c r="D3" s="42" t="str"/>
      <x:c r="E3" s="42" t="str"/>
      <x:c r="F3" s="42" t="str"/>
      <x:c r="G3" s="42" t="str"/>
      <x:c r="H3" s="42" t="str"/>
      <x:c r="I3" s="42" t="str"/>
      <x:c r="J3" s="42" t="str"/>
      <x:c r="K3" s="42" t="str"/>
      <x:c r="L3" s="42" t="str"/>
      <x:c r="M3" s="42" t="str"/>
    </x:row>
    <x:row r="4">
      <x:c r="A4" s="42" t="str"/>
      <x:c r="B4" s="42" t="str"/>
      <x:c r="C4" s="42" t="str"/>
      <x:c r="D4" s="42" t="str"/>
      <x:c r="E4" s="42" t="str"/>
      <x:c r="F4" s="42" t="str"/>
      <x:c r="G4" s="42" t="str"/>
      <x:c r="H4" s="42" t="str"/>
      <x:c r="I4" s="42" t="str"/>
      <x:c r="J4" s="42" t="str"/>
      <x:c r="K4" s="42" t="str"/>
      <x:c r="L4" s="42" t="str"/>
      <x:c r="M4" s="42" t="str"/>
    </x:row>
    <x:row r="5">
      <x:c r="A5" s="42" t="str"/>
      <x:c r="B5" s="42" t="str"/>
      <x:c r="C5" s="42" t="str"/>
      <x:c r="D5" s="42" t="str"/>
      <x:c r="E5" s="42" t="str"/>
      <x:c r="F5" s="42" t="str"/>
      <x:c r="G5" s="42" t="str"/>
      <x:c r="H5" s="42" t="str"/>
      <x:c r="I5" s="42" t="str"/>
      <x:c r="J5" s="42" t="str"/>
      <x:c r="K5" s="42" t="str"/>
      <x:c r="L5" s="42" t="str"/>
      <x:c r="M5" s="42" t="str"/>
    </x:row>
    <x:row r="6">
      <x:c r="A6" s="42" t="str"/>
      <x:c r="B6" s="42" t="str"/>
      <x:c r="C6" s="42" t="str"/>
      <x:c r="D6" s="42" t="str"/>
      <x:c r="E6" s="42" t="str"/>
      <x:c r="F6" s="42" t="str"/>
      <x:c r="G6" s="42" t="str"/>
      <x:c r="H6" s="42" t="str"/>
      <x:c r="I6" s="42" t="str"/>
      <x:c r="J6" s="42" t="str"/>
      <x:c r="K6" s="42" t="str"/>
      <x:c r="L6" s="42" t="str"/>
      <x:c r="M6" s="42" t="str"/>
    </x:row>
    <x:row r="7">
      <x:c r="A7" s="42" t="str"/>
      <x:c r="B7" s="42" t="str"/>
      <x:c r="C7" s="42" t="str"/>
      <x:c r="D7" s="42" t="str"/>
      <x:c r="E7" s="42" t="str"/>
      <x:c r="F7" s="42" t="str"/>
      <x:c r="G7" s="42" t="str"/>
      <x:c r="H7" s="42" t="str"/>
      <x:c r="I7" s="42" t="str"/>
      <x:c r="J7" s="42" t="str"/>
      <x:c r="K7" s="42" t="str"/>
      <x:c r="L7" s="42" t="str"/>
      <x:c r="M7" s="42" t="str"/>
    </x:row>
    <x:row r="8">
      <x:c r="A8" s="42" t="str"/>
      <x:c r="B8" s="42" t="str"/>
      <x:c r="C8" s="42" t="str"/>
      <x:c r="D8" s="42" t="str"/>
      <x:c r="E8" s="42" t="str"/>
      <x:c r="F8" s="42" t="str"/>
      <x:c r="G8" s="42" t="str"/>
      <x:c r="H8" s="42" t="str"/>
      <x:c r="I8" s="42" t="str"/>
      <x:c r="J8" s="42" t="str"/>
      <x:c r="K8" s="42" t="str"/>
      <x:c r="L8" s="42" t="str"/>
      <x:c r="M8" s="42" t="str"/>
    </x:row>
    <x:row r="9">
      <x:c r="A9" s="42" t="str"/>
      <x:c r="B9" s="42" t="str"/>
      <x:c r="C9" s="42" t="str"/>
      <x:c r="D9" s="42" t="str"/>
      <x:c r="E9" s="42" t="str"/>
      <x:c r="F9" s="42" t="str"/>
      <x:c r="G9" s="42" t="str"/>
      <x:c r="H9" s="42" t="str"/>
      <x:c r="I9" s="42" t="str"/>
      <x:c r="J9" s="42" t="str"/>
      <x:c r="K9" s="42" t="str"/>
      <x:c r="L9" s="42" t="str"/>
      <x:c r="M9" s="42" t="str"/>
    </x:row>
    <x:row r="10">
      <x:c r="A10" s="42" t="str"/>
      <x:c r="B10" s="42" t="str"/>
      <x:c r="C10" s="42" t="str"/>
      <x:c r="D10" s="42" t="str"/>
      <x:c r="E10" s="42" t="str"/>
      <x:c r="F10" s="42" t="str"/>
      <x:c r="G10" s="42" t="str"/>
      <x:c r="H10" s="42" t="str"/>
      <x:c r="I10" s="42" t="str"/>
      <x:c r="J10" s="42" t="str"/>
      <x:c r="K10" s="42" t="str"/>
      <x:c r="L10" s="42" t="str"/>
      <x:c r="M10" s="42" t="str"/>
    </x:row>
    <x:row r="11">
      <x:c r="A11" s="42" t="str"/>
      <x:c r="B11" s="42" t="str"/>
      <x:c r="C11" s="42" t="str"/>
      <x:c r="D11" s="42" t="str"/>
      <x:c r="E11" s="42" t="str"/>
      <x:c r="F11" s="42" t="str"/>
      <x:c r="G11" s="42" t="str"/>
      <x:c r="H11" s="42" t="str"/>
      <x:c r="I11" s="42" t="str"/>
      <x:c r="J11" s="42" t="str"/>
      <x:c r="K11" s="42" t="str"/>
      <x:c r="L11" s="42" t="str"/>
      <x:c r="M11" s="42" t="str"/>
    </x:row>
    <x:row r="12">
      <x:c r="A12" s="42" t="str"/>
      <x:c r="B12" s="42" t="str"/>
      <x:c r="C12" s="42" t="str"/>
      <x:c r="D12" s="42" t="str"/>
      <x:c r="E12" s="42" t="str"/>
      <x:c r="F12" s="42" t="str"/>
      <x:c r="G12" s="42" t="str"/>
      <x:c r="H12" s="42" t="str"/>
      <x:c r="I12" s="42" t="str"/>
      <x:c r="J12" s="42" t="str"/>
      <x:c r="K12" s="42" t="str"/>
      <x:c r="L12" s="42" t="str"/>
      <x:c r="M12" s="42" t="str"/>
    </x:row>
    <x:row r="13">
      <x:c r="A13" s="42" t="str"/>
      <x:c r="B13" s="42" t="str"/>
      <x:c r="C13" s="42" t="str"/>
      <x:c r="D13" s="42" t="str"/>
      <x:c r="E13" s="42" t="str"/>
      <x:c r="F13" s="42" t="str"/>
      <x:c r="G13" s="42" t="str"/>
      <x:c r="H13" s="42" t="str"/>
      <x:c r="I13" s="42" t="str"/>
      <x:c r="J13" s="42" t="str"/>
      <x:c r="K13" s="42" t="str"/>
      <x:c r="L13" s="42" t="str"/>
      <x:c r="M13" s="42" t="str"/>
    </x:row>
    <x:row r="14">
      <x:c r="A14" s="42" t="str"/>
      <x:c r="B14" s="42" t="str"/>
      <x:c r="C14" s="42" t="str"/>
      <x:c r="D14" s="42" t="str"/>
      <x:c r="E14" s="42" t="str"/>
      <x:c r="F14" s="42" t="str"/>
      <x:c r="G14" s="42" t="str"/>
      <x:c r="H14" s="42" t="str"/>
      <x:c r="I14" s="42" t="str"/>
      <x:c r="J14" s="42" t="str"/>
      <x:c r="K14" s="42" t="str"/>
      <x:c r="L14" s="42" t="str"/>
      <x:c r="M14" s="42" t="str"/>
    </x:row>
    <x:row r="15">
      <x:c r="A15" s="42" t="str"/>
      <x:c r="B15" s="42" t="str"/>
      <x:c r="C15" s="42" t="str"/>
      <x:c r="D15" s="42" t="str"/>
      <x:c r="E15" s="42" t="str"/>
      <x:c r="F15" s="42" t="str"/>
      <x:c r="G15" s="42" t="str"/>
      <x:c r="H15" s="42" t="str"/>
      <x:c r="I15" s="42" t="str"/>
      <x:c r="J15" s="42" t="str"/>
      <x:c r="K15" s="42" t="str"/>
      <x:c r="L15" s="42" t="str"/>
      <x:c r="M15" s="42" t="str"/>
    </x:row>
    <x:row r="16">
      <x:c r="A16" s="42" t="str"/>
      <x:c r="B16" s="42" t="str"/>
      <x:c r="C16" s="42" t="str"/>
      <x:c r="D16" s="42" t="str"/>
      <x:c r="E16" s="42" t="str"/>
      <x:c r="F16" s="42" t="str"/>
      <x:c r="G16" s="42" t="str"/>
      <x:c r="H16" s="42" t="str"/>
      <x:c r="I16" s="42" t="str"/>
      <x:c r="J16" s="42" t="str"/>
      <x:c r="K16" s="42" t="str"/>
      <x:c r="L16" s="42" t="str"/>
      <x:c r="M16" s="42" t="str"/>
    </x:row>
    <x:row r="17">
      <x:c r="A17" s="42" t="str"/>
      <x:c r="B17" s="42" t="str"/>
      <x:c r="C17" s="42" t="str"/>
      <x:c r="D17" s="42" t="str"/>
      <x:c r="E17" s="42" t="str"/>
      <x:c r="F17" s="42" t="str"/>
      <x:c r="G17" s="42" t="str"/>
      <x:c r="H17" s="42" t="str"/>
      <x:c r="I17" s="42" t="str"/>
      <x:c r="J17" s="42" t="str"/>
      <x:c r="K17" s="42" t="str"/>
      <x:c r="L17" s="42" t="str"/>
      <x:c r="M17" s="42" t="str"/>
    </x:row>
    <x:row r="18">
      <x:c r="A18" s="42" t="str"/>
      <x:c r="B18" s="42" t="str"/>
      <x:c r="C18" s="42" t="str"/>
      <x:c r="D18" s="42" t="str"/>
      <x:c r="E18" s="42" t="str"/>
      <x:c r="F18" s="42" t="str"/>
      <x:c r="G18" s="42" t="str"/>
      <x:c r="H18" s="42" t="str"/>
      <x:c r="I18" s="42" t="str"/>
      <x:c r="J18" s="42" t="str"/>
      <x:c r="K18" s="42" t="str"/>
      <x:c r="L18" s="42" t="str"/>
      <x:c r="M18" s="42" t="str"/>
    </x:row>
    <x:row r="19">
      <x:c r="A19" s="42" t="str"/>
      <x:c r="B19" s="42" t="str"/>
      <x:c r="C19" s="42" t="str"/>
      <x:c r="D19" s="42" t="str"/>
      <x:c r="E19" s="42" t="str"/>
      <x:c r="F19" s="42" t="str"/>
      <x:c r="G19" s="42" t="str"/>
      <x:c r="H19" s="42" t="str"/>
      <x:c r="I19" s="42" t="str"/>
      <x:c r="J19" s="42" t="str"/>
      <x:c r="K19" s="42" t="str"/>
      <x:c r="L19" s="42" t="str"/>
      <x:c r="M19" s="42" t="str"/>
    </x:row>
    <x:row r="20">
      <x:c r="A20" s="42" t="str"/>
      <x:c r="B20" s="42" t="str"/>
      <x:c r="C20" s="42" t="str"/>
      <x:c r="D20" s="42" t="str"/>
      <x:c r="E20" s="42" t="str"/>
      <x:c r="F20" s="42" t="str"/>
      <x:c r="G20" s="42" t="str"/>
      <x:c r="H20" s="42" t="str"/>
      <x:c r="I20" s="42" t="str"/>
      <x:c r="J20" s="42" t="str"/>
      <x:c r="K20" s="42" t="str"/>
      <x:c r="L20" s="42" t="str"/>
      <x:c r="M20" s="42" t="str"/>
    </x:row>
    <x:row r="21">
      <x:c r="A21" s="42" t="str"/>
      <x:c r="B21" s="42" t="str"/>
      <x:c r="C21" s="42" t="str"/>
      <x:c r="D21" s="42" t="str"/>
      <x:c r="E21" s="42" t="str"/>
      <x:c r="F21" s="42" t="str"/>
      <x:c r="G21" s="42" t="str"/>
      <x:c r="H21" s="42" t="str"/>
      <x:c r="I21" s="42" t="str"/>
      <x:c r="J21" s="42" t="str"/>
      <x:c r="K21" s="42" t="str"/>
      <x:c r="L21" s="42" t="str"/>
      <x:c r="M21" s="42" t="str"/>
    </x:row>
  </x:sheetData>
  <x:dataValidations count="4">
    <x:dataValidation type="list" sqref="C2:C21">
      <x:formula1>"Critical,High,Medium,Low"</x:formula1>
    </x:dataValidation>
    <x:dataValidation type="list" sqref="D2:D21">
      <x:formula1>"Critical,High,Medium,Low"</x:formula1>
    </x:dataValidation>
    <x:dataValidation type="list" sqref="I2:I21">
      <x:formula1>"Open,In Progress,Fixed,Retest,Closed"</x:formula1>
    </x:dataValidation>
    <x:dataValidation type="list" sqref="K2:K21">
      <x:formula1>"Not Run,Pass,Fail,N/A"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4fd13affcc44a3"/>
  </x:tableParts>
</x:worksheet>
</file>