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08_Personals\School Portfolio\GradNavi\docs\testing\"/>
    </mc:Choice>
  </mc:AlternateContent>
  <xr:revisionPtr revIDLastSave="0" documentId="13_ncr:1_{7785C65D-DEF6-40C9-AD06-7EE61FC423FB}" xr6:coauthVersionLast="47" xr6:coauthVersionMax="47" xr10:uidLastSave="{00000000-0000-0000-0000-000000000000}"/>
  <bookViews>
    <workbookView xWindow="-120" yWindow="16080" windowWidth="29040" windowHeight="15720" activeTab="1" xr2:uid="{00000000-000D-0000-FFFF-FFFF00000000}"/>
  </bookViews>
  <sheets>
    <sheet name="Summary" sheetId="1" r:id="rId1"/>
    <sheet name="Test Cases" sheetId="2" r:id="rId2"/>
    <sheet name="Evidence Register" sheetId="3" r:id="rId3"/>
    <sheet name="Defect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1" i="2" l="1"/>
  <c r="B17" i="1"/>
  <c r="B16" i="1"/>
  <c r="B15" i="1"/>
  <c r="B14" i="1"/>
  <c r="E13" i="1"/>
  <c r="B13" i="1"/>
  <c r="E4" i="1"/>
</calcChain>
</file>

<file path=xl/sharedStrings.xml><?xml version="1.0" encoding="utf-8"?>
<sst xmlns="http://schemas.openxmlformats.org/spreadsheetml/2006/main" count="1317" uniqueCount="538">
  <si>
    <t>GradNavi WBS 8.3 Security and Permission Test Tracker</t>
  </si>
  <si>
    <t>Tracker Metadata</t>
  </si>
  <si>
    <t>Value</t>
  </si>
  <si>
    <t>Status</t>
  </si>
  <si>
    <t>Count</t>
  </si>
  <si>
    <t>WBS</t>
  </si>
  <si>
    <t>8.3 Security and Permission Testing</t>
  </si>
  <si>
    <t>Total</t>
  </si>
  <si>
    <t>Owner</t>
  </si>
  <si>
    <t>Jerald</t>
  </si>
  <si>
    <t>Not Run</t>
  </si>
  <si>
    <t>Branch</t>
  </si>
  <si>
    <t>Pass</t>
  </si>
  <si>
    <t>Automated regression</t>
  </si>
  <si>
    <t>330 tests PASS</t>
  </si>
  <si>
    <t>Fail</t>
  </si>
  <si>
    <t>Automated evidence</t>
  </si>
  <si>
    <t>docs/testing/evidence/sprint-5/security/automated-security-regression.txt</t>
  </si>
  <si>
    <t>Blocked</t>
  </si>
  <si>
    <t>Current phase</t>
  </si>
  <si>
    <t>Deferred</t>
  </si>
  <si>
    <t>Execution Method</t>
  </si>
  <si>
    <t>Evidence Layer</t>
  </si>
  <si>
    <t>POSTMAN + AUTOMATED</t>
  </si>
  <si>
    <t>Automated Pass</t>
  </si>
  <si>
    <t>AUTOMATED + STATIC</t>
  </si>
  <si>
    <t>Manual/Review Pass</t>
  </si>
  <si>
    <t>REPOSITORY REVIEW</t>
  </si>
  <si>
    <t>Manual/Review Pending</t>
  </si>
  <si>
    <t>BROWSER / INTEGRATION</t>
  </si>
  <si>
    <t>Manual/Review Blocked</t>
  </si>
  <si>
    <t>DEPLOYMENT REVIEW</t>
  </si>
  <si>
    <t>Manual/Review Deferred</t>
  </si>
  <si>
    <t>Tracker rule: a WBS test case becomes Pass only after every required evidence layer for that case passes.</t>
  </si>
  <si>
    <t>Test Case ID</t>
  </si>
  <si>
    <t>Security Area</t>
  </si>
  <si>
    <t>Test Objective</t>
  </si>
  <si>
    <t>Expected Result</t>
  </si>
  <si>
    <t>Evidence Method</t>
  </si>
  <si>
    <t>Automated Test Reference</t>
  </si>
  <si>
    <t>HTTP Method</t>
  </si>
  <si>
    <t>Endpoint</t>
  </si>
  <si>
    <t>Authentication State</t>
  </si>
  <si>
    <t>Expected HTTP Status</t>
  </si>
  <si>
    <t>Automated Evidence</t>
  </si>
  <si>
    <t>Manual / Review Evidence</t>
  </si>
  <si>
    <t>Actual HTTP Status</t>
  </si>
  <si>
    <t>Actual Result</t>
  </si>
  <si>
    <t>Tester</t>
  </si>
  <si>
    <t>Execution Date</t>
  </si>
  <si>
    <t>Evidence File</t>
  </si>
  <si>
    <t>Defect ID</t>
  </si>
  <si>
    <t>Retest Status</t>
  </si>
  <si>
    <t>Notes</t>
  </si>
  <si>
    <t>Source / Implementation Files</t>
  </si>
  <si>
    <t>S5-SEC-AUTH-01</t>
  </si>
  <si>
    <t>Authentication</t>
  </si>
  <si>
    <t>Verify valid credentials authenticate and return JWT access and refresh tokens with safe user fields only.</t>
  </si>
  <si>
    <t>Valid Student login returns HTTP 200, access and refresh JWTs, and safe user fields without password or privileged-field leakage.</t>
  </si>
  <si>
    <t>LoginAPITests.test_successful_login_returns_tokens_and_safe_user_information; LoginAPITests.test_successful_login_issues_valid_jwt_tokens</t>
  </si>
  <si>
    <t>POST</t>
  </si>
  <si>
    <t>/api/v1/auth/login/</t>
  </si>
  <si>
    <t>Unauthenticated</t>
  </si>
  <si>
    <t>200</t>
  </si>
  <si>
    <t>Valid Student login returned HTTP 200 with access and refresh JWTs and safe user fields only.</t>
  </si>
  <si>
    <t>docs/testing/evidence/sprint-5/security/S5-SEC-AUTH-01-valid-student-login-pass.png</t>
  </si>
  <si>
    <t>Not Required</t>
  </si>
  <si>
    <t>Postman validation passed 6/6.</t>
  </si>
  <si>
    <t>backend/accounts/views.py; backend/accounts/serializers.py; backend/accounts/tests.py</t>
  </si>
  <si>
    <t>S5-SEC-AUTH-02</t>
  </si>
  <si>
    <t>Verify wrong password and unknown email return the same safe authentication error.</t>
  </si>
  <si>
    <t>Wrong password and unknown email both return HTTP 401 with the same safe invalid-credentials error and no account-discovery detail.</t>
  </si>
  <si>
    <t>LoginAPITests.test_wrong_password_is_rejected_with_safe_error; LoginAPITests.test_nonexistent_email_is_rejected_with_same_safe_error; LoginAPITests.test_wrong_password_and_nonexistent_email_return_same_error</t>
  </si>
  <si>
    <t>401</t>
  </si>
  <si>
    <t>401 for both negative login checks</t>
  </si>
  <si>
    <t>Wrong password and unknown email both returned the same safe HTTP 401 invalid-credentials response without account information leakage.</t>
  </si>
  <si>
    <t>docs/testing/evidence/sprint-5/security/S5-SEC-AUTH-02A-wrong-password-rejected-pass.png; docs/testing/evidence/sprint-5/security/S5-SEC-AUTH-02B-unknown-email-rejected-pass.png</t>
  </si>
  <si>
    <t>Wrong-password and unknown-email Postman checks passed.</t>
  </si>
  <si>
    <t>backend/accounts/views.py; backend/accounts/tests.py</t>
  </si>
  <si>
    <t>S5-SEC-AUTH-03</t>
  </si>
  <si>
    <t>Verify protected APIs reject missing, malformed, invalid, or inappropriate authentication tokens.</t>
  </si>
  <si>
    <t>Protected endpoint returns HTTP 401 for missing Bearer token, malformed token, and refresh token used as access authentication.</t>
  </si>
  <si>
    <t>CurrentUserAPITests.test_missing_authorization_header_is_rejected; CurrentUserAPITests.test_malformed_token_is_rejected; CurrentUserAPITests.test_refresh_token_cannot_authenticate_current_user_endpoint</t>
  </si>
  <si>
    <t>GET</t>
  </si>
  <si>
    <t>/api/v1/auth/me/</t>
  </si>
  <si>
    <t>Missing / invalid / refresh-as-access</t>
  </si>
  <si>
    <t>401 for all three rejection checks</t>
  </si>
  <si>
    <t>Missing authorization, malformed access token, and refresh-token-as-access attempts were rejected with safe HTTP 401 responses.</t>
  </si>
  <si>
    <t>docs/testing/evidence/sprint-5/security/S5-SEC-AUTH-03A-missing-authorization-rejected-pass.png; docs/testing/evidence/sprint-5/security/S5-SEC-AUTH-03B-malformed-access-token-rejected-pass.png; docs/testing/evidence/sprint-5/security/S5-SEC-AUTH-03C-refresh-token-rejected-as-access-pass.png</t>
  </si>
  <si>
    <t>All protected-endpoint authentication rejection checks passed.</t>
  </si>
  <si>
    <t>S5-SEC-AUTH-04</t>
  </si>
  <si>
    <t>Verify refresh-token rotation works and the previous refresh token is rejected after rotation.</t>
  </si>
  <si>
    <t>Valid refresh returns HTTP 200 with rotated tokens. Reuse of the previous refresh token returns HTTP 401. The new refresh token remains usable.</t>
  </si>
  <si>
    <t>TokenRefreshAPITests.test_valid_refresh_token_succeeds_and_returns_rotated_tokens; TokenRefreshAPITests.test_original_refresh_token_cannot_be_reused_after_rotation; TokenRefreshAPITests.test_new_rotated_refresh_token_can_be_used_for_another_refresh</t>
  </si>
  <si>
    <t>/api/v1/auth/token/refresh/</t>
  </si>
  <si>
    <t>Refresh token</t>
  </si>
  <si>
    <t>200 then 401 on old-token reuse</t>
  </si>
  <si>
    <t>200, 401, 200</t>
  </si>
  <si>
    <t>Refresh rotation succeeded, the original refresh token was rejected after rotation, and the rotated refresh token remained usable.</t>
  </si>
  <si>
    <t>docs/testing/evidence/sprint-5/security/S5-SEC-AUTH-04A-refresh-token-rotation-succeeds-pass.png; docs/testing/evidence/sprint-5/security/S5-SEC-AUTH-04B-original-refresh-token-reuse-rejected-pass.png; docs/testing/evidence/sprint-5/security/S5-SEC-AUTH-04C-rotated-refresh-token-works-pass.png</t>
  </si>
  <si>
    <t>JWT refresh-token rotation contract verified.</t>
  </si>
  <si>
    <t>backend/accounts/urls.py; backend/gradnavi/settings.py; backend/accounts/tests.py</t>
  </si>
  <si>
    <t>S5-SEC-AUTH-05</t>
  </si>
  <si>
    <t>Verify logout blacklists the submitted refresh token and follows the documented access-token expiry behaviour.</t>
  </si>
  <si>
    <t>Authenticated logout returns HTTP 200. The submitted refresh token is rejected with HTTP 401 afterwards. Existing access token behaviour matches the documented expiry model.</t>
  </si>
  <si>
    <t>LogoutAPITests.test_successful_logout_blacklists_submitted_refresh_token; LogoutAPITests.test_existing_access_token_remains_usable_until_expiry_after_logout</t>
  </si>
  <si>
    <t>/api/v1/auth/logout/</t>
  </si>
  <si>
    <t>Student Bearer + refresh token body</t>
  </si>
  <si>
    <t>200; refresh reuse 401</t>
  </si>
  <si>
    <t>Logout succeeded, the submitted refresh token was blacklisted and rejected, and the already-issued access token remained valid until expiry.</t>
  </si>
  <si>
    <t>docs/testing/evidence/sprint-5/security/S5-SEC-AUTH-05A-student-logout-succeeds-pass.png; docs/testing/evidence/sprint-5/security/S5-SEC-AUTH-05B-logged-out-refresh-token-rejected-pass.png; docs/testing/evidence/sprint-5/security/S5-SEC-AUTH-05C-existing-access-token-remains-valid-pass.png</t>
  </si>
  <si>
    <t>Logout and documented access-token expiry behaviour verified.</t>
  </si>
  <si>
    <t>backend/accounts/views.py; backend/accounts/tests.py; backend/gradnavi/settings.py</t>
  </si>
  <si>
    <t>S5-SEC-AUTH-06</t>
  </si>
  <si>
    <t>Verify password reset and authenticated password change enforce approved validation without exposing account-sensitive information.</t>
  </si>
  <si>
    <t>Password-reset request uses a safe non-enumerating response. Password change requires authentication, correct current password, matching confirmation, and an accepted new password.</t>
  </si>
  <si>
    <t>PasswordResetAPITests.test_unknown_email_request_returns_same_safe_response_and_sends_no_email; PasswordResetAPITests.test_reset_request_response_does_not_expose_uid_or_token; PasswordChangeAPITests.test_valid_password_change_succeeds; PasswordChangeAPITests.test_incorrect_current_password_is_rejected; PasswordChangeAPITests.test_weak_new_password_is_rejected</t>
  </si>
  <si>
    <t>/api/v1/auth/password/reset/; /api/v1/auth/password/change/</t>
  </si>
  <si>
    <t>Unauthenticated reset; Student Bearer change</t>
  </si>
  <si>
    <t>Safe reset response; 200 valid change; 400 invalid change</t>
  </si>
  <si>
    <t>200, 200, 400, 400, 200, 200</t>
  </si>
  <si>
    <t>Password reset used safe non-enumerating responses. Incorrect current password and weak new password were rejected. Valid password change succeeded and the original Student password was restored.</t>
  </si>
  <si>
    <t>docs/testing/evidence/sprint-5/security/S5-SEC-AUTH-06A-password-reset-safe-response-pass.png; docs/testing/evidence/sprint-5/security/S5-SEC-AUTH-06B-unknown-email-reset-safe-response-pass.png; docs/testing/evidence/sprint-5/security/S5-SEC-AUTH-06C-incorrect-current-password-rejected-pass.png; docs/testing/evidence/sprint-5/security/S5-SEC-AUTH-06D-weak-new-password-rejected-pass.png; docs/testing/evidence/sprint-5/security/S5-SEC-AUTH-06E-valid-password-change-succeeds-pass.png; docs/testing/evidence/sprint-5/security/S5-SEC-AUTH-06F-original-password-restored-pass.png</t>
  </si>
  <si>
    <t>Original Student test password restored after valid-change verification.</t>
  </si>
  <si>
    <t>S5-SEC-RBAC-01</t>
  </si>
  <si>
    <t>Authorization / RBAC</t>
  </si>
  <si>
    <t>Verify unauthenticated requests receive 401 for Administrator endpoints.</t>
  </si>
  <si>
    <t>Representative Administrator list and detail endpoints return HTTP 401 without authentication.</t>
  </si>
  <si>
    <t>AdministrationPermissionTests.test_unauthenticated_users_cannot_access_admin_endpoints; AdministrationPermissionTests.test_non_admins_cannot_access_admin_detail_endpoints</t>
  </si>
  <si>
    <t>/api/v1/administration/users/; /api/v1/administration/audit-records/</t>
  </si>
  <si>
    <t>401 for collection and detail requests</t>
  </si>
  <si>
    <t>Unauthenticated requests to Administrator collection and user-detail endpoints were rejected with HTTP 401 and exposed no protected data.</t>
  </si>
  <si>
    <t>docs/testing/evidence/sprint-5/security/S5-SEC-RBAC-01A-unauthenticated-admin-users-rejected-pass.png; docs/testing/evidence/sprint-5/security/S5-SEC-RBAC-01B-unauthenticated-admin-user-detail-rejected-pass.png</t>
  </si>
  <si>
    <t>Unauthenticated Administrator endpoint protection verified.</t>
  </si>
  <si>
    <t>backend/administration/permissions.py; backend/administration/views.py; backend/administration/tests.py</t>
  </si>
  <si>
    <t>S5-SEC-RBAC-02</t>
  </si>
  <si>
    <t>Verify Student accounts receive 403 for Administrator list and detail endpoints.</t>
  </si>
  <si>
    <t>Representative Administrator endpoints return HTTP 403 when called with a Student token.</t>
  </si>
  <si>
    <t>AdministrationPermissionTests.test_students_cannot_access_admin_endpoints; AdministrationPermissionTests.test_non_admins_cannot_access_admin_detail_endpoints</t>
  </si>
  <si>
    <t>/api/v1/administration/users/; /api/v1/administration/analytics/</t>
  </si>
  <si>
    <t>Student Bearer</t>
  </si>
  <si>
    <t>403</t>
  </si>
  <si>
    <t>403 for collection and detail requests</t>
  </si>
  <si>
    <t>Authenticated Student requests to Administrator collection and detail endpoints were rejected with permission_denied and HTTP 403.</t>
  </si>
  <si>
    <t>docs/testing/evidence/sprint-5/security/S5-SEC-RBAC-02A-student-admin-users-access-rejected-pass.png; docs/testing/evidence/sprint-5/security/S5-SEC-RBAC-02B-student-admin-user-detail-rejected-pass.png</t>
  </si>
  <si>
    <t>Student-to-Administrator RBAC boundary verified.</t>
  </si>
  <si>
    <t>backend/administration/permissions.py; backend/administration/tests.py</t>
  </si>
  <si>
    <t>S5-SEC-RBAC-03</t>
  </si>
  <si>
    <t>Verify Student accounts cannot perform Administrator create, update, delete, role, status, report-review, analytics, or audit operations.</t>
  </si>
  <si>
    <t>Student requests to Administrator mutation and protected read endpoints are denied with HTTP 403.</t>
  </si>
  <si>
    <t>AdministrationPermissionTests.test_student_cannot_create_career; AdminUserRoleStatusAuditTests.test_student_cannot_change_role_or_status; AdminLearningResourceReportReviewTests.test_student_cannot_access_report_detail_or_update</t>
  </si>
  <si>
    <t>POST/PATCH/DELETE/GET</t>
  </si>
  <si>
    <t>/api/v1/administration/*</t>
  </si>
  <si>
    <t>403 for all attempted Administrator operations</t>
  </si>
  <si>
    <t>Student create, update, delete, role, status, report-review, analytics, and audit operations were rejected with HTTP 403. Temporary report and learning-resource records were removed after testing.</t>
  </si>
  <si>
    <t>docs/testing/evidence/sprint-5/security/S5-SEC-RBAC-03A-student-admin-career-create-rejected-pass.png; docs/testing/evidence/sprint-5/security/S5-SEC-RBAC-03B-student-admin-role-change-rejected-pass.png; docs/testing/evidence/sprint-5/security/S5-SEC-RBAC-03C-student-admin-status-change-rejected-pass.png; docs/testing/evidence/sprint-5/security/S5-SEC-RBAC-03D-student-admin-analytics-access-rejected-pass.png; docs/testing/evidence/sprint-5/security/S5-SEC-RBAC-03E-student-admin-audit-access-rejected-pass.png; docs/testing/evidence/sprint-5/security/S5-SEC-RBAC-03F1-student-admin-report-detail-access-rejected-pass.png; docs/testing/evidence/sprint-5/security/S5-SEC-RBAC-03F2-student-admin-report-update-rejected-pass.png; docs/testing/evidence/sprint-5/security/S5-SEC-RBAC-03G-student-admin-resource-update-rejected-pass.png; docs/testing/evidence/sprint-5/security/S5-SEC-RBAC-03H-student-admin-resource-delete-rejected-pass.png</t>
  </si>
  <si>
    <t>All planned RBAC-03 Student denial operations passed. Temporary test records were cleaned up.</t>
  </si>
  <si>
    <t>S5-SEC-RBAC-04</t>
  </si>
  <si>
    <t>Verify general Administrator user editing cannot modify role or active status through the general user endpoint.</t>
  </si>
  <si>
    <t>General user-detail update preserves role and active status as server-controlled fields.</t>
  </si>
  <si>
    <t>AdminUserManagementTests.test_admin_cannot_change_role_or_active_status</t>
  </si>
  <si>
    <t>PATCH</t>
  </si>
  <si>
    <t>/api/v1/administration/users/&lt;id&gt;/</t>
  </si>
  <si>
    <t>Administrator Bearer</t>
  </si>
  <si>
    <t>200 with role/status unchanged</t>
  </si>
  <si>
    <t>General Administrator user-detail PATCH returned HTTP 200 while preserving role=admin and is_active=true. Sensitive authentication data was not exposed.</t>
  </si>
  <si>
    <t>docs/testing/evidence/sprint-5/security/S5-SEC-RBAC-04-general-admin-user-edit-protects-role-status-pass.png</t>
  </si>
  <si>
    <t>General user-edit endpoint preserved server-controlled role and active status. Postman checks passed 6/6.</t>
  </si>
  <si>
    <t>backend/administration/serializers.py; backend/administration/views.py; backend/administration/tests.py</t>
  </si>
  <si>
    <t>S5-SEC-RBAC-05</t>
  </si>
  <si>
    <t>Verify role and active-status changes use dedicated Administrator-only endpoints and reject invalid role values.</t>
  </si>
  <si>
    <t>Valid dedicated role/status changes succeed for an Administrator. Invalid role values are rejected. Student and unauthenticated callers are denied.</t>
  </si>
  <si>
    <t>AdminUserRoleStatusAuditTests.test_admin_can_change_user_role_through_dedicated_endpoint; AdminUserRoleStatusAuditTests.test_admin_can_change_user_active_status_through_dedicated_endpoint; AdminUserRoleStatusAuditTests.test_invalid_role_change_is_rejected</t>
  </si>
  <si>
    <t>/api/v1/administration/users/&lt;id&gt;/role/; /api/v1/administration/users/&lt;id&gt;/status/</t>
  </si>
  <si>
    <t>200 valid; 400 invalid role</t>
  </si>
  <si>
    <t>200, 200, 400</t>
  </si>
  <si>
    <t>Dedicated Administrator role and status endpoints accepted valid changes. An invalid role value returned a controlled HTTP 400 validation response.</t>
  </si>
  <si>
    <t>docs/testing/evidence/sprint-5/security/S5-SEC-RBAC-05A-dedicated-admin-role-change-succeeds-pass.png; docs/testing/evidence/sprint-5/security/S5-SEC-RBAC-05B-dedicated-admin-status-change-succeeds-pass.png; docs/testing/evidence/sprint-5/security/S5-SEC-RBAC-05C-invalid-admin-role-change-rejected-pass.png</t>
  </si>
  <si>
    <t>Dedicated role/status endpoint contract verified. Invalid role validation passed 6/6.</t>
  </si>
  <si>
    <t>S5-SEC-RBAC-06</t>
  </si>
  <si>
    <t>Verify audit and analytics endpoints are Administrator-only, audit records are read-only, and responses do not expose unnecessary Student information.</t>
  </si>
  <si>
    <t>Administrator reads succeed. Student access is denied. Audit mutation is not allowed. Analytics and audit responses omit unnecessary Student identity information.</t>
  </si>
  <si>
    <t>AdminAuditRecordTests.test_admin_can_list_and_retrieve_audit_records; AdminAuditRecordTests.test_audit_records_endpoint_is_read_only; AdminAuditRecordTests.test_audit_response_does_not_expose_user_email; AdminAnalyticsTests.test_analytics_response_exposes_no_student_data</t>
  </si>
  <si>
    <t>GET + write attempt</t>
  </si>
  <si>
    <t>/api/v1/administration/audit-records/; /api/v1/administration/analytics/</t>
  </si>
  <si>
    <t>Administrator / Student</t>
  </si>
  <si>
    <t>200 admin; 403 student; 405 audit write</t>
  </si>
  <si>
    <t>200, 200, 405, 200</t>
  </si>
  <si>
    <t>Administrator audit list/detail and analytics reads succeeded. Audit write was rejected with HTTP 405. Responses excluded unnecessary identity, password, and token values.</t>
  </si>
  <si>
    <t>docs/testing/evidence/sprint-5/security/S5-SEC-RBAC-06A-administrator-audit-records-list-succeeds-pass.png; docs/testing/evidence/sprint-5/security/S5-SEC-RBAC-06B-administrator-audit-record-detail-succeeds-pass.png; docs/testing/evidence/sprint-5/security/S5-SEC-RBAC-06C-audit-records-endpoint-read-only-pass.png; docs/testing/evidence/sprint-5/security/S5-SEC-RBAC-06D-administrator-analytics-response-safe-pass.png</t>
  </si>
  <si>
    <t>Audit read-only behaviour and analytics response minimisation verified.</t>
  </si>
  <si>
    <t>backend/administration/views.py; backend/administration/serializers.py; backend/administration/tests.py</t>
  </si>
  <si>
    <t>S5-SEC-OWN-01</t>
  </si>
  <si>
    <t>Object Ownership</t>
  </si>
  <si>
    <t>Verify Student Profile GET resolves only the authenticated user's profile and does not expose another Student profile.</t>
  </si>
  <si>
    <t>Authenticated GET returns only the caller's Student Profile. Cross-user profile data is absent.</t>
  </si>
  <si>
    <t>StudentProfileReadAPITests.test_get_uses_authenticated_user_and_does_not_leak_cross_user_data</t>
  </si>
  <si>
    <t>/api/v1/profile/</t>
  </si>
  <si>
    <t>Student Profile GET used the authenticated Student context. Cross-user query identifiers did not expose another profile, career goal, or ownership fields.</t>
  </si>
  <si>
    <t>docs/testing/evidence/sprint-5/security/S5-SEC-OWN-01-student-profile-ignores-cross-user-identifiers-pass.png</t>
  </si>
  <si>
    <t>Authenticated-profile isolation passed 6/6.</t>
  </si>
  <si>
    <t>backend/profiles/views.py; backend/profiles/tests.py</t>
  </si>
  <si>
    <t>S5-SEC-OWN-02</t>
  </si>
  <si>
    <t>Verify Student Profile PATCH rejects ownership spoofing through identifiers, nested records, query parameters, or protected fields.</t>
  </si>
  <si>
    <t>Ownership identifiers and cross-user nested record IDs are rejected. Another Student profile is not modified.</t>
  </si>
  <si>
    <t>StudentProfilePatchAPITests.test_client_supplied_ownership_identifiers_are_rejected; StudentProfilePatchAPITests.test_cross_user_nested_id_is_rejected_without_modifying_other_profile; StudentProfilePatchAPITests.test_authenticated_user_cannot_patch_another_profile_with_query_parameters</t>
  </si>
  <si>
    <t>400</t>
  </si>
  <si>
    <t>400, 400, 200</t>
  </si>
  <si>
    <t>Client-supplied user_id and cross-user CareerGoal ID were rejected. Cross-user query parameters could not redirect profile update. Database verification confirmed caller and cross-user data stayed isolated.</t>
  </si>
  <si>
    <t>docs/testing/evidence/sprint-5/security/S5-SEC-OWN-02A-client-supplied-user-id-rejected-pass.png; docs/testing/evidence/sprint-5/security/S5-SEC-OWN-02B-cross-user-career-goal-id-rejected-pass.png; docs/testing/evidence/sprint-5/security/S5-SEC-OWN-02C-cross-user-query-parameters-cannot-redirect-profile-update-pass.png; docs/testing/evidence/sprint-5/security/S5-SEC-OWN-02-database-state-verification-pass.png; docs/testing/evidence/sprint-5/security/S5-SEC-OWN-02-temporary-users-cleanup-pass.png</t>
  </si>
  <si>
    <t>Ownership spoofing rejected and database state verified. Temporary ownership users were removed after testing.</t>
  </si>
  <si>
    <t>S5-SEC-OWN-03</t>
  </si>
  <si>
    <t>Verify Career Recommendation, Learning Resource, Roadmap, and related Student guidance operations derive Student context from the authenticated user.</t>
  </si>
  <si>
    <t>Guidance services obtain Student Profile context from request.user rather than a client-selected Student identity.</t>
  </si>
  <si>
    <t>RecommendationAPITests.test_authenticated_user_profile_is_used_exclusively; LearningRoadmapAPITests.test_student_profile_is_derived_from_request_user</t>
  </si>
  <si>
    <t>N/A</t>
  </si>
  <si>
    <t>/api/v1/recommendations/; /api/v1/learning-resources/; /api/v1/roadmaps/</t>
  </si>
  <si>
    <t>Authenticated Student context</t>
  </si>
  <si>
    <t>N/A for static layer</t>
  </si>
  <si>
    <t>N/A (automated/static)</t>
  </si>
  <si>
    <t>Targeted ownership tests passed and static review confirmed Recommendation, Learning/Roadmap, and related guidance paths derive Student Profile context from request.user rather than client-supplied identity.</t>
  </si>
  <si>
    <t>docs/testing/evidence/sprint-5/security/S5-SEC-OWN-03-targeted-automated-tests-pass.png; docs/testing/evidence/sprint-5/security/S5-SEC-OWN-03-static-recommendation-ownership-check.png; docs/testing/evidence/sprint-5/security/S5-SEC-OWN-03-static-learning-roadmap-ownership-check.png; docs/testing/evidence/sprint-5/security/S5-SEC-OWN-03-static-query-ownership-check.png</t>
  </si>
  <si>
    <t>Targeted automated coverage and static request.user ownership review completed.</t>
  </si>
  <si>
    <t>backend/careers/views.py; backend/careers/tests.py</t>
  </si>
  <si>
    <t>S5-SEC-OWN-04</t>
  </si>
  <si>
    <t>Verify Job Description Matching derives the Student Profile from request.user rather than a client-supplied profile identity.</t>
  </si>
  <si>
    <t>Valid job-match request uses the authenticated Student Profile and does not accept another Student profile identity.</t>
  </si>
  <si>
    <t>JobDescriptionMatchAPITests.test_authenticated_profile_ownership</t>
  </si>
  <si>
    <t>/api/v1/careers/job-match/</t>
  </si>
  <si>
    <t>200 valid request</t>
  </si>
  <si>
    <t>200, 400</t>
  </si>
  <si>
    <t>Valid Job Match used the authenticated Student Profile. A client-supplied profile identity field was rejected with HTTP 400.</t>
  </si>
  <si>
    <t>docs/testing/evidence/sprint-5/security/S5-SEC-OWN-04A-job-match-uses-authenticated-student-profile-pass.png; docs/testing/evidence/sprint-5/security/S5-SEC-OWN-04B-job-match-rejects-client-supplied-profile-identity-pass.png</t>
  </si>
  <si>
    <t>Job Match authenticated-profile ownership and selector rejection verified.</t>
  </si>
  <si>
    <t>backend/careers/views.py; backend/careers/test_job_description_matching.py</t>
  </si>
  <si>
    <t>S5-SEC-OWN-05</t>
  </si>
  <si>
    <t>Verify Resume and Cover Letter generation use the authenticated user's profile and reject attempts to select another Student profile or supply protected prompt controls.</t>
  </si>
  <si>
    <t>Valid generation uses the caller's profile. Client-supplied Student profile IDs, user IDs, profile prompts, or system prompts are rejected where prohibited.</t>
  </si>
  <si>
    <t>ResumeGenerationAPITests.test_authenticated_user_profile_is_used_exclusively; CoverLetterGenerationAPITests.test_authenticated_user_profile_is_used_exclusively; CoverLetterGenerationAPITests.test_client_cannot_select_another_student_profile; CoverLetterGenerationAPITests.test_student_profile_id_is_rejected</t>
  </si>
  <si>
    <t>/api/v1/documents/resume/generate/; /api/v1/documents/cover-letter/generate/</t>
  </si>
  <si>
    <t>200 valid; 400 protected/spoof fields</t>
  </si>
  <si>
    <t>400, 400</t>
  </si>
  <si>
    <t>Resume and Cover Letter generation rejected client-supplied Student Profile selectors. Automated coverage confirms generation derives profile context from the authenticated user.</t>
  </si>
  <si>
    <t>docs/testing/evidence/sprint-5/security/S5-SEC-OWN-05A-resume-rejects-client-supplied-student-profile-pass.png; docs/testing/evidence/sprint-5/security/S5-SEC-OWN-05B-cover-letter-rejects-client-supplied-student-profile-pass.png</t>
  </si>
  <si>
    <t>Protected Student Profile selector rejection verified for both document-generation endpoints.</t>
  </si>
  <si>
    <t>backend/documents/views.py; backend/documents/tests.py</t>
  </si>
  <si>
    <t>S5-SEC-OWN-06</t>
  </si>
  <si>
    <t>Verify Interview History returns only the authenticated user's records and new history records bind ownership to request.user.</t>
  </si>
  <si>
    <t>GET returns only caller history. POST binds the new session to the caller. Client-supplied user ownership is rejected.</t>
  </si>
  <si>
    <t>InterviewHistoryAPITests.test_post_creates_owned_session_metadata; InterviewHistoryAPITests.test_get_returns_only_authenticated_user_history; InterviewHistoryAPITests.test_user_id_is_rejected</t>
  </si>
  <si>
    <t>GET/POST</t>
  </si>
  <si>
    <t>/api/v1/interviews/history/</t>
  </si>
  <si>
    <t>200 GET; 201 POST; 400 spoofed owner</t>
  </si>
  <si>
    <t>201, 200, 400, 200</t>
  </si>
  <si>
    <t>Student A created and retrieved its own Interview History. Client-supplied user_id was rejected. Student B could not retrieve Student A history.</t>
  </si>
  <si>
    <t>docs/testing/evidence/sprint-5/security/S5-SEC-OWN-06A-student-a-creates-owned-interview-history-pass.png; docs/testing/evidence/sprint-5/security/S5-SEC-OWN-06B-student-a-sees-own-interview-history-pass.png; docs/testing/evidence/sprint-5/security/S5-SEC-OWN-06C-client-supplied-interview-history-user-id-rejected-pass.png; docs/testing/evidence/sprint-5/security/S5-SEC-OWN-06D-student-b-cannot-see-student-a-interview-history-pass.png; docs/testing/evidence/sprint-5/security/S5-SEC-OWN-06-student-b-fixture-created.png</t>
  </si>
  <si>
    <t>Interview History ownership binding and cross-user isolation verified.</t>
  </si>
  <si>
    <t>backend/interviews/views.py; backend/interviews/tests.py</t>
  </si>
  <si>
    <t>S5-SEC-IN-01</t>
  </si>
  <si>
    <t>Input Protection</t>
  </si>
  <si>
    <t>Verify clients cannot set protected role, ownership, system-prompt, profile-identity, or server-controlled values.</t>
  </si>
  <si>
    <t>Protected fields are rejected or ignored according to the documented endpoint contract. Server-controlled identity and privilege values remain unchanged.</t>
  </si>
  <si>
    <t>RegistrationAPITests.test_public_registration_cannot_create_privileged_user; AccountSettingsAPITests.test_email_and_role_are_read_only; CoverLetterGenerationAPITests.test_user_id_is_rejected; CoverLetterGenerationAPITests.test_profile_prompt_and_system_prompt_fields_are_rejected; InterviewRequestSerializerTests.test_question_request_rejects_user_id; InterviewRequestSerializerTests.test_question_request_rejects_client_prompt</t>
  </si>
  <si>
    <t>POST/PATCH</t>
  </si>
  <si>
    <t>Representative auth, settings, document and interview endpoints</t>
  </si>
  <si>
    <t>Unauthenticated / Student Bearer</t>
  </si>
  <si>
    <t>400 or safe read-only preservation</t>
  </si>
  <si>
    <t>201, 200, 400, 400, 400, 400</t>
  </si>
  <si>
    <t>Registration could not create an Administrator. Account settings preserved protected email/role. Document and Interview endpoints rejected client-supplied ownership, profile, prompt, and system-prompt controls.</t>
  </si>
  <si>
    <t>docs/testing/evidence/sprint-5/security/S5-SEC-IN-01A-public-registration-cannot-create-privileged-user-pass.png; docs/testing/evidence/sprint-5/security/S5-SEC-IN-01B-account-settings-protect-email-and-role-pass.png; docs/testing/evidence/sprint-5/security/S5-SEC-IN-01C-cover-letter-rejects-client-supplied-user-id-pass.png; docs/testing/evidence/sprint-5/security/S5-SEC-IN-01D-cover-letter-rejects-protected-prompt-controls-pass.png; docs/testing/evidence/sprint-5/security/S5-SEC-IN-01E-interview-questions-reject-client-supplied-user-id-pass.png; docs/testing/evidence/sprint-5/security/S5-SEC-IN-01F-interview-questions-reject-client-supplied-prompt-pass.png</t>
  </si>
  <si>
    <t>Server-controlled role, ownership, profile identity, and prompt boundaries verified.</t>
  </si>
  <si>
    <t>backend/accounts/serializers.py; backend/documents/serializers.py; backend/interviews/serializers.py</t>
  </si>
  <si>
    <t>S5-SEC-IN-02</t>
  </si>
  <si>
    <t>Verify invalid values, invalid identifiers, invalid file content, invalid role values, and unsupported data produce controlled validation responses.</t>
  </si>
  <si>
    <t>Invalid inputs return controlled HTTP 400 validation responses without unsafe internal details.</t>
  </si>
  <si>
    <t>AdminUserRoleStatusAuditTests.test_invalid_role_change_is_rejected; AccountSettingsAPITests.test_gif_profile_photo_is_rejected; AccountSettingsAPITests.test_profile_photo_over_five_mb_is_rejected; StudentProfilePatchAPITests.test_invalid_proficiency_and_missing_reference_are_rejected; JobDescriptionMatchAPITests.test_unknown_fields_rejected</t>
  </si>
  <si>
    <t>Representative administration, settings, profile and job-match endpoints</t>
  </si>
  <si>
    <t>Student / Administrator Bearer</t>
  </si>
  <si>
    <t>400 for all invalid-input checks</t>
  </si>
  <si>
    <t>Invalid Administrator role, GIF upload, oversized profile photo, invalid skill proficiency, missing Interest reference, and unknown Job Match profile field all produced controlled HTTP 400 validation responses.</t>
  </si>
  <si>
    <t>docs/testing/evidence/sprint-5/security/S5-SEC-RBAC-05C-invalid-admin-role-change-rejected-pass.png; docs/testing/evidence/sprint-5/security/S5-SEC-IN-02A-gif-profile-photo-rejected-pass.png; docs/testing/evidence/sprint-5/security/S5-SEC-IN-02B-oversized-profile-photo-rejected-pass.png; docs/testing/evidence/sprint-5/security/S5-SEC-IN-02C-invalid-skill-proficiency-rejected-pass.png; docs/testing/evidence/sprint-5/security/S5-SEC-IN-02D-missing-interest-reference-rejected-pass.png; docs/testing/evidence/sprint-5/security/S5-SEC-IN-02E-job-match-rejects-unknown-student-profile-field-pass.png</t>
  </si>
  <si>
    <t>RBAC-05C is reused as the mapped invalid-role evidence. All remaining IN-02 invalid-input checks passed.</t>
  </si>
  <si>
    <t>backend/accounts/serializers.py; backend/administration/serializers.py; backend/profiles/serializers.py</t>
  </si>
  <si>
    <t>S5-SEC-AI-01</t>
  </si>
  <si>
    <t>AI Privacy / Trust</t>
  </si>
  <si>
    <t>Verify AI Student Profile context is restricted to the approved allowlist.</t>
  </si>
  <si>
    <t>Only approved Student Profile areas are mapped into AI context.</t>
  </si>
  <si>
    <t>ResumeGenerationServiceTests.test_approved_profile_context_reaches_provider_through_privacy_mapper; CoverLetterGenerationServiceTests.test_approved_profile_context_reaches_provider_through_privacy_mapper</t>
  </si>
  <si>
    <t>Resume and Cover Letter privacy-mapper tests passed. Static review confirmed AI_PROFILE_ALLOWLIST contains only skills, education, experience, projects, and career_goals.</t>
  </si>
  <si>
    <t>docs/testing/evidence/sprint-5/security/S5-SEC-AI-01-approved-profile-context-privacy-mapper-tests-pass.png</t>
  </si>
  <si>
    <t>Mapped provider-context tests passed 2/2. Static review of backend/ai_services/safety/privacy.py confirmed the five-section allowlist.</t>
  </si>
  <si>
    <t>backend/ai_services/safety/privacy.py; backend/documents/tests.py</t>
  </si>
  <si>
    <t>S5-SEC-AI-02</t>
  </si>
  <si>
    <t>Verify sensitive profile and account fields are excluded from AI profile context.</t>
  </si>
  <si>
    <t>User IDs, StudentProfile IDs, email, role, password data, JWT data, internal identifiers, personality responses, interests, project URLs, and database timestamps do not reach the provider profile context.</t>
  </si>
  <si>
    <t>ResumeGenerationServiceTests.test_private_profile_fields_are_not_exposed_to_provider_prompt; CoverLetterGenerationServiceTests.test_private_profile_fields_are_not_exposed_to_provider_prompt</t>
  </si>
  <si>
    <t>Resume and Cover Letter tests confirmed private profile values are not exposed to provider prompts. Static privacy mapper excludes identity, credentials, interests, personality responses, project URLs, timestamps, and internal identifiers.</t>
  </si>
  <si>
    <t>docs/testing/evidence/sprint-5/security/S5-SEC-AI-02-private-profile-fields-not-exposed-to-provider-prompt-pass.png</t>
  </si>
  <si>
    <t>Mapped private-field provider-prompt tests passed 2/2. Static exclusion rules reviewed.</t>
  </si>
  <si>
    <t>S5-SEC-AI-03</t>
  </si>
  <si>
    <t>Verify AI provider failures and invalid generated responses return controlled API errors without provider credentials or internal exception details.</t>
  </si>
  <si>
    <t>Provider timeout, unavailability, semantic validation failure, and response validation failure return controlled 502/503 responses without secret or stack-trace leakage.</t>
  </si>
  <si>
    <t>ResumeGenerationAPITests.test_shared_ai_service_failure_returns_503; ResumeGenerationAPITests.test_response_validation_failure_is_sanitized_503; CoverLetterGenerationAPITests.test_provider_unavailable_returns_503; InterviewQuestionAPITests.test_provider_timeout_returns_503; InterviewQuestionAPITests.test_semantic_validation_failure_returns_controlled_502; InterviewFeedbackAPITests.test_provider_timeout_returns_503</t>
  </si>
  <si>
    <t>AI-backed document and interview endpoints</t>
  </si>
  <si>
    <t>Authenticated Student</t>
  </si>
  <si>
    <t>Controlled 502/503 in automated failure simulations</t>
  </si>
  <si>
    <t>502/503 (automated failure simulations)</t>
  </si>
  <si>
    <t>All six mapped provider-failure and invalid-response tests passed. Static review confirmed controlled errors and no provider secret, stack trace, prompt, credential, or Student-content leakage.</t>
  </si>
  <si>
    <t>docs/testing/evidence/sprint-5/security/S5-SEC-AI-03-controlled-ai-provider-failure-tests-pass.png</t>
  </si>
  <si>
    <t>Mapped AI failure tests passed 6/6. Static review confirmed safe 502/503 handling, sanitised error envelopes, and safe validation logging.</t>
  </si>
  <si>
    <t>backend/gradnavi/exceptions.py; backend/documents/tests.py; backend/interviews/tests.py</t>
  </si>
  <si>
    <t>S5-SEC-AI-04</t>
  </si>
  <si>
    <t>Verify user-supplied content stays separate from backend-controlled AI instructions and AI output does not replace backend authorization or deterministic scoring.</t>
  </si>
  <si>
    <t>Untrusted content cannot become trusted system instruction. Job matching and scoring authority remains backend-controlled and deterministic where designed.</t>
  </si>
  <si>
    <t>CoverLetterGenerationServiceTests.test_job_description_instructions_do_not_become_trusted_instructions; InterviewQuestionServiceTests.test_question_context_preserves_trust_boundary; InterviewFeedbackServiceTests.test_feedback_context_is_untrusted; JobDescriptionMatchAPITests.test_job_matching_output_is_independent_of_text_ai_provider</t>
  </si>
  <si>
    <t>Four mapped trust-boundary tests passed. User-supplied Job Description, target role, interview question, and Student answer remained untrusted content. Job Match scoring remained independent of the text AI provider.</t>
  </si>
  <si>
    <t>docs/testing/evidence/sprint-5/security/S5-SEC-AI-04-untrusted-content-and-deterministic-scoring-tests-pass.png</t>
  </si>
  <si>
    <t>Mapped trust-boundary and deterministic-scoring tests passed 4/4.</t>
  </si>
  <si>
    <t>backend/ai_services/prompts; backend/documents/tests.py; backend/interviews/tests.py</t>
  </si>
  <si>
    <t>S5-SEC-AUD-01</t>
  </si>
  <si>
    <t>Audit / Error Protection</t>
  </si>
  <si>
    <t>Verify supported Administrator mutations create the required audit records.</t>
  </si>
  <si>
    <t>An approved Administrator mutation succeeds and the corresponding audit action becomes available through the Administrator audit endpoint.</t>
  </si>
  <si>
    <t>AdminAuditRecordTests.test_career_create_update_and_delete_create_audit_records; AdminAuditRecordTests.test_learning_resource_report_status_change_creates_audit_record</t>
  </si>
  <si>
    <t>POST/PATCH then GET</t>
  </si>
  <si>
    <t>/api/v1/administration/careers/ then /api/v1/administration/audit-records/</t>
  </si>
  <si>
    <t>201/200 mutation then 200 audit read</t>
  </si>
  <si>
    <t>201/200/204 mutations; 200 audit reads</t>
  </si>
  <si>
    <t>Administrator Career create, update, and delete operations produced matching audit records. Learning Resource Report status transition from open to resolved produced the expected status_changed audit record and metadata.</t>
  </si>
  <si>
    <t>docs/testing/evidence/sprint-5/security/S5-SEC-AUD-01-administrator-mutations-create-audit-records-tests-pass.png; docs/testing/evidence/sprint-5/security/S5-SEC-AUD-01A-administrator-creates-audited-career-pass.png; docs/testing/evidence/sprint-5/security/S5-SEC-AUD-01B-career-creation-audit-record-exists-pass.png; docs/testing/evidence/sprint-5/security/S5-SEC-AUD-01C-administrator-updates-audited-career-pass.png; docs/testing/evidence/sprint-5/security/S5-SEC-AUD-01D-career-update-audit-record-exists-pass.png; docs/testing/evidence/sprint-5/security/S5-SEC-AUD-01E-administrator-deletes-audited-career-pass.png; docs/testing/evidence/sprint-5/security/S5-SEC-AUD-01F-career-deletion-audit-record-exists-pass.png; docs/testing/evidence/sprint-5/security/S5-SEC-AUD-01G-administrator-resolves-learning-resource-report-pass.png; docs/testing/evidence/sprint-5/security/S5-SEC-AUD-01H-learning-resource-report-status-audit-record-exists-pass.png</t>
  </si>
  <si>
    <t>Mapped automated tests passed 2/2. Postman evidence verified Career audit lifecycle and Learning Resource Report status-change metadata.</t>
  </si>
  <si>
    <t>backend/administration/audit.py; backend/administration/views.py; backend/administration/tests.py</t>
  </si>
  <si>
    <t>S5-SEC-AUD-02</t>
  </si>
  <si>
    <t>Verify audit responses are Administrator-only, read-only, and exclude unnecessary identity or credential information.</t>
  </si>
  <si>
    <t>Administrator GET succeeds, Student access is denied, audit modification is rejected, and audit response does not expose user email or credential data.</t>
  </si>
  <si>
    <t>AdminAuditRecordTests.test_admin_can_list_and_retrieve_audit_records; AdminAuditRecordTests.test_audit_records_endpoint_is_read_only; AdminAuditRecordTests.test_audit_response_does_not_expose_user_email</t>
  </si>
  <si>
    <t>/api/v1/administration/audit-records/</t>
  </si>
  <si>
    <t>200 admin; 403 student; 405 write</t>
  </si>
  <si>
    <t>Administrator audit list/detail reads succeeded, Student access was denied with HTTP 403, audit POST remained read-only with HTTP 405, and audit responses excluded unnecessary identity and credential information.</t>
  </si>
  <si>
    <t>docs/testing/evidence/sprint-5/security/S5-SEC-AUD-02-audit-access-read-only-safe-response-tests-pass.png; docs/testing/evidence/sprint-5/security/S5-SEC-AUD-02A-student-cannot-access-audit-records-pass.png; docs/testing/evidence/sprint-5/security/S5-SEC-RBAC-06A-administrator-audit-records-list-succeeds-pass.png; docs/testing/evidence/sprint-5/security/S5-SEC-RBAC-06B-administrator-audit-record-detail-succeeds-pass.png; docs/testing/evidence/sprint-5/security/S5-SEC-RBAC-06C-audit-records-endpoint-read-only-pass.png</t>
  </si>
  <si>
    <t>Reused RBAC-06A/B/C for Administrator and read-only evidence. Added AUD-02A for explicit Student denial.</t>
  </si>
  <si>
    <t>S5-SEC-AUD-03</t>
  </si>
  <si>
    <t>Verify error and audit handling does not expose passwords, JWT tokens, API keys, credentials, stack traces, internal paths, or unsafe metadata.</t>
  </si>
  <si>
    <t>System audit/error handling records safe categories and metadata only, without intentionally exposing protected secret or internal diagnostic information.</t>
  </si>
  <si>
    <t>ResumeGenerationAPITests.test_external_service_failure_creates_safe_system_audit_record; InterviewQuestionAPITests.test_semantic_validation_failure_logs_safe_category; InterviewFeedbackAPITests.test_feedback_validation_failure_logs_safe_category</t>
  </si>
  <si>
    <t>Safe system audit metadata and validation logging were verified. Audit metadata rejects sensitive key names, external-service failure records retain only controlled operational fields, and interview validation logs use safe categories.</t>
  </si>
  <si>
    <t>docs/testing/evidence/sprint-5/security/S5-SEC-AUD-03-safe-audit-and-error-handling-tests-pass.png</t>
  </si>
  <si>
    <t>Mapped safe audit/error tests passed 3/3. Static review confirmed sensitive metadata key blocking and safe log categorisation.</t>
  </si>
  <si>
    <t>backend/administration/audit.py; backend/gradnavi/exceptions.py; backend/documents/tests.py; backend/interviews/tests.py</t>
  </si>
  <si>
    <t>S5-SEC-SECRET-01</t>
  </si>
  <si>
    <t>Secret Protection</t>
  </si>
  <si>
    <t>Verify repository tracking does not include real .env files, database passwords, AI API keys, JWT secrets, or other real credentials.</t>
  </si>
  <si>
    <t>Repository review finds no committed real secrets. If a suspected secret is found, its value is not printed into retained evidence.</t>
  </si>
  <si>
    <t>No single automated test proves repository-wide secret absence</t>
  </si>
  <si>
    <t>Repository-wide</t>
  </si>
  <si>
    <t>N/A (repository review)</t>
  </si>
  <si>
    <t>Backend tracked-file review found no committed real .env/private-key/credential files. backend/.env is ignored. Secret-name hits were references/placeholders only, and the real token-pattern scan returned no matches.</t>
  </si>
  <si>
    <t>docs/testing/evidence/sprint-5/security/S5-SEC-SECRET-01A-backend-secret-name-and-ignore-review-pass.png; docs/testing/evidence/sprint-5/security/S5-SEC-SECRET-01B-backend-token-pattern-scan-pass.png</t>
  </si>
  <si>
    <t>Repository review completed without printing or retaining secret values.</t>
  </si>
  <si>
    <t>.gitignore; backend/.env.example; repository tracked files</t>
  </si>
  <si>
    <t>S5-SEC-SECRET-02</t>
  </si>
  <si>
    <t>Verify AI provider credentials and backend secrets do not appear in frontend source or browser-facing configuration.</t>
  </si>
  <si>
    <t>Frontend source and browser-facing configuration contain no backend secret values, AI API keys, database credentials, Django secrets, or administration credentials.</t>
  </si>
  <si>
    <t>No single automated test proves frontend-wide secret absence</t>
  </si>
  <si>
    <t>frontend/</t>
  </si>
  <si>
    <t>Frontend .env and .env.local are ignored. No tracked sensitive filename was found. Secret-name scan found token storage identifiers only, while real token-pattern scanning returned no OpenAI, GitHub, AWS, Slack, or JWT values.</t>
  </si>
  <si>
    <t>docs/testing/evidence/sprint-5/security/S5-SEC-SECRET-02A-frontend-secret-name-and-ignore-review-pass.png; docs/testing/evidence/sprint-5/security/S5-SEC-SECRET-02B-frontend-token-pattern-scan-pass.png; docs/testing/evidence/sprint-5/security/S5-SEC-SECRET-02C-frontend-tracked-sensitive-filename-scan-pass.png</t>
  </si>
  <si>
    <t>Frontend repository review completed without printing or retaining secret values.</t>
  </si>
  <si>
    <t>frontend/src; frontend configuration; backend/gradnavi/settings.py</t>
  </si>
  <si>
    <t>S5-SEC-FE-01</t>
  </si>
  <si>
    <t>Frontend Permission</t>
  </si>
  <si>
    <t>Verify Administrator frontend routes reject unauthenticated and Student access while allowing the approved Administrator role.</t>
  </si>
  <si>
    <t>After WBS 7.7 integration, unauthenticated and Student users cannot enter Administrator frontend routes. Administrator role receives approved access.</t>
  </si>
  <si>
    <t>Backend role permission tests exist, but integrated Administrator frontend route is not present yet</t>
  </si>
  <si>
    <t>Browser</t>
  </si>
  <si>
    <t>Administrator frontend route after WBS 7.7</t>
  </si>
  <si>
    <t>Unauthenticated / Student / Administrator</t>
  </si>
  <si>
    <t>Route-level access result</t>
  </si>
  <si>
    <t>S5-SEC-DEP-01</t>
  </si>
  <si>
    <t>Deployment Security</t>
  </si>
  <si>
    <t>Verify deployed Django configuration uses appropriate Debug, Allowed Hosts, CORS, environment-secret, HTTPS, and production error settings.</t>
  </si>
  <si>
    <t>Production configuration disables unsafe development behaviour, restricts hosts/origins, uses environment-managed secrets, and returns controlled production errors.</t>
  </si>
  <si>
    <t>Deferred to deployment and production verification</t>
  </si>
  <si>
    <t>Deployment review</t>
  </si>
  <si>
    <t>Production backend configuration</t>
  </si>
  <si>
    <t>backend/gradnavi/settings.py; docs/system-design/security-architecture.md</t>
  </si>
  <si>
    <t>S5-SEC-DEP-02</t>
  </si>
  <si>
    <t>Verify deployed frontend and backend expose no protected secrets and use approved production communication paths.</t>
  </si>
  <si>
    <t>Deployed browser assets and responses expose no protected secret values and frontend/backend communication uses the approved production path.</t>
  </si>
  <si>
    <t>Production frontend and backend</t>
  </si>
  <si>
    <t>frontend build; backend deployment configuration; docs/system-design/security-architecture.md</t>
  </si>
  <si>
    <t>Evidence ID</t>
  </si>
  <si>
    <t>Evidence Type</t>
  </si>
  <si>
    <t>Required</t>
  </si>
  <si>
    <t>Evidence Status</t>
  </si>
  <si>
    <t>Evidence Location</t>
  </si>
  <si>
    <t>Result / Observation</t>
  </si>
  <si>
    <t>Sensitive Data Check</t>
  </si>
  <si>
    <t>Collected By</t>
  </si>
  <si>
    <t>Collection Date</t>
  </si>
  <si>
    <t>EVD-001</t>
  </si>
  <si>
    <t>Automated Regression</t>
  </si>
  <si>
    <t>Yes</t>
  </si>
  <si>
    <t>Mapped automated security coverage passed within the 330-test WBS 8.3 regression run.</t>
  </si>
  <si>
    <t>No real secrets intentionally retained</t>
  </si>
  <si>
    <t>EVD-002</t>
  </si>
  <si>
    <t>EVD-003</t>
  </si>
  <si>
    <t>EVD-004</t>
  </si>
  <si>
    <t>EVD-005</t>
  </si>
  <si>
    <t>EVD-006</t>
  </si>
  <si>
    <t>EVD-007</t>
  </si>
  <si>
    <t>EVD-008</t>
  </si>
  <si>
    <t>EVD-009</t>
  </si>
  <si>
    <t>EVD-010</t>
  </si>
  <si>
    <t>EVD-011</t>
  </si>
  <si>
    <t>EVD-012</t>
  </si>
  <si>
    <t>EVD-013</t>
  </si>
  <si>
    <t>EVD-014</t>
  </si>
  <si>
    <t>EVD-015</t>
  </si>
  <si>
    <t>EVD-016</t>
  </si>
  <si>
    <t>EVD-017</t>
  </si>
  <si>
    <t>EVD-018</t>
  </si>
  <si>
    <t>EVD-019</t>
  </si>
  <si>
    <t>EVD-020</t>
  </si>
  <si>
    <t>EVD-021</t>
  </si>
  <si>
    <t>EVD-022</t>
  </si>
  <si>
    <t>EVD-023</t>
  </si>
  <si>
    <t>EVD-024</t>
  </si>
  <si>
    <t>EVD-025</t>
  </si>
  <si>
    <t>EVD-026</t>
  </si>
  <si>
    <t>EVD-027</t>
  </si>
  <si>
    <t>EVD-028</t>
  </si>
  <si>
    <t>Postman</t>
  </si>
  <si>
    <t>PASS - screenshots exclude passwords, JWT values, API keys, and other secret values</t>
  </si>
  <si>
    <t>EVD-029</t>
  </si>
  <si>
    <t>EVD-030</t>
  </si>
  <si>
    <t>EVD-031</t>
  </si>
  <si>
    <t>EVD-032</t>
  </si>
  <si>
    <t>EVD-033</t>
  </si>
  <si>
    <t>EVD-034</t>
  </si>
  <si>
    <t>EVD-035</t>
  </si>
  <si>
    <t>EVD-036</t>
  </si>
  <si>
    <t>EVD-037</t>
  </si>
  <si>
    <t>General Administrator user editing preserved role and active status while allowing safe editable fields.</t>
  </si>
  <si>
    <t>PASS - screenshots and static evidence exclude passwords, JWT values, API keys, database credentials, and other secret values</t>
  </si>
  <si>
    <t>EVD-038</t>
  </si>
  <si>
    <t>Dedicated role/status changes succeeded for valid Administrator actions and invalid role input was safely rejected.</t>
  </si>
  <si>
    <t>EVD-039</t>
  </si>
  <si>
    <t>Administrator audit and analytics reads succeeded, audit writes were rejected, and responses avoided unnecessary sensitive values.</t>
  </si>
  <si>
    <t>EVD-040</t>
  </si>
  <si>
    <t>Student Profile GET remained bound to the authenticated Student and did not expose cross-user identity or goal data.</t>
  </si>
  <si>
    <t>EVD-041</t>
  </si>
  <si>
    <t>Ownership spoofing through user ID, nested CareerGoal ID, and query parameters was rejected or ignored; database state remained isolated.</t>
  </si>
  <si>
    <t>EVD-042</t>
  </si>
  <si>
    <t>Static Review</t>
  </si>
  <si>
    <t>Targeted automated tests and static review confirmed guidance services derive profile ownership from request.user.</t>
  </si>
  <si>
    <t>EVD-043</t>
  </si>
  <si>
    <t>Job Match used the authenticated Student Profile and rejected client-supplied profile identity.</t>
  </si>
  <si>
    <t>EVD-044</t>
  </si>
  <si>
    <t>Resume and Cover Letter generation rejected client-supplied Student Profile selectors.</t>
  </si>
  <si>
    <t>EVD-045</t>
  </si>
  <si>
    <t>Interview History records bound to the authenticated Student; Student B could not receive Student A history.</t>
  </si>
  <si>
    <t>EVD-046</t>
  </si>
  <si>
    <t>Protected role, ownership, profile identity, prompt, and system-prompt inputs were ignored or rejected according to endpoint contracts.</t>
  </si>
  <si>
    <t>EVD-047</t>
  </si>
  <si>
    <t>Invalid roles, file types/sizes, proficiency values, missing references, and unsupported Job Match fields returned controlled validation errors.</t>
  </si>
  <si>
    <t>EVD-048</t>
  </si>
  <si>
    <t>Mapped AI privacy tests passed and static review confirmed only the approved five Student Profile sections enter AI context.</t>
  </si>
  <si>
    <t>EVD-049</t>
  </si>
  <si>
    <t>Mapped provider-prompt tests passed and static review confirmed private identity, credential, interest, personality, URL, timestamp, and internal-ID data stay outside AI context.</t>
  </si>
  <si>
    <t>EVD-050</t>
  </si>
  <si>
    <t>Six mapped AI provider/validation failure tests passed. Static review confirmed controlled 502/503 responses and sanitised logging/error behaviour.</t>
  </si>
  <si>
    <t>PASS - no provider secret, stack trace, prompt, credential, API-key, token, or Student-content leakage observed</t>
  </si>
  <si>
    <t>Mapped provider-failure tests passed 6/6 and static error-handling review passed.</t>
  </si>
  <si>
    <t>EVD-051</t>
  </si>
  <si>
    <t>Trust-boundary tests confirmed user-supplied content stays untrusted and Job Match scoring remains deterministic without the text AI provider.</t>
  </si>
  <si>
    <t>PASS - no secret values intentionally retained</t>
  </si>
  <si>
    <t>EVD-052</t>
  </si>
  <si>
    <t>docs/testing/evidence/sprint-5/security/S5-SEC-AUD-01A-administrator-creates-audited-career-pass.png; docs/testing/evidence/sprint-5/security/S5-SEC-AUD-01B-career-creation-audit-record-exists-pass.png; docs/testing/evidence/sprint-5/security/S5-SEC-AUD-01C-administrator-updates-audited-career-pass.png; docs/testing/evidence/sprint-5/security/S5-SEC-AUD-01D-career-update-audit-record-exists-pass.png; docs/testing/evidence/sprint-5/security/S5-SEC-AUD-01E-administrator-deletes-audited-career-pass.png; docs/testing/evidence/sprint-5/security/S5-SEC-AUD-01F-career-deletion-audit-record-exists-pass.png; docs/testing/evidence/sprint-5/security/S5-SEC-AUD-01G-administrator-resolves-learning-resource-report-pass.png; docs/testing/evidence/sprint-5/security/S5-SEC-AUD-01H-learning-resource-report-status-audit-record-exists-pass.png</t>
  </si>
  <si>
    <t>Career create/update/delete and Learning Resource Report status change produced the expected Administrator audit records and metadata.</t>
  </si>
  <si>
    <t>PASS - audit responses excluded passwords, tokens, API keys, and credentials</t>
  </si>
  <si>
    <t>Automated audit mutation tests passed 2/2. Postman lifecycle evidence passed.</t>
  </si>
  <si>
    <t>EVD-053</t>
  </si>
  <si>
    <t>Administrator audit reads succeeded, Student access was denied, audit mutation was rejected, and response fields remained controlled.</t>
  </si>
  <si>
    <t>PASS - no user email, password, token, API-key, or audit-record leakage to Student</t>
  </si>
  <si>
    <t>Automated tests passed 3/3. RBAC-06 evidence reused where identical; AUD-02A added for Student denial.</t>
  </si>
  <si>
    <t>EVD-054</t>
  </si>
  <si>
    <t>Safe audit/error tests and static review confirmed sensitive metadata key blocking, controlled external-service audit fields, and safe validation categories.</t>
  </si>
  <si>
    <t>PASS - no passwords, JWTs, API keys, credentials, internal content, or Student answers retained in audit/log evidence</t>
  </si>
  <si>
    <t>Mapped safe audit/error tests passed 3/3.</t>
  </si>
  <si>
    <t>EVD-055</t>
  </si>
  <si>
    <t>Repository Review</t>
  </si>
  <si>
    <t>Backend repository review found no tracked real secret files or real token-pattern matches. backend/.env is ignored.</t>
  </si>
  <si>
    <t>PASS - scan output intentionally showed names/pattern categories only, not secret values</t>
  </si>
  <si>
    <t>Secret-name hits were expected references/placeholders in env example, settings, tests, and documentation.</t>
  </si>
  <si>
    <t>EVD-056</t>
  </si>
  <si>
    <t>Frontend repository review confirmed .env/.env.local are ignored, no sensitive filenames are tracked, and no real token-pattern matches were found.</t>
  </si>
  <si>
    <t>PASS - ACCESS_TOKEN and REFRESH_TOKEN hits were identifier names in authStorage.js, not retained token values</t>
  </si>
  <si>
    <t>No backend secret, API key, credential, or real JWT/token value found in tracked frontend source.</t>
  </si>
  <si>
    <t>EVD-057</t>
  </si>
  <si>
    <t>Browser / Integration</t>
  </si>
  <si>
    <t>Do not retain passwords, tokens, API keys, database credentials, or secret values</t>
  </si>
  <si>
    <t>EVD-058</t>
  </si>
  <si>
    <t>Deployment Review</t>
  </si>
  <si>
    <t>EVD-059</t>
  </si>
  <si>
    <t>EVD-060</t>
  </si>
  <si>
    <t>WBS-8.3-CLEANUP</t>
  </si>
  <si>
    <t>Cleanup Verification</t>
  </si>
  <si>
    <t>No</t>
  </si>
  <si>
    <t>docs/testing/evidence/sprint-5/security/S5-SEC-CLEANUP-01-temporary-test-data-cleanup-verified-pass.png</t>
  </si>
  <si>
    <t>Temporary audit Administrator, temporary report Student, related Student Profile, Learning Resource, Learning Resource Report, and temporary Administrator audit records were removed after evidence collection.</t>
  </si>
  <si>
    <t>PASS - cleanup output contains identifiers/counts only and retains the real test.student@gradnavi.local account</t>
  </si>
  <si>
    <t>Verification: temporary Administrator 0, temporary report Student 0, temporary resource 0, temporary report 0, real test Student 1.</t>
  </si>
  <si>
    <t>Severity</t>
  </si>
  <si>
    <t>Priority</t>
  </si>
  <si>
    <t>Summary</t>
  </si>
  <si>
    <t>Fix Branch / Commit</t>
  </si>
  <si>
    <t>Retest Result</t>
  </si>
  <si>
    <t>Evidence</t>
  </si>
  <si>
    <t>N/A (browser route)</t>
  </si>
  <si>
    <t>Unauthenticated access to /admin and /admin/users redirected to /login. Authenticated Student access to the Administrator routes redirected to /profile. Authenticated Administrator access to /admin and /admin/users succeeded and loaded the approved Administrator interface.</t>
  </si>
  <si>
    <t>EVD-057 manual browser verification, no screenshot retained</t>
  </si>
  <si>
    <t>WBS 7.7 dependency resolved after Administrator frontend integration. Manual browser permission verification completed on the current Sprint 5 baseline. No screenshot retained.</t>
  </si>
  <si>
    <t>frontend/src/App.jsx; frontend/src/components/auth/ProtectedRoute.jsx; frontend/src/components/auth/AdminRoute.jsx; WBS 7.7 / PR #64</t>
  </si>
  <si>
    <t>Manual browser verification recorded in S5-SEC-FE-01, no screenshot retained</t>
  </si>
  <si>
    <t>Unauthenticated Administrator-route access redirected to /login. Authenticated Student access redirected to /profile. Authenticated Administrator access to /admin and /admin/users succeeded.</t>
  </si>
  <si>
    <t>PASS - no passwords, tokens, API keys, database credentials, or secret values retained</t>
  </si>
  <si>
    <t>WBS 7.7 dependency resolved. Tested unauthenticated, Student, and Administrator route outcomes on the current Sprint 5 baseline.</t>
  </si>
  <si>
    <t>jerald/wbs-8.3-frontend-permission-follow-up</t>
  </si>
  <si>
    <t>Local WBS 8.3 security execution complete: 30 Pass, 0 Blocked, 2 Deferred deployment reviews. S5-SEC-FE-01 passed after WBS 7.7 integration.</t>
  </si>
  <si>
    <t>Post-deployment security check reported PASS by project lead. Detailed configuration evidence has not been independently reviewed.</t>
  </si>
  <si>
    <t>Reported Pass</t>
  </si>
  <si>
    <t>Project lead confirmed PASS following deployment. Independent configuration evidence not supplied.</t>
  </si>
  <si>
    <t>Reported 13 October 2026. Original evidence state: Deferred. Evidence location and actual execution details pending.</t>
  </si>
  <si>
    <t>docs/testing/evidence/sprint-5/deployment-security/README.md (DEP-01A to DEP-01D)</t>
  </si>
  <si>
    <t>docs/testing/evidence/sprint-5/deployment-security/README.md (DEP-02A to DEP-02B)</t>
  </si>
  <si>
    <t>Additional evidence captured 14 October 2026: Railway variable names reviewed; HTTPS authentication returned 401 with a controlled JSON error; approved CORS origin accepted; unapproved origin rejected. Full production configuration values not independently verified. Screenshots DEP-01A to DEP-01D uploaded to GitHub.</t>
  </si>
  <si>
    <t>Additional evidence captured 14 October 2026: Vercel production API URL confirmed as Railway HTTPS endpoint; authenticated production API request returned 200. Comprehensive browser asset secret-exposure review not independently verified. Screenshots DEP-02A and DEP-02B uploaded to GitHub.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</si>
</sst>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i/>
      <sz val="11"/>
      <color rgb="FF17324D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D6A7A"/>
      </patternFill>
    </fill>
    <fill>
      <patternFill patternType="solid">
        <fgColor rgb="FFE8F1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164" fontId="0" fillId="0" borderId="0" xfId="0" applyNumberFormat="1" applyAlignment="1">
      <alignment wrapText="1"/>
    </xf>
    <xf numFmtId="0" fontId="1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vertical="center" wrapText="1"/>
    </xf>
  </cellXfs>
  <cellStyles count="1">
    <cellStyle name="Normal" xfId="0" builtinId="0"/>
  </cellStyles>
  <dxfs count="12">
    <dxf>
      <font>
        <color rgb="FF374151"/>
      </font>
      <fill>
        <patternFill>
          <bgColor rgb="FFE5E7EB"/>
        </patternFill>
      </fill>
    </dxf>
    <dxf>
      <font>
        <color rgb="FF92400E"/>
      </font>
      <fill>
        <patternFill>
          <bgColor rgb="FFFEF3C7"/>
        </patternFill>
      </fill>
    </dxf>
    <dxf>
      <font>
        <color rgb="FF1D4ED8"/>
      </font>
      <fill>
        <patternFill>
          <bgColor rgb="FFEFF6FF"/>
        </patternFill>
      </fill>
    </dxf>
    <dxf>
      <font>
        <color rgb="FF166534"/>
      </font>
      <fill>
        <patternFill>
          <bgColor rgb="FFDCFCE7"/>
        </patternFill>
      </fill>
    </dxf>
    <dxf>
      <font>
        <color rgb="FF1D4ED8"/>
      </font>
      <fill>
        <patternFill>
          <bgColor rgb="FFEFF6FF"/>
        </patternFill>
      </fill>
    </dxf>
    <dxf>
      <font>
        <b/>
        <color rgb="FF374151"/>
      </font>
      <fill>
        <patternFill>
          <bgColor rgb="FFE5E7EB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991B1B"/>
      </font>
      <fill>
        <patternFill>
          <bgColor rgb="FFFEE2E2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color rgb="FF374151"/>
      </font>
      <fill>
        <patternFill>
          <bgColor rgb="FFE5E7EB"/>
        </patternFill>
      </fill>
    </dxf>
    <dxf>
      <font>
        <color rgb="FF92400E"/>
      </font>
      <fill>
        <patternFill>
          <bgColor rgb="FFFEF3C7"/>
        </patternFill>
      </fill>
    </dxf>
    <dxf>
      <font>
        <color rgb="FF166534"/>
      </font>
      <fill>
        <patternFill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AU"/>
              <a:t>WBS 8.3 Test Status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invertIfNegative val="1"/>
          <c:cat>
            <c:strRef>
              <c:f>Summary!$D$5:$D$9</c:f>
              <c:strCache>
                <c:ptCount val="5"/>
                <c:pt idx="0">
                  <c:v>Not Run</c:v>
                </c:pt>
                <c:pt idx="1">
                  <c:v>Pass</c:v>
                </c:pt>
                <c:pt idx="2">
                  <c:v>Fail</c:v>
                </c:pt>
                <c:pt idx="3">
                  <c:v>Blocked</c:v>
                </c:pt>
                <c:pt idx="4">
                  <c:v>Deferred</c:v>
                </c:pt>
              </c:strCache>
            </c:strRef>
          </c:cat>
          <c:val>
            <c:numRef>
              <c:f>Summary!$E$5:$E$9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9E-448A-9EE8-1C11A1D357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ecurityTestCasesTable" displayName="SecurityTestCasesTable" ref="A1:V33" totalsRowShown="0">
  <tableColumns count="22">
    <tableColumn id="1" xr3:uid="{00000000-0010-0000-0000-000001000000}" name="Test Case ID"/>
    <tableColumn id="2" xr3:uid="{00000000-0010-0000-0000-000002000000}" name="Security Area"/>
    <tableColumn id="3" xr3:uid="{00000000-0010-0000-0000-000003000000}" name="Test Objective"/>
    <tableColumn id="4" xr3:uid="{00000000-0010-0000-0000-000004000000}" name="Expected Result"/>
    <tableColumn id="5" xr3:uid="{00000000-0010-0000-0000-000005000000}" name="Evidence Method"/>
    <tableColumn id="6" xr3:uid="{00000000-0010-0000-0000-000006000000}" name="Automated Test Reference"/>
    <tableColumn id="7" xr3:uid="{00000000-0010-0000-0000-000007000000}" name="HTTP Method"/>
    <tableColumn id="8" xr3:uid="{00000000-0010-0000-0000-000008000000}" name="Endpoint"/>
    <tableColumn id="9" xr3:uid="{00000000-0010-0000-0000-000009000000}" name="Authentication State"/>
    <tableColumn id="10" xr3:uid="{00000000-0010-0000-0000-00000A000000}" name="Expected HTTP Status"/>
    <tableColumn id="11" xr3:uid="{00000000-0010-0000-0000-00000B000000}" name="Automated Evidence"/>
    <tableColumn id="12" xr3:uid="{00000000-0010-0000-0000-00000C000000}" name="Manual / Review Evidence"/>
    <tableColumn id="13" xr3:uid="{00000000-0010-0000-0000-00000D000000}" name="Actual HTTP Status"/>
    <tableColumn id="14" xr3:uid="{00000000-0010-0000-0000-00000E000000}" name="Actual Result"/>
    <tableColumn id="15" xr3:uid="{00000000-0010-0000-0000-00000F000000}" name="Status"/>
    <tableColumn id="16" xr3:uid="{00000000-0010-0000-0000-000010000000}" name="Tester"/>
    <tableColumn id="17" xr3:uid="{00000000-0010-0000-0000-000011000000}" name="Execution Date"/>
    <tableColumn id="18" xr3:uid="{00000000-0010-0000-0000-000012000000}" name="Evidence File"/>
    <tableColumn id="19" xr3:uid="{00000000-0010-0000-0000-000013000000}" name="Defect ID"/>
    <tableColumn id="20" xr3:uid="{00000000-0010-0000-0000-000014000000}" name="Retest Status"/>
    <tableColumn id="21" xr3:uid="{00000000-0010-0000-0000-000015000000}" name="Notes"/>
    <tableColumn id="22" xr3:uid="{00000000-0010-0000-0000-000016000000}" name="Source / Implementation Fil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ecurityEvidenceTable" displayName="SecurityEvidenceTable" ref="A1:K60" totalsRowShown="0">
  <tableColumns count="11">
    <tableColumn id="1" xr3:uid="{00000000-0010-0000-0100-000001000000}" name="Evidence ID"/>
    <tableColumn id="2" xr3:uid="{00000000-0010-0000-0100-000002000000}" name="Test Case ID"/>
    <tableColumn id="3" xr3:uid="{00000000-0010-0000-0100-000003000000}" name="Evidence Type"/>
    <tableColumn id="4" xr3:uid="{00000000-0010-0000-0100-000004000000}" name="Required"/>
    <tableColumn id="5" xr3:uid="{00000000-0010-0000-0100-000005000000}" name="Evidence Status"/>
    <tableColumn id="6" xr3:uid="{00000000-0010-0000-0100-000006000000}" name="Evidence Location"/>
    <tableColumn id="7" xr3:uid="{00000000-0010-0000-0100-000007000000}" name="Result / Observation"/>
    <tableColumn id="8" xr3:uid="{00000000-0010-0000-0100-000008000000}" name="Sensitive Data Check"/>
    <tableColumn id="9" xr3:uid="{00000000-0010-0000-0100-000009000000}" name="Collected By"/>
    <tableColumn id="10" xr3:uid="{00000000-0010-0000-0100-00000A000000}" name="Collection Date"/>
    <tableColumn id="11" xr3:uid="{00000000-0010-0000-0100-00000B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ecurityDefectsTable" displayName="SecurityDefectsTable" ref="A1:M21" totalsRowShown="0">
  <tableColumns count="13">
    <tableColumn id="1" xr3:uid="{00000000-0010-0000-0200-000001000000}" name="Defect ID"/>
    <tableColumn id="2" xr3:uid="{00000000-0010-0000-0200-000002000000}" name="Test Case ID"/>
    <tableColumn id="3" xr3:uid="{00000000-0010-0000-0200-000003000000}" name="Severity"/>
    <tableColumn id="4" xr3:uid="{00000000-0010-0000-0200-000004000000}" name="Priority"/>
    <tableColumn id="5" xr3:uid="{00000000-0010-0000-0200-000005000000}" name="Summary"/>
    <tableColumn id="6" xr3:uid="{00000000-0010-0000-0200-000006000000}" name="Expected Result"/>
    <tableColumn id="7" xr3:uid="{00000000-0010-0000-0200-000007000000}" name="Actual Result"/>
    <tableColumn id="8" xr3:uid="{00000000-0010-0000-0200-000008000000}" name="Owner"/>
    <tableColumn id="9" xr3:uid="{00000000-0010-0000-0200-000009000000}" name="Status"/>
    <tableColumn id="10" xr3:uid="{00000000-0010-0000-0200-00000A000000}" name="Fix Branch / Commit"/>
    <tableColumn id="11" xr3:uid="{00000000-0010-0000-0200-00000B000000}" name="Retest Result"/>
    <tableColumn id="12" xr3:uid="{00000000-0010-0000-0200-00000C000000}" name="Evidence"/>
    <tableColumn id="13" xr3:uid="{00000000-0010-0000-0200-00000D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workbookViewId="0">
      <selection activeCell="D24" sqref="D24"/>
    </sheetView>
  </sheetViews>
  <sheetFormatPr defaultRowHeight="14.25"/>
  <cols>
    <col min="1" max="1" width="24" customWidth="1"/>
    <col min="2" max="2" width="42" customWidth="1"/>
    <col min="3" max="3" width="4" customWidth="1"/>
    <col min="4" max="4" width="24" customWidth="1"/>
    <col min="5" max="5" width="16" customWidth="1"/>
    <col min="6" max="8" width="12" customWidth="1"/>
  </cols>
  <sheetData>
    <row r="1" spans="1:8" ht="30" customHeight="1">
      <c r="A1" s="9" t="s">
        <v>0</v>
      </c>
      <c r="B1" s="9"/>
      <c r="C1" s="9"/>
      <c r="D1" s="9"/>
      <c r="E1" s="9"/>
      <c r="F1" s="9"/>
      <c r="G1" s="9"/>
      <c r="H1" s="9"/>
    </row>
    <row r="2" spans="1:8">
      <c r="A2" s="3"/>
      <c r="B2" s="3"/>
      <c r="C2" s="3"/>
      <c r="D2" s="3"/>
      <c r="E2" s="3"/>
      <c r="F2" s="3"/>
      <c r="G2" s="3"/>
      <c r="H2" s="3"/>
    </row>
    <row r="3" spans="1:8" ht="15">
      <c r="A3" s="1" t="s">
        <v>1</v>
      </c>
      <c r="B3" s="1" t="s">
        <v>2</v>
      </c>
      <c r="C3" s="4"/>
      <c r="D3" s="1" t="s">
        <v>3</v>
      </c>
      <c r="E3" s="1" t="s">
        <v>4</v>
      </c>
      <c r="F3" s="4"/>
      <c r="G3" s="4"/>
      <c r="H3" s="4"/>
    </row>
    <row r="4" spans="1:8">
      <c r="A4" s="4" t="s">
        <v>5</v>
      </c>
      <c r="B4" s="4" t="s">
        <v>6</v>
      </c>
      <c r="C4" s="4"/>
      <c r="D4" s="4" t="s">
        <v>7</v>
      </c>
      <c r="E4" s="4">
        <f>COUNTA('Test Cases'!A2:A33)</f>
        <v>32</v>
      </c>
      <c r="F4" s="4"/>
      <c r="G4" s="4"/>
      <c r="H4" s="4"/>
    </row>
    <row r="5" spans="1:8">
      <c r="A5" s="4" t="s">
        <v>8</v>
      </c>
      <c r="B5" s="4" t="s">
        <v>9</v>
      </c>
      <c r="C5" s="4"/>
      <c r="D5" s="4" t="s">
        <v>10</v>
      </c>
      <c r="E5" s="4">
        <v>0</v>
      </c>
      <c r="F5" s="4"/>
      <c r="G5" s="4"/>
      <c r="H5" s="4"/>
    </row>
    <row r="6" spans="1:8">
      <c r="A6" s="4" t="s">
        <v>11</v>
      </c>
      <c r="B6" s="4" t="s">
        <v>528</v>
      </c>
      <c r="C6" s="4"/>
      <c r="D6" s="4" t="s">
        <v>12</v>
      </c>
      <c r="E6" s="4">
        <v>30</v>
      </c>
      <c r="F6" s="4"/>
      <c r="G6" s="4"/>
      <c r="H6" s="4"/>
    </row>
    <row r="7" spans="1:8">
      <c r="A7" s="4" t="s">
        <v>13</v>
      </c>
      <c r="B7" s="4" t="s">
        <v>14</v>
      </c>
      <c r="C7" s="4"/>
      <c r="D7" s="4" t="s">
        <v>15</v>
      </c>
      <c r="E7" s="4">
        <v>0</v>
      </c>
      <c r="F7" s="4"/>
      <c r="G7" s="4"/>
      <c r="H7" s="4"/>
    </row>
    <row r="8" spans="1:8" ht="28.5">
      <c r="A8" s="4" t="s">
        <v>16</v>
      </c>
      <c r="B8" s="4" t="s">
        <v>17</v>
      </c>
      <c r="C8" s="4"/>
      <c r="D8" s="4" t="s">
        <v>18</v>
      </c>
      <c r="E8" s="4">
        <v>0</v>
      </c>
      <c r="F8" s="4"/>
      <c r="G8" s="4"/>
      <c r="H8" s="4"/>
    </row>
    <row r="9" spans="1:8" ht="57">
      <c r="A9" s="4" t="s">
        <v>19</v>
      </c>
      <c r="B9" s="4" t="s">
        <v>529</v>
      </c>
      <c r="C9" s="4"/>
      <c r="D9" s="4" t="s">
        <v>20</v>
      </c>
      <c r="E9" s="4">
        <v>2</v>
      </c>
      <c r="F9" s="4"/>
      <c r="G9" s="4"/>
      <c r="H9" s="4"/>
    </row>
    <row r="10" spans="1:8">
      <c r="A10" s="4"/>
      <c r="B10" s="4"/>
      <c r="C10" s="4"/>
      <c r="D10" s="4"/>
      <c r="E10" s="4"/>
      <c r="F10" s="4"/>
      <c r="G10" s="4"/>
      <c r="H10" s="4"/>
    </row>
    <row r="11" spans="1:8">
      <c r="A11" s="4"/>
      <c r="B11" s="4"/>
      <c r="C11" s="4"/>
      <c r="D11" s="4"/>
      <c r="E11" s="4"/>
      <c r="F11" s="4"/>
      <c r="G11" s="4"/>
      <c r="H11" s="4"/>
    </row>
    <row r="12" spans="1:8" ht="15">
      <c r="A12" s="1" t="s">
        <v>21</v>
      </c>
      <c r="B12" s="1" t="s">
        <v>4</v>
      </c>
      <c r="C12" s="4"/>
      <c r="D12" s="1" t="s">
        <v>22</v>
      </c>
      <c r="E12" s="1" t="s">
        <v>4</v>
      </c>
      <c r="F12" s="4"/>
      <c r="G12" s="4"/>
      <c r="H12" s="4"/>
    </row>
    <row r="13" spans="1:8">
      <c r="A13" s="4" t="s">
        <v>23</v>
      </c>
      <c r="B13" s="4">
        <f>COUNTIF('Test Cases'!E2:E33,A13)</f>
        <v>21</v>
      </c>
      <c r="C13" s="4"/>
      <c r="D13" s="4" t="s">
        <v>24</v>
      </c>
      <c r="E13" s="4">
        <f>COUNTIF('Test Cases'!K2:K33,"Pass")</f>
        <v>27</v>
      </c>
      <c r="F13" s="4"/>
      <c r="G13" s="4"/>
      <c r="H13" s="4"/>
    </row>
    <row r="14" spans="1:8">
      <c r="A14" s="4" t="s">
        <v>25</v>
      </c>
      <c r="B14" s="4">
        <f>COUNTIF('Test Cases'!E2:E33,A14)</f>
        <v>6</v>
      </c>
      <c r="C14" s="4"/>
      <c r="D14" s="4" t="s">
        <v>26</v>
      </c>
      <c r="E14" s="4">
        <v>29</v>
      </c>
      <c r="F14" s="4"/>
      <c r="G14" s="4"/>
      <c r="H14" s="4"/>
    </row>
    <row r="15" spans="1:8">
      <c r="A15" s="4" t="s">
        <v>27</v>
      </c>
      <c r="B15" s="4">
        <f>COUNTIF('Test Cases'!E2:E33,A15)</f>
        <v>2</v>
      </c>
      <c r="C15" s="4"/>
      <c r="D15" s="4" t="s">
        <v>28</v>
      </c>
      <c r="E15" s="4">
        <v>0</v>
      </c>
      <c r="F15" s="4"/>
      <c r="G15" s="4"/>
      <c r="H15" s="4"/>
    </row>
    <row r="16" spans="1:8" ht="28.5">
      <c r="A16" s="4" t="s">
        <v>29</v>
      </c>
      <c r="B16" s="4">
        <f>COUNTIF('Test Cases'!E2:E33,A16)</f>
        <v>1</v>
      </c>
      <c r="C16" s="4"/>
      <c r="D16" s="4" t="s">
        <v>30</v>
      </c>
      <c r="E16" s="4">
        <v>1</v>
      </c>
      <c r="F16" s="4"/>
      <c r="G16" s="4"/>
      <c r="H16" s="4"/>
    </row>
    <row r="17" spans="1:8">
      <c r="A17" s="4" t="s">
        <v>31</v>
      </c>
      <c r="B17" s="4">
        <f>COUNTIF('Test Cases'!E2:E33,A17)</f>
        <v>2</v>
      </c>
      <c r="C17" s="4"/>
      <c r="D17" s="4" t="s">
        <v>32</v>
      </c>
      <c r="E17" s="4">
        <v>2</v>
      </c>
      <c r="F17" s="4"/>
      <c r="G17" s="4"/>
      <c r="H17" s="4"/>
    </row>
    <row r="18" spans="1:8">
      <c r="A18" s="4"/>
      <c r="B18" s="4"/>
      <c r="C18" s="4"/>
      <c r="D18" s="4"/>
      <c r="E18" s="4"/>
      <c r="F18" s="4"/>
      <c r="G18" s="4"/>
      <c r="H18" s="4"/>
    </row>
    <row r="19" spans="1:8">
      <c r="A19" s="10" t="s">
        <v>33</v>
      </c>
      <c r="B19" s="10"/>
      <c r="C19" s="10"/>
      <c r="D19" s="10"/>
      <c r="E19" s="10"/>
      <c r="F19" s="10"/>
      <c r="G19" s="10"/>
      <c r="H19" s="10"/>
    </row>
  </sheetData>
  <mergeCells count="2">
    <mergeCell ref="A1:H1"/>
    <mergeCell ref="A19:H19"/>
  </mergeCells>
  <conditionalFormatting sqref="E5:E9">
    <cfRule type="dataBar" priority="1">
      <dataBar>
        <cfvo type="min"/>
        <cfvo type="max"/>
        <color rgb="FFA02B93"/>
      </dataBar>
    </cfRule>
    <cfRule type="dataBar" priority="2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{8213237C-262D-8CED-9257-E0A72B4BD1FC}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213237C-262D-8CED-9257-E0A72B4BD1FC}">
            <x14:dataBar>
              <x14:cfvo type="min"/>
              <x14:cfvo type="max"/>
              <x14:negativeFillColor auto="1"/>
              <x14:axisColor auto="1"/>
            </x14:dataBar>
          </x14:cfRule>
          <xm:sqref>E5:E9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3"/>
  <sheetViews>
    <sheetView tabSelected="1" topLeftCell="N29" zoomScaleNormal="100" workbookViewId="0">
      <selection activeCell="V35" sqref="V35"/>
    </sheetView>
  </sheetViews>
  <sheetFormatPr defaultRowHeight="14.25"/>
  <cols>
    <col min="1" max="1" width="19" customWidth="1"/>
    <col min="2" max="2" width="22" customWidth="1"/>
    <col min="3" max="3" width="38" customWidth="1"/>
    <col min="4" max="4" width="42" customWidth="1"/>
    <col min="5" max="5" width="22" customWidth="1"/>
    <col min="6" max="6" width="48" customWidth="1"/>
    <col min="7" max="7" width="18" customWidth="1"/>
    <col min="8" max="8" width="38" customWidth="1"/>
    <col min="9" max="9" width="28" customWidth="1"/>
    <col min="10" max="10" width="25" customWidth="1"/>
    <col min="11" max="11" width="18" customWidth="1"/>
    <col min="12" max="12" width="50.75" customWidth="1"/>
    <col min="13" max="13" width="18" customWidth="1"/>
    <col min="14" max="14" width="34" customWidth="1"/>
    <col min="15" max="15" width="14" customWidth="1"/>
    <col min="16" max="16" width="18" customWidth="1"/>
    <col min="17" max="17" width="16" customWidth="1"/>
    <col min="18" max="18" width="42" customWidth="1"/>
    <col min="19" max="19" width="15" customWidth="1"/>
    <col min="20" max="20" width="16" customWidth="1"/>
    <col min="21" max="21" width="30" customWidth="1"/>
    <col min="22" max="22" width="44" customWidth="1"/>
  </cols>
  <sheetData>
    <row r="1" spans="1:22" ht="33.950000000000003" customHeight="1">
      <c r="A1" s="5" t="s">
        <v>34</v>
      </c>
      <c r="B1" s="5" t="s">
        <v>35</v>
      </c>
      <c r="C1" s="5" t="s">
        <v>36</v>
      </c>
      <c r="D1" s="5" t="s">
        <v>37</v>
      </c>
      <c r="E1" s="5" t="s">
        <v>38</v>
      </c>
      <c r="F1" s="5" t="s">
        <v>39</v>
      </c>
      <c r="G1" s="5" t="s">
        <v>40</v>
      </c>
      <c r="H1" s="5" t="s">
        <v>41</v>
      </c>
      <c r="I1" s="5" t="s">
        <v>42</v>
      </c>
      <c r="J1" s="5" t="s">
        <v>43</v>
      </c>
      <c r="K1" s="5" t="s">
        <v>44</v>
      </c>
      <c r="L1" s="5" t="s">
        <v>45</v>
      </c>
      <c r="M1" s="5" t="s">
        <v>46</v>
      </c>
      <c r="N1" s="5" t="s">
        <v>47</v>
      </c>
      <c r="O1" s="5" t="s">
        <v>3</v>
      </c>
      <c r="P1" s="5" t="s">
        <v>48</v>
      </c>
      <c r="Q1" s="5" t="s">
        <v>49</v>
      </c>
      <c r="R1" s="5" t="s">
        <v>50</v>
      </c>
      <c r="S1" s="5" t="s">
        <v>51</v>
      </c>
      <c r="T1" s="5" t="s">
        <v>52</v>
      </c>
      <c r="U1" s="5" t="s">
        <v>53</v>
      </c>
      <c r="V1" s="5" t="s">
        <v>54</v>
      </c>
    </row>
    <row r="2" spans="1:22" ht="57">
      <c r="A2" s="6" t="s">
        <v>55</v>
      </c>
      <c r="B2" s="6" t="s">
        <v>56</v>
      </c>
      <c r="C2" s="6" t="s">
        <v>57</v>
      </c>
      <c r="D2" s="6" t="s">
        <v>58</v>
      </c>
      <c r="E2" s="6" t="s">
        <v>23</v>
      </c>
      <c r="F2" s="6" t="s">
        <v>59</v>
      </c>
      <c r="G2" s="6" t="s">
        <v>60</v>
      </c>
      <c r="H2" s="6" t="s">
        <v>61</v>
      </c>
      <c r="I2" s="6" t="s">
        <v>62</v>
      </c>
      <c r="J2" s="6" t="s">
        <v>63</v>
      </c>
      <c r="K2" s="6" t="s">
        <v>12</v>
      </c>
      <c r="L2" s="6" t="s">
        <v>12</v>
      </c>
      <c r="M2" s="6" t="s">
        <v>63</v>
      </c>
      <c r="N2" s="6" t="s">
        <v>64</v>
      </c>
      <c r="O2" s="6" t="s">
        <v>12</v>
      </c>
      <c r="P2" s="6" t="s">
        <v>9</v>
      </c>
      <c r="Q2" s="7">
        <v>46301</v>
      </c>
      <c r="R2" s="6" t="s">
        <v>65</v>
      </c>
      <c r="S2" s="6"/>
      <c r="T2" s="6" t="s">
        <v>66</v>
      </c>
      <c r="U2" s="6" t="s">
        <v>67</v>
      </c>
      <c r="V2" s="6" t="s">
        <v>68</v>
      </c>
    </row>
    <row r="3" spans="1:22" ht="85.5">
      <c r="A3" s="6" t="s">
        <v>69</v>
      </c>
      <c r="B3" s="6" t="s">
        <v>56</v>
      </c>
      <c r="C3" s="6" t="s">
        <v>70</v>
      </c>
      <c r="D3" s="6" t="s">
        <v>71</v>
      </c>
      <c r="E3" s="6" t="s">
        <v>23</v>
      </c>
      <c r="F3" s="6" t="s">
        <v>72</v>
      </c>
      <c r="G3" s="6" t="s">
        <v>60</v>
      </c>
      <c r="H3" s="6" t="s">
        <v>61</v>
      </c>
      <c r="I3" s="6" t="s">
        <v>62</v>
      </c>
      <c r="J3" s="6" t="s">
        <v>73</v>
      </c>
      <c r="K3" s="6" t="s">
        <v>12</v>
      </c>
      <c r="L3" s="6" t="s">
        <v>12</v>
      </c>
      <c r="M3" s="6" t="s">
        <v>74</v>
      </c>
      <c r="N3" s="6" t="s">
        <v>75</v>
      </c>
      <c r="O3" s="6" t="s">
        <v>12</v>
      </c>
      <c r="P3" s="6" t="s">
        <v>9</v>
      </c>
      <c r="Q3" s="7">
        <v>46301</v>
      </c>
      <c r="R3" s="6" t="s">
        <v>76</v>
      </c>
      <c r="S3" s="6"/>
      <c r="T3" s="6" t="s">
        <v>66</v>
      </c>
      <c r="U3" s="6" t="s">
        <v>77</v>
      </c>
      <c r="V3" s="6" t="s">
        <v>78</v>
      </c>
    </row>
    <row r="4" spans="1:22" ht="114">
      <c r="A4" s="6" t="s">
        <v>79</v>
      </c>
      <c r="B4" s="6" t="s">
        <v>56</v>
      </c>
      <c r="C4" s="6" t="s">
        <v>80</v>
      </c>
      <c r="D4" s="6" t="s">
        <v>81</v>
      </c>
      <c r="E4" s="6" t="s">
        <v>23</v>
      </c>
      <c r="F4" s="6" t="s">
        <v>82</v>
      </c>
      <c r="G4" s="6" t="s">
        <v>83</v>
      </c>
      <c r="H4" s="6" t="s">
        <v>84</v>
      </c>
      <c r="I4" s="6" t="s">
        <v>85</v>
      </c>
      <c r="J4" s="6" t="s">
        <v>73</v>
      </c>
      <c r="K4" s="6" t="s">
        <v>12</v>
      </c>
      <c r="L4" s="6" t="s">
        <v>12</v>
      </c>
      <c r="M4" s="6" t="s">
        <v>86</v>
      </c>
      <c r="N4" s="6" t="s">
        <v>87</v>
      </c>
      <c r="O4" s="6" t="s">
        <v>12</v>
      </c>
      <c r="P4" s="6" t="s">
        <v>9</v>
      </c>
      <c r="Q4" s="7">
        <v>46301</v>
      </c>
      <c r="R4" s="6" t="s">
        <v>88</v>
      </c>
      <c r="S4" s="6"/>
      <c r="T4" s="6" t="s">
        <v>66</v>
      </c>
      <c r="U4" s="6" t="s">
        <v>89</v>
      </c>
      <c r="V4" s="6" t="s">
        <v>78</v>
      </c>
    </row>
    <row r="5" spans="1:22" ht="99.75">
      <c r="A5" s="6" t="s">
        <v>90</v>
      </c>
      <c r="B5" s="6" t="s">
        <v>56</v>
      </c>
      <c r="C5" s="6" t="s">
        <v>91</v>
      </c>
      <c r="D5" s="6" t="s">
        <v>92</v>
      </c>
      <c r="E5" s="6" t="s">
        <v>23</v>
      </c>
      <c r="F5" s="6" t="s">
        <v>93</v>
      </c>
      <c r="G5" s="6" t="s">
        <v>60</v>
      </c>
      <c r="H5" s="6" t="s">
        <v>94</v>
      </c>
      <c r="I5" s="6" t="s">
        <v>95</v>
      </c>
      <c r="J5" s="6" t="s">
        <v>96</v>
      </c>
      <c r="K5" s="6" t="s">
        <v>12</v>
      </c>
      <c r="L5" s="6" t="s">
        <v>12</v>
      </c>
      <c r="M5" s="6" t="s">
        <v>97</v>
      </c>
      <c r="N5" s="6" t="s">
        <v>98</v>
      </c>
      <c r="O5" s="6" t="s">
        <v>12</v>
      </c>
      <c r="P5" s="6" t="s">
        <v>9</v>
      </c>
      <c r="Q5" s="7">
        <v>46301</v>
      </c>
      <c r="R5" s="6" t="s">
        <v>99</v>
      </c>
      <c r="S5" s="6"/>
      <c r="T5" s="6" t="s">
        <v>66</v>
      </c>
      <c r="U5" s="6" t="s">
        <v>100</v>
      </c>
      <c r="V5" s="6" t="s">
        <v>101</v>
      </c>
    </row>
    <row r="6" spans="1:22" ht="99.75">
      <c r="A6" s="6" t="s">
        <v>102</v>
      </c>
      <c r="B6" s="6" t="s">
        <v>56</v>
      </c>
      <c r="C6" s="6" t="s">
        <v>103</v>
      </c>
      <c r="D6" s="6" t="s">
        <v>104</v>
      </c>
      <c r="E6" s="6" t="s">
        <v>23</v>
      </c>
      <c r="F6" s="6" t="s">
        <v>105</v>
      </c>
      <c r="G6" s="6" t="s">
        <v>60</v>
      </c>
      <c r="H6" s="6" t="s">
        <v>106</v>
      </c>
      <c r="I6" s="6" t="s">
        <v>107</v>
      </c>
      <c r="J6" s="6" t="s">
        <v>108</v>
      </c>
      <c r="K6" s="6" t="s">
        <v>12</v>
      </c>
      <c r="L6" s="6" t="s">
        <v>12</v>
      </c>
      <c r="M6" s="6" t="s">
        <v>97</v>
      </c>
      <c r="N6" s="6" t="s">
        <v>109</v>
      </c>
      <c r="O6" s="6" t="s">
        <v>12</v>
      </c>
      <c r="P6" s="6" t="s">
        <v>9</v>
      </c>
      <c r="Q6" s="7">
        <v>46301</v>
      </c>
      <c r="R6" s="6" t="s">
        <v>110</v>
      </c>
      <c r="S6" s="6"/>
      <c r="T6" s="6" t="s">
        <v>66</v>
      </c>
      <c r="U6" s="6" t="s">
        <v>111</v>
      </c>
      <c r="V6" s="6" t="s">
        <v>112</v>
      </c>
    </row>
    <row r="7" spans="1:22" ht="213.75">
      <c r="A7" s="6" t="s">
        <v>113</v>
      </c>
      <c r="B7" s="6" t="s">
        <v>56</v>
      </c>
      <c r="C7" s="6" t="s">
        <v>114</v>
      </c>
      <c r="D7" s="6" t="s">
        <v>115</v>
      </c>
      <c r="E7" s="6" t="s">
        <v>23</v>
      </c>
      <c r="F7" s="6" t="s">
        <v>116</v>
      </c>
      <c r="G7" s="6" t="s">
        <v>60</v>
      </c>
      <c r="H7" s="6" t="s">
        <v>117</v>
      </c>
      <c r="I7" s="6" t="s">
        <v>118</v>
      </c>
      <c r="J7" s="6" t="s">
        <v>119</v>
      </c>
      <c r="K7" s="6" t="s">
        <v>12</v>
      </c>
      <c r="L7" s="6" t="s">
        <v>12</v>
      </c>
      <c r="M7" s="6" t="s">
        <v>120</v>
      </c>
      <c r="N7" s="6" t="s">
        <v>121</v>
      </c>
      <c r="O7" s="6" t="s">
        <v>12</v>
      </c>
      <c r="P7" s="6" t="s">
        <v>9</v>
      </c>
      <c r="Q7" s="7">
        <v>46301</v>
      </c>
      <c r="R7" s="6" t="s">
        <v>122</v>
      </c>
      <c r="S7" s="6"/>
      <c r="T7" s="6" t="s">
        <v>66</v>
      </c>
      <c r="U7" s="6" t="s">
        <v>123</v>
      </c>
      <c r="V7" s="6" t="s">
        <v>68</v>
      </c>
    </row>
    <row r="8" spans="1:22" ht="71.25">
      <c r="A8" s="6" t="s">
        <v>124</v>
      </c>
      <c r="B8" s="6" t="s">
        <v>125</v>
      </c>
      <c r="C8" s="6" t="s">
        <v>126</v>
      </c>
      <c r="D8" s="6" t="s">
        <v>127</v>
      </c>
      <c r="E8" s="6" t="s">
        <v>23</v>
      </c>
      <c r="F8" s="6" t="s">
        <v>128</v>
      </c>
      <c r="G8" s="6" t="s">
        <v>83</v>
      </c>
      <c r="H8" s="6" t="s">
        <v>129</v>
      </c>
      <c r="I8" s="6" t="s">
        <v>62</v>
      </c>
      <c r="J8" s="6" t="s">
        <v>73</v>
      </c>
      <c r="K8" s="6" t="s">
        <v>12</v>
      </c>
      <c r="L8" s="6" t="s">
        <v>12</v>
      </c>
      <c r="M8" s="6" t="s">
        <v>130</v>
      </c>
      <c r="N8" s="6" t="s">
        <v>131</v>
      </c>
      <c r="O8" s="6" t="s">
        <v>12</v>
      </c>
      <c r="P8" s="6" t="s">
        <v>9</v>
      </c>
      <c r="Q8" s="7">
        <v>46301</v>
      </c>
      <c r="R8" s="6" t="s">
        <v>132</v>
      </c>
      <c r="S8" s="6"/>
      <c r="T8" s="6" t="s">
        <v>66</v>
      </c>
      <c r="U8" s="6" t="s">
        <v>133</v>
      </c>
      <c r="V8" s="6" t="s">
        <v>134</v>
      </c>
    </row>
    <row r="9" spans="1:22" ht="71.25">
      <c r="A9" s="6" t="s">
        <v>135</v>
      </c>
      <c r="B9" s="6" t="s">
        <v>125</v>
      </c>
      <c r="C9" s="6" t="s">
        <v>136</v>
      </c>
      <c r="D9" s="6" t="s">
        <v>137</v>
      </c>
      <c r="E9" s="6" t="s">
        <v>23</v>
      </c>
      <c r="F9" s="6" t="s">
        <v>138</v>
      </c>
      <c r="G9" s="6" t="s">
        <v>83</v>
      </c>
      <c r="H9" s="6" t="s">
        <v>139</v>
      </c>
      <c r="I9" s="6" t="s">
        <v>140</v>
      </c>
      <c r="J9" s="6" t="s">
        <v>141</v>
      </c>
      <c r="K9" s="6" t="s">
        <v>12</v>
      </c>
      <c r="L9" s="6" t="s">
        <v>12</v>
      </c>
      <c r="M9" s="6" t="s">
        <v>142</v>
      </c>
      <c r="N9" s="6" t="s">
        <v>143</v>
      </c>
      <c r="O9" s="6" t="s">
        <v>12</v>
      </c>
      <c r="P9" s="6" t="s">
        <v>9</v>
      </c>
      <c r="Q9" s="7">
        <v>46301</v>
      </c>
      <c r="R9" s="6" t="s">
        <v>144</v>
      </c>
      <c r="S9" s="6"/>
      <c r="T9" s="6" t="s">
        <v>66</v>
      </c>
      <c r="U9" s="6" t="s">
        <v>145</v>
      </c>
      <c r="V9" s="6" t="s">
        <v>146</v>
      </c>
    </row>
    <row r="10" spans="1:22" ht="327.75">
      <c r="A10" s="6" t="s">
        <v>147</v>
      </c>
      <c r="B10" s="6" t="s">
        <v>125</v>
      </c>
      <c r="C10" s="6" t="s">
        <v>148</v>
      </c>
      <c r="D10" s="6" t="s">
        <v>149</v>
      </c>
      <c r="E10" s="6" t="s">
        <v>23</v>
      </c>
      <c r="F10" s="6" t="s">
        <v>150</v>
      </c>
      <c r="G10" s="6" t="s">
        <v>151</v>
      </c>
      <c r="H10" s="6" t="s">
        <v>152</v>
      </c>
      <c r="I10" s="6" t="s">
        <v>140</v>
      </c>
      <c r="J10" s="6" t="s">
        <v>141</v>
      </c>
      <c r="K10" s="6" t="s">
        <v>12</v>
      </c>
      <c r="L10" s="6" t="s">
        <v>12</v>
      </c>
      <c r="M10" s="6" t="s">
        <v>153</v>
      </c>
      <c r="N10" s="6" t="s">
        <v>154</v>
      </c>
      <c r="O10" s="6" t="s">
        <v>12</v>
      </c>
      <c r="P10" s="6" t="s">
        <v>9</v>
      </c>
      <c r="Q10" s="7">
        <v>46301</v>
      </c>
      <c r="R10" s="6" t="s">
        <v>155</v>
      </c>
      <c r="S10" s="6"/>
      <c r="T10" s="6" t="s">
        <v>66</v>
      </c>
      <c r="U10" s="6" t="s">
        <v>156</v>
      </c>
      <c r="V10" s="6" t="s">
        <v>134</v>
      </c>
    </row>
    <row r="11" spans="1:22" ht="71.25">
      <c r="A11" s="6" t="s">
        <v>157</v>
      </c>
      <c r="B11" s="6" t="s">
        <v>125</v>
      </c>
      <c r="C11" s="6" t="s">
        <v>158</v>
      </c>
      <c r="D11" s="6" t="s">
        <v>159</v>
      </c>
      <c r="E11" s="6" t="s">
        <v>23</v>
      </c>
      <c r="F11" s="6" t="s">
        <v>160</v>
      </c>
      <c r="G11" s="6" t="s">
        <v>161</v>
      </c>
      <c r="H11" s="6" t="s">
        <v>162</v>
      </c>
      <c r="I11" s="6" t="s">
        <v>163</v>
      </c>
      <c r="J11" s="6" t="s">
        <v>164</v>
      </c>
      <c r="K11" s="6" t="s">
        <v>12</v>
      </c>
      <c r="L11" s="6" t="s">
        <v>12</v>
      </c>
      <c r="M11" s="6" t="s">
        <v>63</v>
      </c>
      <c r="N11" s="6" t="s">
        <v>165</v>
      </c>
      <c r="O11" s="6" t="s">
        <v>12</v>
      </c>
      <c r="P11" s="6" t="s">
        <v>9</v>
      </c>
      <c r="Q11" s="7">
        <v>46301</v>
      </c>
      <c r="R11" s="6" t="s">
        <v>166</v>
      </c>
      <c r="S11" s="6"/>
      <c r="T11" s="6" t="s">
        <v>66</v>
      </c>
      <c r="U11" s="6" t="s">
        <v>167</v>
      </c>
      <c r="V11" s="6" t="s">
        <v>168</v>
      </c>
    </row>
    <row r="12" spans="1:22" ht="114">
      <c r="A12" s="6" t="s">
        <v>169</v>
      </c>
      <c r="B12" s="6" t="s">
        <v>125</v>
      </c>
      <c r="C12" s="6" t="s">
        <v>170</v>
      </c>
      <c r="D12" s="6" t="s">
        <v>171</v>
      </c>
      <c r="E12" s="6" t="s">
        <v>23</v>
      </c>
      <c r="F12" s="6" t="s">
        <v>172</v>
      </c>
      <c r="G12" s="6" t="s">
        <v>161</v>
      </c>
      <c r="H12" s="6" t="s">
        <v>173</v>
      </c>
      <c r="I12" s="6" t="s">
        <v>163</v>
      </c>
      <c r="J12" s="6" t="s">
        <v>174</v>
      </c>
      <c r="K12" s="6" t="s">
        <v>12</v>
      </c>
      <c r="L12" s="6" t="s">
        <v>12</v>
      </c>
      <c r="M12" s="6" t="s">
        <v>175</v>
      </c>
      <c r="N12" s="6" t="s">
        <v>176</v>
      </c>
      <c r="O12" s="6" t="s">
        <v>12</v>
      </c>
      <c r="P12" s="6" t="s">
        <v>9</v>
      </c>
      <c r="Q12" s="7">
        <v>46301</v>
      </c>
      <c r="R12" s="6" t="s">
        <v>177</v>
      </c>
      <c r="S12" s="6"/>
      <c r="T12" s="6" t="s">
        <v>66</v>
      </c>
      <c r="U12" s="6" t="s">
        <v>178</v>
      </c>
      <c r="V12" s="6" t="s">
        <v>168</v>
      </c>
    </row>
    <row r="13" spans="1:22" ht="142.5">
      <c r="A13" s="6" t="s">
        <v>179</v>
      </c>
      <c r="B13" s="6" t="s">
        <v>125</v>
      </c>
      <c r="C13" s="6" t="s">
        <v>180</v>
      </c>
      <c r="D13" s="6" t="s">
        <v>181</v>
      </c>
      <c r="E13" s="6" t="s">
        <v>23</v>
      </c>
      <c r="F13" s="6" t="s">
        <v>182</v>
      </c>
      <c r="G13" s="6" t="s">
        <v>183</v>
      </c>
      <c r="H13" s="6" t="s">
        <v>184</v>
      </c>
      <c r="I13" s="6" t="s">
        <v>185</v>
      </c>
      <c r="J13" s="6" t="s">
        <v>186</v>
      </c>
      <c r="K13" s="6" t="s">
        <v>12</v>
      </c>
      <c r="L13" s="6" t="s">
        <v>12</v>
      </c>
      <c r="M13" s="6" t="s">
        <v>187</v>
      </c>
      <c r="N13" s="6" t="s">
        <v>188</v>
      </c>
      <c r="O13" s="6" t="s">
        <v>12</v>
      </c>
      <c r="P13" s="6" t="s">
        <v>9</v>
      </c>
      <c r="Q13" s="7">
        <v>46301</v>
      </c>
      <c r="R13" s="6" t="s">
        <v>189</v>
      </c>
      <c r="S13" s="6"/>
      <c r="T13" s="6" t="s">
        <v>66</v>
      </c>
      <c r="U13" s="6" t="s">
        <v>190</v>
      </c>
      <c r="V13" s="6" t="s">
        <v>191</v>
      </c>
    </row>
    <row r="14" spans="1:22" ht="71.25">
      <c r="A14" s="6" t="s">
        <v>192</v>
      </c>
      <c r="B14" s="6" t="s">
        <v>193</v>
      </c>
      <c r="C14" s="6" t="s">
        <v>194</v>
      </c>
      <c r="D14" s="6" t="s">
        <v>195</v>
      </c>
      <c r="E14" s="6" t="s">
        <v>23</v>
      </c>
      <c r="F14" s="6" t="s">
        <v>196</v>
      </c>
      <c r="G14" s="6" t="s">
        <v>83</v>
      </c>
      <c r="H14" s="6" t="s">
        <v>197</v>
      </c>
      <c r="I14" s="6" t="s">
        <v>140</v>
      </c>
      <c r="J14" s="6" t="s">
        <v>63</v>
      </c>
      <c r="K14" s="6" t="s">
        <v>12</v>
      </c>
      <c r="L14" s="6" t="s">
        <v>12</v>
      </c>
      <c r="M14" s="6" t="s">
        <v>63</v>
      </c>
      <c r="N14" s="6" t="s">
        <v>198</v>
      </c>
      <c r="O14" s="6" t="s">
        <v>12</v>
      </c>
      <c r="P14" s="6" t="s">
        <v>9</v>
      </c>
      <c r="Q14" s="7">
        <v>46301</v>
      </c>
      <c r="R14" s="6" t="s">
        <v>199</v>
      </c>
      <c r="S14" s="6"/>
      <c r="T14" s="6" t="s">
        <v>66</v>
      </c>
      <c r="U14" s="6" t="s">
        <v>200</v>
      </c>
      <c r="V14" s="6" t="s">
        <v>201</v>
      </c>
    </row>
    <row r="15" spans="1:22" ht="171">
      <c r="A15" s="6" t="s">
        <v>202</v>
      </c>
      <c r="B15" s="6" t="s">
        <v>193</v>
      </c>
      <c r="C15" s="6" t="s">
        <v>203</v>
      </c>
      <c r="D15" s="6" t="s">
        <v>204</v>
      </c>
      <c r="E15" s="6" t="s">
        <v>23</v>
      </c>
      <c r="F15" s="6" t="s">
        <v>205</v>
      </c>
      <c r="G15" s="6" t="s">
        <v>161</v>
      </c>
      <c r="H15" s="6" t="s">
        <v>197</v>
      </c>
      <c r="I15" s="6" t="s">
        <v>140</v>
      </c>
      <c r="J15" s="6" t="s">
        <v>206</v>
      </c>
      <c r="K15" s="6" t="s">
        <v>12</v>
      </c>
      <c r="L15" s="6" t="s">
        <v>12</v>
      </c>
      <c r="M15" s="6" t="s">
        <v>207</v>
      </c>
      <c r="N15" s="6" t="s">
        <v>208</v>
      </c>
      <c r="O15" s="6" t="s">
        <v>12</v>
      </c>
      <c r="P15" s="6" t="s">
        <v>9</v>
      </c>
      <c r="Q15" s="7">
        <v>46301</v>
      </c>
      <c r="R15" s="6" t="s">
        <v>209</v>
      </c>
      <c r="S15" s="6"/>
      <c r="T15" s="6" t="s">
        <v>66</v>
      </c>
      <c r="U15" s="6" t="s">
        <v>210</v>
      </c>
      <c r="V15" s="6" t="s">
        <v>201</v>
      </c>
    </row>
    <row r="16" spans="1:22" ht="128.25">
      <c r="A16" s="6" t="s">
        <v>211</v>
      </c>
      <c r="B16" s="6" t="s">
        <v>193</v>
      </c>
      <c r="C16" s="6" t="s">
        <v>212</v>
      </c>
      <c r="D16" s="6" t="s">
        <v>213</v>
      </c>
      <c r="E16" s="6" t="s">
        <v>25</v>
      </c>
      <c r="F16" s="6" t="s">
        <v>214</v>
      </c>
      <c r="G16" s="6" t="s">
        <v>215</v>
      </c>
      <c r="H16" s="6" t="s">
        <v>216</v>
      </c>
      <c r="I16" s="6" t="s">
        <v>217</v>
      </c>
      <c r="J16" s="6" t="s">
        <v>218</v>
      </c>
      <c r="K16" s="6" t="s">
        <v>12</v>
      </c>
      <c r="L16" s="6" t="s">
        <v>12</v>
      </c>
      <c r="M16" s="6" t="s">
        <v>219</v>
      </c>
      <c r="N16" s="6" t="s">
        <v>220</v>
      </c>
      <c r="O16" s="6" t="s">
        <v>12</v>
      </c>
      <c r="P16" s="6" t="s">
        <v>9</v>
      </c>
      <c r="Q16" s="7">
        <v>46301</v>
      </c>
      <c r="R16" s="6" t="s">
        <v>221</v>
      </c>
      <c r="S16" s="6"/>
      <c r="T16" s="6" t="s">
        <v>66</v>
      </c>
      <c r="U16" s="6" t="s">
        <v>222</v>
      </c>
      <c r="V16" s="6" t="s">
        <v>223</v>
      </c>
    </row>
    <row r="17" spans="1:22" ht="71.25">
      <c r="A17" s="6" t="s">
        <v>224</v>
      </c>
      <c r="B17" s="6" t="s">
        <v>193</v>
      </c>
      <c r="C17" s="6" t="s">
        <v>225</v>
      </c>
      <c r="D17" s="6" t="s">
        <v>226</v>
      </c>
      <c r="E17" s="6" t="s">
        <v>23</v>
      </c>
      <c r="F17" s="6" t="s">
        <v>227</v>
      </c>
      <c r="G17" s="6" t="s">
        <v>60</v>
      </c>
      <c r="H17" s="6" t="s">
        <v>228</v>
      </c>
      <c r="I17" s="6" t="s">
        <v>140</v>
      </c>
      <c r="J17" s="6" t="s">
        <v>229</v>
      </c>
      <c r="K17" s="6" t="s">
        <v>12</v>
      </c>
      <c r="L17" s="6" t="s">
        <v>12</v>
      </c>
      <c r="M17" s="6" t="s">
        <v>230</v>
      </c>
      <c r="N17" s="6" t="s">
        <v>231</v>
      </c>
      <c r="O17" s="6" t="s">
        <v>12</v>
      </c>
      <c r="P17" s="6" t="s">
        <v>9</v>
      </c>
      <c r="Q17" s="7">
        <v>46301</v>
      </c>
      <c r="R17" s="6" t="s">
        <v>232</v>
      </c>
      <c r="S17" s="6"/>
      <c r="T17" s="6" t="s">
        <v>66</v>
      </c>
      <c r="U17" s="6" t="s">
        <v>233</v>
      </c>
      <c r="V17" s="6" t="s">
        <v>234</v>
      </c>
    </row>
    <row r="18" spans="1:22" ht="114">
      <c r="A18" s="6" t="s">
        <v>235</v>
      </c>
      <c r="B18" s="6" t="s">
        <v>193</v>
      </c>
      <c r="C18" s="6" t="s">
        <v>236</v>
      </c>
      <c r="D18" s="6" t="s">
        <v>237</v>
      </c>
      <c r="E18" s="6" t="s">
        <v>23</v>
      </c>
      <c r="F18" s="6" t="s">
        <v>238</v>
      </c>
      <c r="G18" s="6" t="s">
        <v>60</v>
      </c>
      <c r="H18" s="6" t="s">
        <v>239</v>
      </c>
      <c r="I18" s="6" t="s">
        <v>140</v>
      </c>
      <c r="J18" s="6" t="s">
        <v>240</v>
      </c>
      <c r="K18" s="6" t="s">
        <v>12</v>
      </c>
      <c r="L18" s="6" t="s">
        <v>12</v>
      </c>
      <c r="M18" s="6" t="s">
        <v>241</v>
      </c>
      <c r="N18" s="6" t="s">
        <v>242</v>
      </c>
      <c r="O18" s="6" t="s">
        <v>12</v>
      </c>
      <c r="P18" s="6" t="s">
        <v>9</v>
      </c>
      <c r="Q18" s="7">
        <v>46301</v>
      </c>
      <c r="R18" s="6" t="s">
        <v>243</v>
      </c>
      <c r="S18" s="6"/>
      <c r="T18" s="6" t="s">
        <v>66</v>
      </c>
      <c r="U18" s="6" t="s">
        <v>244</v>
      </c>
      <c r="V18" s="6" t="s">
        <v>245</v>
      </c>
    </row>
    <row r="19" spans="1:22" ht="185.25">
      <c r="A19" s="6" t="s">
        <v>246</v>
      </c>
      <c r="B19" s="6" t="s">
        <v>193</v>
      </c>
      <c r="C19" s="6" t="s">
        <v>247</v>
      </c>
      <c r="D19" s="6" t="s">
        <v>248</v>
      </c>
      <c r="E19" s="6" t="s">
        <v>23</v>
      </c>
      <c r="F19" s="6" t="s">
        <v>249</v>
      </c>
      <c r="G19" s="6" t="s">
        <v>250</v>
      </c>
      <c r="H19" s="6" t="s">
        <v>251</v>
      </c>
      <c r="I19" s="6" t="s">
        <v>140</v>
      </c>
      <c r="J19" s="6" t="s">
        <v>252</v>
      </c>
      <c r="K19" s="6" t="s">
        <v>12</v>
      </c>
      <c r="L19" s="6" t="s">
        <v>12</v>
      </c>
      <c r="M19" s="6" t="s">
        <v>253</v>
      </c>
      <c r="N19" s="6" t="s">
        <v>254</v>
      </c>
      <c r="O19" s="6" t="s">
        <v>12</v>
      </c>
      <c r="P19" s="6" t="s">
        <v>9</v>
      </c>
      <c r="Q19" s="7">
        <v>46301</v>
      </c>
      <c r="R19" s="6" t="s">
        <v>255</v>
      </c>
      <c r="S19" s="6"/>
      <c r="T19" s="6" t="s">
        <v>66</v>
      </c>
      <c r="U19" s="6" t="s">
        <v>256</v>
      </c>
      <c r="V19" s="6" t="s">
        <v>257</v>
      </c>
    </row>
    <row r="20" spans="1:22" ht="228">
      <c r="A20" s="6" t="s">
        <v>258</v>
      </c>
      <c r="B20" s="6" t="s">
        <v>259</v>
      </c>
      <c r="C20" s="6" t="s">
        <v>260</v>
      </c>
      <c r="D20" s="6" t="s">
        <v>261</v>
      </c>
      <c r="E20" s="6" t="s">
        <v>23</v>
      </c>
      <c r="F20" s="6" t="s">
        <v>262</v>
      </c>
      <c r="G20" s="6" t="s">
        <v>263</v>
      </c>
      <c r="H20" s="6" t="s">
        <v>264</v>
      </c>
      <c r="I20" s="6" t="s">
        <v>265</v>
      </c>
      <c r="J20" s="6" t="s">
        <v>266</v>
      </c>
      <c r="K20" s="6" t="s">
        <v>12</v>
      </c>
      <c r="L20" s="6" t="s">
        <v>12</v>
      </c>
      <c r="M20" s="6" t="s">
        <v>267</v>
      </c>
      <c r="N20" s="6" t="s">
        <v>268</v>
      </c>
      <c r="O20" s="6" t="s">
        <v>12</v>
      </c>
      <c r="P20" s="6" t="s">
        <v>9</v>
      </c>
      <c r="Q20" s="7">
        <v>46301</v>
      </c>
      <c r="R20" s="6" t="s">
        <v>269</v>
      </c>
      <c r="S20" s="6"/>
      <c r="T20" s="6" t="s">
        <v>66</v>
      </c>
      <c r="U20" s="6" t="s">
        <v>270</v>
      </c>
      <c r="V20" s="6" t="s">
        <v>271</v>
      </c>
    </row>
    <row r="21" spans="1:22" ht="199.5">
      <c r="A21" s="6" t="s">
        <v>272</v>
      </c>
      <c r="B21" s="6" t="s">
        <v>259</v>
      </c>
      <c r="C21" s="6" t="s">
        <v>273</v>
      </c>
      <c r="D21" s="6" t="s">
        <v>274</v>
      </c>
      <c r="E21" s="6" t="s">
        <v>23</v>
      </c>
      <c r="F21" s="6" t="s">
        <v>275</v>
      </c>
      <c r="G21" s="6" t="s">
        <v>263</v>
      </c>
      <c r="H21" s="6" t="s">
        <v>276</v>
      </c>
      <c r="I21" s="6" t="s">
        <v>277</v>
      </c>
      <c r="J21" s="6" t="s">
        <v>206</v>
      </c>
      <c r="K21" s="6" t="s">
        <v>12</v>
      </c>
      <c r="L21" s="6" t="s">
        <v>12</v>
      </c>
      <c r="M21" s="6" t="s">
        <v>278</v>
      </c>
      <c r="N21" s="6" t="s">
        <v>279</v>
      </c>
      <c r="O21" s="6" t="s">
        <v>12</v>
      </c>
      <c r="P21" s="6" t="s">
        <v>9</v>
      </c>
      <c r="Q21" s="7">
        <v>46301</v>
      </c>
      <c r="R21" s="6" t="s">
        <v>280</v>
      </c>
      <c r="S21" s="6"/>
      <c r="T21" s="6" t="s">
        <v>66</v>
      </c>
      <c r="U21" s="6" t="s">
        <v>281</v>
      </c>
      <c r="V21" s="6" t="s">
        <v>282</v>
      </c>
    </row>
    <row r="22" spans="1:22" ht="71.25">
      <c r="A22" s="6" t="s">
        <v>283</v>
      </c>
      <c r="B22" s="6" t="s">
        <v>284</v>
      </c>
      <c r="C22" s="6" t="s">
        <v>285</v>
      </c>
      <c r="D22" s="6" t="s">
        <v>286</v>
      </c>
      <c r="E22" s="6" t="s">
        <v>25</v>
      </c>
      <c r="F22" s="6" t="s">
        <v>287</v>
      </c>
      <c r="G22" s="6" t="s">
        <v>215</v>
      </c>
      <c r="H22" s="6" t="s">
        <v>215</v>
      </c>
      <c r="I22" s="6" t="s">
        <v>215</v>
      </c>
      <c r="J22" s="6" t="s">
        <v>215</v>
      </c>
      <c r="K22" s="6" t="s">
        <v>12</v>
      </c>
      <c r="L22" s="6" t="s">
        <v>12</v>
      </c>
      <c r="M22" s="6" t="s">
        <v>219</v>
      </c>
      <c r="N22" s="6" t="s">
        <v>288</v>
      </c>
      <c r="O22" s="6" t="s">
        <v>12</v>
      </c>
      <c r="P22" s="6" t="s">
        <v>9</v>
      </c>
      <c r="Q22" s="7">
        <v>46301</v>
      </c>
      <c r="R22" s="6" t="s">
        <v>289</v>
      </c>
      <c r="S22" s="6"/>
      <c r="T22" s="6" t="s">
        <v>66</v>
      </c>
      <c r="U22" s="6" t="s">
        <v>290</v>
      </c>
      <c r="V22" s="6" t="s">
        <v>291</v>
      </c>
    </row>
    <row r="23" spans="1:22" ht="99.75">
      <c r="A23" s="6" t="s">
        <v>292</v>
      </c>
      <c r="B23" s="6" t="s">
        <v>284</v>
      </c>
      <c r="C23" s="6" t="s">
        <v>293</v>
      </c>
      <c r="D23" s="6" t="s">
        <v>294</v>
      </c>
      <c r="E23" s="6" t="s">
        <v>25</v>
      </c>
      <c r="F23" s="6" t="s">
        <v>295</v>
      </c>
      <c r="G23" s="6" t="s">
        <v>215</v>
      </c>
      <c r="H23" s="6" t="s">
        <v>215</v>
      </c>
      <c r="I23" s="6" t="s">
        <v>215</v>
      </c>
      <c r="J23" s="6" t="s">
        <v>215</v>
      </c>
      <c r="K23" s="6" t="s">
        <v>12</v>
      </c>
      <c r="L23" s="6" t="s">
        <v>12</v>
      </c>
      <c r="M23" s="6" t="s">
        <v>219</v>
      </c>
      <c r="N23" s="6" t="s">
        <v>296</v>
      </c>
      <c r="O23" s="6" t="s">
        <v>12</v>
      </c>
      <c r="P23" s="6" t="s">
        <v>9</v>
      </c>
      <c r="Q23" s="7">
        <v>46301</v>
      </c>
      <c r="R23" s="6" t="s">
        <v>297</v>
      </c>
      <c r="S23" s="6"/>
      <c r="T23" s="6" t="s">
        <v>66</v>
      </c>
      <c r="U23" s="6" t="s">
        <v>298</v>
      </c>
      <c r="V23" s="6" t="s">
        <v>291</v>
      </c>
    </row>
    <row r="24" spans="1:22" ht="171">
      <c r="A24" s="6" t="s">
        <v>299</v>
      </c>
      <c r="B24" s="6" t="s">
        <v>284</v>
      </c>
      <c r="C24" s="6" t="s">
        <v>300</v>
      </c>
      <c r="D24" s="6" t="s">
        <v>301</v>
      </c>
      <c r="E24" s="6" t="s">
        <v>25</v>
      </c>
      <c r="F24" s="6" t="s">
        <v>302</v>
      </c>
      <c r="G24" s="6" t="s">
        <v>215</v>
      </c>
      <c r="H24" s="6" t="s">
        <v>303</v>
      </c>
      <c r="I24" s="6" t="s">
        <v>304</v>
      </c>
      <c r="J24" s="6" t="s">
        <v>305</v>
      </c>
      <c r="K24" s="6" t="s">
        <v>12</v>
      </c>
      <c r="L24" s="6" t="s">
        <v>12</v>
      </c>
      <c r="M24" s="6" t="s">
        <v>306</v>
      </c>
      <c r="N24" s="6" t="s">
        <v>307</v>
      </c>
      <c r="O24" s="6" t="s">
        <v>12</v>
      </c>
      <c r="P24" s="6" t="s">
        <v>9</v>
      </c>
      <c r="Q24" s="7">
        <v>46301</v>
      </c>
      <c r="R24" s="6" t="s">
        <v>308</v>
      </c>
      <c r="S24" s="6"/>
      <c r="T24" s="6" t="s">
        <v>66</v>
      </c>
      <c r="U24" s="6" t="s">
        <v>309</v>
      </c>
      <c r="V24" s="6" t="s">
        <v>310</v>
      </c>
    </row>
    <row r="25" spans="1:22" ht="114">
      <c r="A25" s="6" t="s">
        <v>311</v>
      </c>
      <c r="B25" s="6" t="s">
        <v>284</v>
      </c>
      <c r="C25" s="6" t="s">
        <v>312</v>
      </c>
      <c r="D25" s="6" t="s">
        <v>313</v>
      </c>
      <c r="E25" s="6" t="s">
        <v>25</v>
      </c>
      <c r="F25" s="6" t="s">
        <v>314</v>
      </c>
      <c r="G25" s="6" t="s">
        <v>215</v>
      </c>
      <c r="H25" s="6" t="s">
        <v>215</v>
      </c>
      <c r="I25" s="6" t="s">
        <v>215</v>
      </c>
      <c r="J25" s="6" t="s">
        <v>215</v>
      </c>
      <c r="K25" s="6" t="s">
        <v>12</v>
      </c>
      <c r="L25" s="6" t="s">
        <v>12</v>
      </c>
      <c r="M25" s="6" t="s">
        <v>219</v>
      </c>
      <c r="N25" s="6" t="s">
        <v>315</v>
      </c>
      <c r="O25" s="6" t="s">
        <v>12</v>
      </c>
      <c r="P25" s="6" t="s">
        <v>9</v>
      </c>
      <c r="Q25" s="7">
        <v>46301</v>
      </c>
      <c r="R25" s="6" t="s">
        <v>316</v>
      </c>
      <c r="S25" s="6"/>
      <c r="T25" s="6" t="s">
        <v>66</v>
      </c>
      <c r="U25" s="6" t="s">
        <v>317</v>
      </c>
      <c r="V25" s="6" t="s">
        <v>318</v>
      </c>
    </row>
    <row r="26" spans="1:22" ht="342">
      <c r="A26" s="6" t="s">
        <v>319</v>
      </c>
      <c r="B26" s="6" t="s">
        <v>320</v>
      </c>
      <c r="C26" s="6" t="s">
        <v>321</v>
      </c>
      <c r="D26" s="6" t="s">
        <v>322</v>
      </c>
      <c r="E26" s="6" t="s">
        <v>23</v>
      </c>
      <c r="F26" s="6" t="s">
        <v>323</v>
      </c>
      <c r="G26" s="6" t="s">
        <v>324</v>
      </c>
      <c r="H26" s="6" t="s">
        <v>325</v>
      </c>
      <c r="I26" s="6" t="s">
        <v>163</v>
      </c>
      <c r="J26" s="6" t="s">
        <v>326</v>
      </c>
      <c r="K26" s="6" t="s">
        <v>12</v>
      </c>
      <c r="L26" s="6" t="s">
        <v>12</v>
      </c>
      <c r="M26" s="6" t="s">
        <v>327</v>
      </c>
      <c r="N26" s="6" t="s">
        <v>328</v>
      </c>
      <c r="O26" s="6" t="s">
        <v>12</v>
      </c>
      <c r="P26" s="6" t="s">
        <v>9</v>
      </c>
      <c r="Q26" s="7">
        <v>46301</v>
      </c>
      <c r="R26" s="6" t="s">
        <v>329</v>
      </c>
      <c r="S26" s="6"/>
      <c r="T26" s="6" t="s">
        <v>66</v>
      </c>
      <c r="U26" s="6" t="s">
        <v>330</v>
      </c>
      <c r="V26" s="6" t="s">
        <v>331</v>
      </c>
    </row>
    <row r="27" spans="1:22" ht="185.25">
      <c r="A27" s="6" t="s">
        <v>332</v>
      </c>
      <c r="B27" s="6" t="s">
        <v>320</v>
      </c>
      <c r="C27" s="6" t="s">
        <v>333</v>
      </c>
      <c r="D27" s="6" t="s">
        <v>334</v>
      </c>
      <c r="E27" s="6" t="s">
        <v>23</v>
      </c>
      <c r="F27" s="6" t="s">
        <v>335</v>
      </c>
      <c r="G27" s="6" t="s">
        <v>183</v>
      </c>
      <c r="H27" s="6" t="s">
        <v>336</v>
      </c>
      <c r="I27" s="6" t="s">
        <v>185</v>
      </c>
      <c r="J27" s="6" t="s">
        <v>337</v>
      </c>
      <c r="K27" s="6" t="s">
        <v>12</v>
      </c>
      <c r="L27" s="6" t="s">
        <v>12</v>
      </c>
      <c r="M27" s="6" t="s">
        <v>337</v>
      </c>
      <c r="N27" s="6" t="s">
        <v>338</v>
      </c>
      <c r="O27" s="6" t="s">
        <v>12</v>
      </c>
      <c r="P27" s="6" t="s">
        <v>9</v>
      </c>
      <c r="Q27" s="7">
        <v>46301</v>
      </c>
      <c r="R27" s="6" t="s">
        <v>339</v>
      </c>
      <c r="S27" s="6"/>
      <c r="T27" s="6" t="s">
        <v>66</v>
      </c>
      <c r="U27" s="6" t="s">
        <v>340</v>
      </c>
      <c r="V27" s="6" t="s">
        <v>191</v>
      </c>
    </row>
    <row r="28" spans="1:22" ht="99.75">
      <c r="A28" s="6" t="s">
        <v>341</v>
      </c>
      <c r="B28" s="6" t="s">
        <v>320</v>
      </c>
      <c r="C28" s="6" t="s">
        <v>342</v>
      </c>
      <c r="D28" s="6" t="s">
        <v>343</v>
      </c>
      <c r="E28" s="6" t="s">
        <v>25</v>
      </c>
      <c r="F28" s="6" t="s">
        <v>344</v>
      </c>
      <c r="G28" s="6" t="s">
        <v>215</v>
      </c>
      <c r="H28" s="6" t="s">
        <v>215</v>
      </c>
      <c r="I28" s="6" t="s">
        <v>215</v>
      </c>
      <c r="J28" s="6" t="s">
        <v>215</v>
      </c>
      <c r="K28" s="6" t="s">
        <v>12</v>
      </c>
      <c r="L28" s="6" t="s">
        <v>12</v>
      </c>
      <c r="M28" s="6" t="s">
        <v>219</v>
      </c>
      <c r="N28" s="6" t="s">
        <v>345</v>
      </c>
      <c r="O28" s="6" t="s">
        <v>12</v>
      </c>
      <c r="P28" s="6" t="s">
        <v>9</v>
      </c>
      <c r="Q28" s="7">
        <v>46301</v>
      </c>
      <c r="R28" s="6" t="s">
        <v>346</v>
      </c>
      <c r="S28" s="6"/>
      <c r="T28" s="6" t="s">
        <v>66</v>
      </c>
      <c r="U28" s="6" t="s">
        <v>347</v>
      </c>
      <c r="V28" s="6" t="s">
        <v>348</v>
      </c>
    </row>
    <row r="29" spans="1:22" ht="99.75">
      <c r="A29" s="6" t="s">
        <v>349</v>
      </c>
      <c r="B29" s="6" t="s">
        <v>350</v>
      </c>
      <c r="C29" s="6" t="s">
        <v>351</v>
      </c>
      <c r="D29" s="6" t="s">
        <v>352</v>
      </c>
      <c r="E29" s="6" t="s">
        <v>27</v>
      </c>
      <c r="F29" s="6" t="s">
        <v>353</v>
      </c>
      <c r="G29" s="6" t="s">
        <v>215</v>
      </c>
      <c r="H29" s="6" t="s">
        <v>354</v>
      </c>
      <c r="I29" s="6" t="s">
        <v>215</v>
      </c>
      <c r="J29" s="6" t="s">
        <v>215</v>
      </c>
      <c r="K29" s="6" t="s">
        <v>215</v>
      </c>
      <c r="L29" s="6" t="s">
        <v>12</v>
      </c>
      <c r="M29" s="6" t="s">
        <v>355</v>
      </c>
      <c r="N29" s="6" t="s">
        <v>356</v>
      </c>
      <c r="O29" s="6" t="s">
        <v>12</v>
      </c>
      <c r="P29" s="6" t="s">
        <v>9</v>
      </c>
      <c r="Q29" s="7">
        <v>46301</v>
      </c>
      <c r="R29" s="6" t="s">
        <v>357</v>
      </c>
      <c r="S29" s="6"/>
      <c r="T29" s="6" t="s">
        <v>66</v>
      </c>
      <c r="U29" s="6" t="s">
        <v>358</v>
      </c>
      <c r="V29" s="6" t="s">
        <v>359</v>
      </c>
    </row>
    <row r="30" spans="1:22" ht="114">
      <c r="A30" s="6" t="s">
        <v>360</v>
      </c>
      <c r="B30" s="6" t="s">
        <v>350</v>
      </c>
      <c r="C30" s="6" t="s">
        <v>361</v>
      </c>
      <c r="D30" s="6" t="s">
        <v>362</v>
      </c>
      <c r="E30" s="6" t="s">
        <v>27</v>
      </c>
      <c r="F30" s="6" t="s">
        <v>363</v>
      </c>
      <c r="G30" s="6" t="s">
        <v>215</v>
      </c>
      <c r="H30" s="6" t="s">
        <v>364</v>
      </c>
      <c r="I30" s="6" t="s">
        <v>215</v>
      </c>
      <c r="J30" s="6" t="s">
        <v>215</v>
      </c>
      <c r="K30" s="6" t="s">
        <v>215</v>
      </c>
      <c r="L30" s="6" t="s">
        <v>12</v>
      </c>
      <c r="M30" s="6" t="s">
        <v>355</v>
      </c>
      <c r="N30" s="6" t="s">
        <v>365</v>
      </c>
      <c r="O30" s="6" t="s">
        <v>12</v>
      </c>
      <c r="P30" s="6" t="s">
        <v>9</v>
      </c>
      <c r="Q30" s="7">
        <v>46301</v>
      </c>
      <c r="R30" s="6" t="s">
        <v>366</v>
      </c>
      <c r="S30" s="6"/>
      <c r="T30" s="6" t="s">
        <v>66</v>
      </c>
      <c r="U30" s="6" t="s">
        <v>367</v>
      </c>
      <c r="V30" s="6" t="s">
        <v>368</v>
      </c>
    </row>
    <row r="31" spans="1:22" ht="114">
      <c r="A31" s="6" t="s">
        <v>369</v>
      </c>
      <c r="B31" s="6" t="s">
        <v>370</v>
      </c>
      <c r="C31" s="6" t="s">
        <v>371</v>
      </c>
      <c r="D31" s="6" t="s">
        <v>372</v>
      </c>
      <c r="E31" s="6" t="s">
        <v>29</v>
      </c>
      <c r="F31" s="6" t="s">
        <v>373</v>
      </c>
      <c r="G31" s="6" t="s">
        <v>374</v>
      </c>
      <c r="H31" s="6" t="s">
        <v>375</v>
      </c>
      <c r="I31" s="6" t="s">
        <v>376</v>
      </c>
      <c r="J31" s="6" t="s">
        <v>377</v>
      </c>
      <c r="K31" s="6" t="s">
        <v>215</v>
      </c>
      <c r="L31" s="6" t="s">
        <v>12</v>
      </c>
      <c r="M31" s="6" t="s">
        <v>519</v>
      </c>
      <c r="N31" s="6" t="s">
        <v>520</v>
      </c>
      <c r="O31" s="6" t="str">
        <f>IF(OR(K31="Fail",L31="Fail"),"Fail",IF(L31="Blocked","Blocked",IF(L31="Deferred","Deferred",IF(AND(OR(K31="Pass",K31="N/A"),OR(L31="Pass",L31="N/A")),"Pass","Not Run"))))</f>
        <v>Pass</v>
      </c>
      <c r="P31" s="6" t="s">
        <v>9</v>
      </c>
      <c r="Q31" s="7">
        <v>46304</v>
      </c>
      <c r="R31" s="6" t="s">
        <v>521</v>
      </c>
      <c r="S31" s="6"/>
      <c r="T31" s="6" t="s">
        <v>66</v>
      </c>
      <c r="U31" s="6" t="s">
        <v>522</v>
      </c>
      <c r="V31" s="6" t="s">
        <v>523</v>
      </c>
    </row>
    <row r="32" spans="1:22" ht="88.5" customHeight="1">
      <c r="A32" s="6" t="s">
        <v>378</v>
      </c>
      <c r="B32" s="6" t="s">
        <v>379</v>
      </c>
      <c r="C32" s="6" t="s">
        <v>380</v>
      </c>
      <c r="D32" s="6" t="s">
        <v>381</v>
      </c>
      <c r="E32" s="6" t="s">
        <v>31</v>
      </c>
      <c r="F32" s="6" t="s">
        <v>382</v>
      </c>
      <c r="G32" s="6" t="s">
        <v>383</v>
      </c>
      <c r="H32" s="6" t="s">
        <v>384</v>
      </c>
      <c r="I32" s="6" t="s">
        <v>215</v>
      </c>
      <c r="J32" s="6" t="s">
        <v>215</v>
      </c>
      <c r="K32" s="6" t="s">
        <v>215</v>
      </c>
      <c r="L32" s="6" t="s">
        <v>12</v>
      </c>
      <c r="M32" s="6"/>
      <c r="N32" s="6" t="s">
        <v>530</v>
      </c>
      <c r="O32" s="6" t="s">
        <v>12</v>
      </c>
      <c r="P32" s="6" t="s">
        <v>9</v>
      </c>
      <c r="Q32" s="7"/>
      <c r="R32" t="s">
        <v>534</v>
      </c>
      <c r="S32" s="6"/>
      <c r="T32" s="6" t="s">
        <v>66</v>
      </c>
      <c r="U32" s="6" t="s">
        <v>536</v>
      </c>
      <c r="V32" s="6" t="s">
        <v>385</v>
      </c>
    </row>
    <row r="33" spans="1:22" ht="57">
      <c r="A33" s="6" t="s">
        <v>386</v>
      </c>
      <c r="B33" s="6" t="s">
        <v>379</v>
      </c>
      <c r="C33" s="6" t="s">
        <v>387</v>
      </c>
      <c r="D33" s="6" t="s">
        <v>388</v>
      </c>
      <c r="E33" s="6" t="s">
        <v>31</v>
      </c>
      <c r="F33" s="6" t="s">
        <v>382</v>
      </c>
      <c r="G33" s="6" t="s">
        <v>383</v>
      </c>
      <c r="H33" s="6" t="s">
        <v>389</v>
      </c>
      <c r="I33" s="6" t="s">
        <v>215</v>
      </c>
      <c r="J33" s="6" t="s">
        <v>215</v>
      </c>
      <c r="K33" s="6" t="s">
        <v>215</v>
      </c>
      <c r="L33" s="6" t="s">
        <v>12</v>
      </c>
      <c r="M33" s="6"/>
      <c r="N33" s="6" t="s">
        <v>530</v>
      </c>
      <c r="O33" s="6" t="s">
        <v>12</v>
      </c>
      <c r="P33" s="6" t="s">
        <v>9</v>
      </c>
      <c r="Q33" s="7"/>
      <c r="R33" t="s">
        <v>535</v>
      </c>
      <c r="S33" s="6"/>
      <c r="T33" s="6" t="s">
        <v>66</v>
      </c>
      <c r="U33" s="6" t="s">
        <v>537</v>
      </c>
      <c r="V33" s="6" t="s">
        <v>390</v>
      </c>
    </row>
  </sheetData>
  <conditionalFormatting sqref="K2:L33">
    <cfRule type="expression" dxfId="11" priority="6">
      <formula>K2="Pass"</formula>
    </cfRule>
  </conditionalFormatting>
  <conditionalFormatting sqref="L2:L33">
    <cfRule type="expression" dxfId="10" priority="7">
      <formula>L2="Blocked"</formula>
    </cfRule>
    <cfRule type="expression" dxfId="9" priority="8">
      <formula>L2="Deferred"</formula>
    </cfRule>
  </conditionalFormatting>
  <conditionalFormatting sqref="O2:O33">
    <cfRule type="expression" dxfId="8" priority="1">
      <formula>O2="Pass"</formula>
    </cfRule>
    <cfRule type="expression" dxfId="7" priority="2">
      <formula>O2="Fail"</formula>
    </cfRule>
    <cfRule type="expression" dxfId="6" priority="3">
      <formula>O2="Blocked"</formula>
    </cfRule>
    <cfRule type="expression" dxfId="5" priority="4">
      <formula>O2="Deferred"</formula>
    </cfRule>
    <cfRule type="expression" dxfId="4" priority="5">
      <formula>O2="Not Run"</formula>
    </cfRule>
  </conditionalFormatting>
  <dataValidations count="3">
    <dataValidation type="list" sqref="K2:K33" xr:uid="{00000000-0002-0000-0100-000000000000}">
      <formula1>"Pending,Pass,Fail,N/A"</formula1>
    </dataValidation>
    <dataValidation type="list" sqref="L2:L33" xr:uid="{00000000-0002-0000-0100-000001000000}">
      <formula1>"Pending,Pass,Fail,Blocked,Deferred,N/A"</formula1>
    </dataValidation>
    <dataValidation type="list" sqref="T2:T33" xr:uid="{00000000-0002-0000-0100-000002000000}">
      <formula1>"Not Required,Pending,Pass,Fail"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1"/>
  <sheetViews>
    <sheetView topLeftCell="A55" zoomScaleNormal="100" workbookViewId="0">
      <selection activeCell="K58" sqref="K58"/>
    </sheetView>
  </sheetViews>
  <sheetFormatPr defaultRowHeight="14.25"/>
  <cols>
    <col min="1" max="1" width="14" customWidth="1"/>
    <col min="2" max="2" width="19" customWidth="1"/>
    <col min="3" max="3" width="22" customWidth="1"/>
    <col min="4" max="4" width="12" customWidth="1"/>
    <col min="5" max="5" width="16" customWidth="1"/>
    <col min="6" max="6" width="48" customWidth="1"/>
    <col min="7" max="7" width="42" customWidth="1"/>
    <col min="8" max="8" width="40" customWidth="1"/>
    <col min="9" max="9" width="18" customWidth="1"/>
    <col min="10" max="10" width="16" customWidth="1"/>
    <col min="11" max="11" width="48" customWidth="1"/>
  </cols>
  <sheetData>
    <row r="1" spans="1:11" ht="15">
      <c r="A1" s="5" t="s">
        <v>391</v>
      </c>
      <c r="B1" s="5" t="s">
        <v>34</v>
      </c>
      <c r="C1" s="5" t="s">
        <v>392</v>
      </c>
      <c r="D1" s="5" t="s">
        <v>393</v>
      </c>
      <c r="E1" s="5" t="s">
        <v>394</v>
      </c>
      <c r="F1" s="5" t="s">
        <v>395</v>
      </c>
      <c r="G1" s="5" t="s">
        <v>396</v>
      </c>
      <c r="H1" s="5" t="s">
        <v>397</v>
      </c>
      <c r="I1" s="5" t="s">
        <v>398</v>
      </c>
      <c r="J1" s="5" t="s">
        <v>399</v>
      </c>
      <c r="K1" s="5" t="s">
        <v>53</v>
      </c>
    </row>
    <row r="2" spans="1:11" ht="57">
      <c r="A2" s="6" t="s">
        <v>400</v>
      </c>
      <c r="B2" s="6" t="s">
        <v>55</v>
      </c>
      <c r="C2" s="6" t="s">
        <v>401</v>
      </c>
      <c r="D2" s="6" t="s">
        <v>402</v>
      </c>
      <c r="E2" s="6" t="s">
        <v>12</v>
      </c>
      <c r="F2" s="6" t="s">
        <v>17</v>
      </c>
      <c r="G2" s="6" t="s">
        <v>403</v>
      </c>
      <c r="H2" s="6" t="s">
        <v>404</v>
      </c>
      <c r="I2" s="6" t="s">
        <v>9</v>
      </c>
      <c r="J2" s="7"/>
      <c r="K2" s="6" t="s">
        <v>59</v>
      </c>
    </row>
    <row r="3" spans="1:11" ht="85.5">
      <c r="A3" s="6" t="s">
        <v>405</v>
      </c>
      <c r="B3" s="6" t="s">
        <v>69</v>
      </c>
      <c r="C3" s="6" t="s">
        <v>401</v>
      </c>
      <c r="D3" s="6" t="s">
        <v>402</v>
      </c>
      <c r="E3" s="6" t="s">
        <v>12</v>
      </c>
      <c r="F3" s="6" t="s">
        <v>17</v>
      </c>
      <c r="G3" s="6" t="s">
        <v>403</v>
      </c>
      <c r="H3" s="6" t="s">
        <v>404</v>
      </c>
      <c r="I3" s="6" t="s">
        <v>9</v>
      </c>
      <c r="J3" s="7"/>
      <c r="K3" s="6" t="s">
        <v>72</v>
      </c>
    </row>
    <row r="4" spans="1:11" ht="85.5">
      <c r="A4" s="6" t="s">
        <v>406</v>
      </c>
      <c r="B4" s="6" t="s">
        <v>79</v>
      </c>
      <c r="C4" s="6" t="s">
        <v>401</v>
      </c>
      <c r="D4" s="6" t="s">
        <v>402</v>
      </c>
      <c r="E4" s="6" t="s">
        <v>12</v>
      </c>
      <c r="F4" s="6" t="s">
        <v>17</v>
      </c>
      <c r="G4" s="6" t="s">
        <v>403</v>
      </c>
      <c r="H4" s="6" t="s">
        <v>404</v>
      </c>
      <c r="I4" s="6" t="s">
        <v>9</v>
      </c>
      <c r="J4" s="7"/>
      <c r="K4" s="6" t="s">
        <v>82</v>
      </c>
    </row>
    <row r="5" spans="1:11" ht="85.5">
      <c r="A5" s="6" t="s">
        <v>407</v>
      </c>
      <c r="B5" s="6" t="s">
        <v>90</v>
      </c>
      <c r="C5" s="6" t="s">
        <v>401</v>
      </c>
      <c r="D5" s="6" t="s">
        <v>402</v>
      </c>
      <c r="E5" s="6" t="s">
        <v>12</v>
      </c>
      <c r="F5" s="6" t="s">
        <v>17</v>
      </c>
      <c r="G5" s="6" t="s">
        <v>403</v>
      </c>
      <c r="H5" s="6" t="s">
        <v>404</v>
      </c>
      <c r="I5" s="6" t="s">
        <v>9</v>
      </c>
      <c r="J5" s="7"/>
      <c r="K5" s="6" t="s">
        <v>93</v>
      </c>
    </row>
    <row r="6" spans="1:11" ht="57">
      <c r="A6" s="6" t="s">
        <v>408</v>
      </c>
      <c r="B6" s="6" t="s">
        <v>102</v>
      </c>
      <c r="C6" s="6" t="s">
        <v>401</v>
      </c>
      <c r="D6" s="6" t="s">
        <v>402</v>
      </c>
      <c r="E6" s="6" t="s">
        <v>12</v>
      </c>
      <c r="F6" s="6" t="s">
        <v>17</v>
      </c>
      <c r="G6" s="6" t="s">
        <v>403</v>
      </c>
      <c r="H6" s="6" t="s">
        <v>404</v>
      </c>
      <c r="I6" s="6" t="s">
        <v>9</v>
      </c>
      <c r="J6" s="7"/>
      <c r="K6" s="6" t="s">
        <v>105</v>
      </c>
    </row>
    <row r="7" spans="1:11" ht="142.5">
      <c r="A7" s="6" t="s">
        <v>409</v>
      </c>
      <c r="B7" s="6" t="s">
        <v>113</v>
      </c>
      <c r="C7" s="6" t="s">
        <v>401</v>
      </c>
      <c r="D7" s="6" t="s">
        <v>402</v>
      </c>
      <c r="E7" s="6" t="s">
        <v>12</v>
      </c>
      <c r="F7" s="6" t="s">
        <v>17</v>
      </c>
      <c r="G7" s="6" t="s">
        <v>403</v>
      </c>
      <c r="H7" s="6" t="s">
        <v>404</v>
      </c>
      <c r="I7" s="6" t="s">
        <v>9</v>
      </c>
      <c r="J7" s="7"/>
      <c r="K7" s="6" t="s">
        <v>116</v>
      </c>
    </row>
    <row r="8" spans="1:11" ht="57">
      <c r="A8" s="6" t="s">
        <v>410</v>
      </c>
      <c r="B8" s="6" t="s">
        <v>124</v>
      </c>
      <c r="C8" s="6" t="s">
        <v>401</v>
      </c>
      <c r="D8" s="6" t="s">
        <v>402</v>
      </c>
      <c r="E8" s="6" t="s">
        <v>12</v>
      </c>
      <c r="F8" s="6" t="s">
        <v>17</v>
      </c>
      <c r="G8" s="6" t="s">
        <v>403</v>
      </c>
      <c r="H8" s="6" t="s">
        <v>404</v>
      </c>
      <c r="I8" s="6" t="s">
        <v>9</v>
      </c>
      <c r="J8" s="7"/>
      <c r="K8" s="6" t="s">
        <v>128</v>
      </c>
    </row>
    <row r="9" spans="1:11" ht="57">
      <c r="A9" s="6" t="s">
        <v>411</v>
      </c>
      <c r="B9" s="6" t="s">
        <v>135</v>
      </c>
      <c r="C9" s="6" t="s">
        <v>401</v>
      </c>
      <c r="D9" s="6" t="s">
        <v>402</v>
      </c>
      <c r="E9" s="6" t="s">
        <v>12</v>
      </c>
      <c r="F9" s="6" t="s">
        <v>17</v>
      </c>
      <c r="G9" s="6" t="s">
        <v>403</v>
      </c>
      <c r="H9" s="6" t="s">
        <v>404</v>
      </c>
      <c r="I9" s="6" t="s">
        <v>9</v>
      </c>
      <c r="J9" s="7"/>
      <c r="K9" s="6" t="s">
        <v>138</v>
      </c>
    </row>
    <row r="10" spans="1:11" ht="85.5">
      <c r="A10" s="6" t="s">
        <v>412</v>
      </c>
      <c r="B10" s="6" t="s">
        <v>147</v>
      </c>
      <c r="C10" s="6" t="s">
        <v>401</v>
      </c>
      <c r="D10" s="6" t="s">
        <v>402</v>
      </c>
      <c r="E10" s="6" t="s">
        <v>12</v>
      </c>
      <c r="F10" s="6" t="s">
        <v>17</v>
      </c>
      <c r="G10" s="6" t="s">
        <v>403</v>
      </c>
      <c r="H10" s="6" t="s">
        <v>404</v>
      </c>
      <c r="I10" s="6" t="s">
        <v>9</v>
      </c>
      <c r="J10" s="7"/>
      <c r="K10" s="6" t="s">
        <v>150</v>
      </c>
    </row>
    <row r="11" spans="1:11" ht="28.5">
      <c r="A11" s="6" t="s">
        <v>413</v>
      </c>
      <c r="B11" s="6" t="s">
        <v>157</v>
      </c>
      <c r="C11" s="6" t="s">
        <v>401</v>
      </c>
      <c r="D11" s="6" t="s">
        <v>402</v>
      </c>
      <c r="E11" s="6" t="s">
        <v>12</v>
      </c>
      <c r="F11" s="6" t="s">
        <v>17</v>
      </c>
      <c r="G11" s="6" t="s">
        <v>403</v>
      </c>
      <c r="H11" s="6" t="s">
        <v>404</v>
      </c>
      <c r="I11" s="6" t="s">
        <v>9</v>
      </c>
      <c r="J11" s="7"/>
      <c r="K11" s="6" t="s">
        <v>160</v>
      </c>
    </row>
    <row r="12" spans="1:11" ht="85.5">
      <c r="A12" s="6" t="s">
        <v>414</v>
      </c>
      <c r="B12" s="6" t="s">
        <v>169</v>
      </c>
      <c r="C12" s="6" t="s">
        <v>401</v>
      </c>
      <c r="D12" s="6" t="s">
        <v>402</v>
      </c>
      <c r="E12" s="6" t="s">
        <v>12</v>
      </c>
      <c r="F12" s="6" t="s">
        <v>17</v>
      </c>
      <c r="G12" s="6" t="s">
        <v>403</v>
      </c>
      <c r="H12" s="6" t="s">
        <v>404</v>
      </c>
      <c r="I12" s="6" t="s">
        <v>9</v>
      </c>
      <c r="J12" s="7"/>
      <c r="K12" s="6" t="s">
        <v>172</v>
      </c>
    </row>
    <row r="13" spans="1:11" ht="114">
      <c r="A13" s="6" t="s">
        <v>415</v>
      </c>
      <c r="B13" s="6" t="s">
        <v>179</v>
      </c>
      <c r="C13" s="6" t="s">
        <v>401</v>
      </c>
      <c r="D13" s="6" t="s">
        <v>402</v>
      </c>
      <c r="E13" s="6" t="s">
        <v>12</v>
      </c>
      <c r="F13" s="6" t="s">
        <v>17</v>
      </c>
      <c r="G13" s="6" t="s">
        <v>403</v>
      </c>
      <c r="H13" s="6" t="s">
        <v>404</v>
      </c>
      <c r="I13" s="6" t="s">
        <v>9</v>
      </c>
      <c r="J13" s="7"/>
      <c r="K13" s="6" t="s">
        <v>182</v>
      </c>
    </row>
    <row r="14" spans="1:11" ht="28.5">
      <c r="A14" s="6" t="s">
        <v>416</v>
      </c>
      <c r="B14" s="6" t="s">
        <v>192</v>
      </c>
      <c r="C14" s="6" t="s">
        <v>401</v>
      </c>
      <c r="D14" s="6" t="s">
        <v>402</v>
      </c>
      <c r="E14" s="6" t="s">
        <v>12</v>
      </c>
      <c r="F14" s="6" t="s">
        <v>17</v>
      </c>
      <c r="G14" s="6" t="s">
        <v>403</v>
      </c>
      <c r="H14" s="6" t="s">
        <v>404</v>
      </c>
      <c r="I14" s="6" t="s">
        <v>9</v>
      </c>
      <c r="J14" s="7"/>
      <c r="K14" s="6" t="s">
        <v>196</v>
      </c>
    </row>
    <row r="15" spans="1:11" ht="85.5">
      <c r="A15" s="6" t="s">
        <v>417</v>
      </c>
      <c r="B15" s="6" t="s">
        <v>202</v>
      </c>
      <c r="C15" s="6" t="s">
        <v>401</v>
      </c>
      <c r="D15" s="6" t="s">
        <v>402</v>
      </c>
      <c r="E15" s="6" t="s">
        <v>12</v>
      </c>
      <c r="F15" s="6" t="s">
        <v>17</v>
      </c>
      <c r="G15" s="6" t="s">
        <v>403</v>
      </c>
      <c r="H15" s="6" t="s">
        <v>404</v>
      </c>
      <c r="I15" s="6" t="s">
        <v>9</v>
      </c>
      <c r="J15" s="7"/>
      <c r="K15" s="6" t="s">
        <v>205</v>
      </c>
    </row>
    <row r="16" spans="1:11" ht="57">
      <c r="A16" s="6" t="s">
        <v>418</v>
      </c>
      <c r="B16" s="6" t="s">
        <v>211</v>
      </c>
      <c r="C16" s="6" t="s">
        <v>401</v>
      </c>
      <c r="D16" s="6" t="s">
        <v>402</v>
      </c>
      <c r="E16" s="6" t="s">
        <v>12</v>
      </c>
      <c r="F16" s="6" t="s">
        <v>17</v>
      </c>
      <c r="G16" s="6" t="s">
        <v>403</v>
      </c>
      <c r="H16" s="6" t="s">
        <v>404</v>
      </c>
      <c r="I16" s="6" t="s">
        <v>9</v>
      </c>
      <c r="J16" s="7"/>
      <c r="K16" s="6" t="s">
        <v>214</v>
      </c>
    </row>
    <row r="17" spans="1:11" ht="28.5">
      <c r="A17" s="6" t="s">
        <v>419</v>
      </c>
      <c r="B17" s="6" t="s">
        <v>224</v>
      </c>
      <c r="C17" s="6" t="s">
        <v>401</v>
      </c>
      <c r="D17" s="6" t="s">
        <v>402</v>
      </c>
      <c r="E17" s="6" t="s">
        <v>12</v>
      </c>
      <c r="F17" s="6" t="s">
        <v>17</v>
      </c>
      <c r="G17" s="6" t="s">
        <v>403</v>
      </c>
      <c r="H17" s="6" t="s">
        <v>404</v>
      </c>
      <c r="I17" s="6" t="s">
        <v>9</v>
      </c>
      <c r="J17" s="7"/>
      <c r="K17" s="6" t="s">
        <v>227</v>
      </c>
    </row>
    <row r="18" spans="1:11" ht="114">
      <c r="A18" s="6" t="s">
        <v>420</v>
      </c>
      <c r="B18" s="6" t="s">
        <v>235</v>
      </c>
      <c r="C18" s="6" t="s">
        <v>401</v>
      </c>
      <c r="D18" s="6" t="s">
        <v>402</v>
      </c>
      <c r="E18" s="6" t="s">
        <v>12</v>
      </c>
      <c r="F18" s="6" t="s">
        <v>17</v>
      </c>
      <c r="G18" s="6" t="s">
        <v>403</v>
      </c>
      <c r="H18" s="6" t="s">
        <v>404</v>
      </c>
      <c r="I18" s="6" t="s">
        <v>9</v>
      </c>
      <c r="J18" s="7"/>
      <c r="K18" s="6" t="s">
        <v>238</v>
      </c>
    </row>
    <row r="19" spans="1:11" ht="71.25">
      <c r="A19" s="6" t="s">
        <v>421</v>
      </c>
      <c r="B19" s="6" t="s">
        <v>246</v>
      </c>
      <c r="C19" s="6" t="s">
        <v>401</v>
      </c>
      <c r="D19" s="6" t="s">
        <v>402</v>
      </c>
      <c r="E19" s="6" t="s">
        <v>12</v>
      </c>
      <c r="F19" s="6" t="s">
        <v>17</v>
      </c>
      <c r="G19" s="6" t="s">
        <v>403</v>
      </c>
      <c r="H19" s="6" t="s">
        <v>404</v>
      </c>
      <c r="I19" s="6" t="s">
        <v>9</v>
      </c>
      <c r="J19" s="7"/>
      <c r="K19" s="6" t="s">
        <v>249</v>
      </c>
    </row>
    <row r="20" spans="1:11" ht="171">
      <c r="A20" s="6" t="s">
        <v>422</v>
      </c>
      <c r="B20" s="6" t="s">
        <v>258</v>
      </c>
      <c r="C20" s="6" t="s">
        <v>401</v>
      </c>
      <c r="D20" s="6" t="s">
        <v>402</v>
      </c>
      <c r="E20" s="6" t="s">
        <v>12</v>
      </c>
      <c r="F20" s="6" t="s">
        <v>17</v>
      </c>
      <c r="G20" s="6" t="s">
        <v>403</v>
      </c>
      <c r="H20" s="6" t="s">
        <v>404</v>
      </c>
      <c r="I20" s="6" t="s">
        <v>9</v>
      </c>
      <c r="J20" s="7"/>
      <c r="K20" s="6" t="s">
        <v>262</v>
      </c>
    </row>
    <row r="21" spans="1:11" ht="142.5">
      <c r="A21" s="6" t="s">
        <v>423</v>
      </c>
      <c r="B21" s="6" t="s">
        <v>272</v>
      </c>
      <c r="C21" s="6" t="s">
        <v>401</v>
      </c>
      <c r="D21" s="6" t="s">
        <v>402</v>
      </c>
      <c r="E21" s="6" t="s">
        <v>12</v>
      </c>
      <c r="F21" s="6" t="s">
        <v>17</v>
      </c>
      <c r="G21" s="6" t="s">
        <v>403</v>
      </c>
      <c r="H21" s="6" t="s">
        <v>404</v>
      </c>
      <c r="I21" s="6" t="s">
        <v>9</v>
      </c>
      <c r="J21" s="7"/>
      <c r="K21" s="6" t="s">
        <v>275</v>
      </c>
    </row>
    <row r="22" spans="1:11" ht="57">
      <c r="A22" s="6" t="s">
        <v>424</v>
      </c>
      <c r="B22" s="6" t="s">
        <v>283</v>
      </c>
      <c r="C22" s="6" t="s">
        <v>401</v>
      </c>
      <c r="D22" s="6" t="s">
        <v>402</v>
      </c>
      <c r="E22" s="6" t="s">
        <v>12</v>
      </c>
      <c r="F22" s="6" t="s">
        <v>17</v>
      </c>
      <c r="G22" s="6" t="s">
        <v>403</v>
      </c>
      <c r="H22" s="6" t="s">
        <v>404</v>
      </c>
      <c r="I22" s="6" t="s">
        <v>9</v>
      </c>
      <c r="J22" s="7"/>
      <c r="K22" s="6" t="s">
        <v>287</v>
      </c>
    </row>
    <row r="23" spans="1:11" ht="57">
      <c r="A23" s="6" t="s">
        <v>425</v>
      </c>
      <c r="B23" s="6" t="s">
        <v>292</v>
      </c>
      <c r="C23" s="6" t="s">
        <v>401</v>
      </c>
      <c r="D23" s="6" t="s">
        <v>402</v>
      </c>
      <c r="E23" s="6" t="s">
        <v>12</v>
      </c>
      <c r="F23" s="6" t="s">
        <v>17</v>
      </c>
      <c r="G23" s="6" t="s">
        <v>403</v>
      </c>
      <c r="H23" s="6" t="s">
        <v>404</v>
      </c>
      <c r="I23" s="6" t="s">
        <v>9</v>
      </c>
      <c r="J23" s="7"/>
      <c r="K23" s="6" t="s">
        <v>295</v>
      </c>
    </row>
    <row r="24" spans="1:11" ht="171">
      <c r="A24" s="6" t="s">
        <v>426</v>
      </c>
      <c r="B24" s="6" t="s">
        <v>299</v>
      </c>
      <c r="C24" s="6" t="s">
        <v>401</v>
      </c>
      <c r="D24" s="6" t="s">
        <v>402</v>
      </c>
      <c r="E24" s="6" t="s">
        <v>12</v>
      </c>
      <c r="F24" s="6" t="s">
        <v>17</v>
      </c>
      <c r="G24" s="6" t="s">
        <v>403</v>
      </c>
      <c r="H24" s="6" t="s">
        <v>404</v>
      </c>
      <c r="I24" s="6" t="s">
        <v>9</v>
      </c>
      <c r="J24" s="7"/>
      <c r="K24" s="6" t="s">
        <v>302</v>
      </c>
    </row>
    <row r="25" spans="1:11" ht="114">
      <c r="A25" s="6" t="s">
        <v>427</v>
      </c>
      <c r="B25" s="6" t="s">
        <v>311</v>
      </c>
      <c r="C25" s="6" t="s">
        <v>401</v>
      </c>
      <c r="D25" s="6" t="s">
        <v>402</v>
      </c>
      <c r="E25" s="6" t="s">
        <v>12</v>
      </c>
      <c r="F25" s="6" t="s">
        <v>17</v>
      </c>
      <c r="G25" s="6" t="s">
        <v>403</v>
      </c>
      <c r="H25" s="6" t="s">
        <v>404</v>
      </c>
      <c r="I25" s="6" t="s">
        <v>9</v>
      </c>
      <c r="J25" s="7"/>
      <c r="K25" s="6" t="s">
        <v>314</v>
      </c>
    </row>
    <row r="26" spans="1:11" ht="57">
      <c r="A26" s="6" t="s">
        <v>428</v>
      </c>
      <c r="B26" s="6" t="s">
        <v>319</v>
      </c>
      <c r="C26" s="6" t="s">
        <v>401</v>
      </c>
      <c r="D26" s="6" t="s">
        <v>402</v>
      </c>
      <c r="E26" s="6" t="s">
        <v>12</v>
      </c>
      <c r="F26" s="6" t="s">
        <v>17</v>
      </c>
      <c r="G26" s="6" t="s">
        <v>403</v>
      </c>
      <c r="H26" s="6" t="s">
        <v>404</v>
      </c>
      <c r="I26" s="6" t="s">
        <v>9</v>
      </c>
      <c r="J26" s="7"/>
      <c r="K26" s="6" t="s">
        <v>323</v>
      </c>
    </row>
    <row r="27" spans="1:11" ht="85.5">
      <c r="A27" s="6" t="s">
        <v>429</v>
      </c>
      <c r="B27" s="6" t="s">
        <v>332</v>
      </c>
      <c r="C27" s="6" t="s">
        <v>401</v>
      </c>
      <c r="D27" s="6" t="s">
        <v>402</v>
      </c>
      <c r="E27" s="6" t="s">
        <v>12</v>
      </c>
      <c r="F27" s="6" t="s">
        <v>17</v>
      </c>
      <c r="G27" s="6" t="s">
        <v>403</v>
      </c>
      <c r="H27" s="6" t="s">
        <v>404</v>
      </c>
      <c r="I27" s="6" t="s">
        <v>9</v>
      </c>
      <c r="J27" s="7"/>
      <c r="K27" s="6" t="s">
        <v>335</v>
      </c>
    </row>
    <row r="28" spans="1:11" ht="85.5">
      <c r="A28" s="6" t="s">
        <v>430</v>
      </c>
      <c r="B28" s="6" t="s">
        <v>341</v>
      </c>
      <c r="C28" s="6" t="s">
        <v>401</v>
      </c>
      <c r="D28" s="6" t="s">
        <v>402</v>
      </c>
      <c r="E28" s="6" t="s">
        <v>12</v>
      </c>
      <c r="F28" s="6" t="s">
        <v>17</v>
      </c>
      <c r="G28" s="6" t="s">
        <v>403</v>
      </c>
      <c r="H28" s="6" t="s">
        <v>404</v>
      </c>
      <c r="I28" s="6" t="s">
        <v>9</v>
      </c>
      <c r="J28" s="7"/>
      <c r="K28" s="6" t="s">
        <v>344</v>
      </c>
    </row>
    <row r="29" spans="1:11" ht="42.75">
      <c r="A29" s="6" t="s">
        <v>431</v>
      </c>
      <c r="B29" s="6" t="s">
        <v>55</v>
      </c>
      <c r="C29" s="6" t="s">
        <v>432</v>
      </c>
      <c r="D29" s="6" t="s">
        <v>402</v>
      </c>
      <c r="E29" s="6" t="s">
        <v>12</v>
      </c>
      <c r="F29" s="6" t="s">
        <v>65</v>
      </c>
      <c r="G29" s="6" t="s">
        <v>64</v>
      </c>
      <c r="H29" s="6" t="s">
        <v>433</v>
      </c>
      <c r="I29" s="6" t="s">
        <v>9</v>
      </c>
      <c r="J29" s="7">
        <v>46301</v>
      </c>
      <c r="K29" s="6" t="s">
        <v>67</v>
      </c>
    </row>
    <row r="30" spans="1:11" ht="57">
      <c r="A30" s="6" t="s">
        <v>434</v>
      </c>
      <c r="B30" s="6" t="s">
        <v>69</v>
      </c>
      <c r="C30" s="6" t="s">
        <v>432</v>
      </c>
      <c r="D30" s="6" t="s">
        <v>402</v>
      </c>
      <c r="E30" s="6" t="s">
        <v>12</v>
      </c>
      <c r="F30" s="6" t="s">
        <v>76</v>
      </c>
      <c r="G30" s="6" t="s">
        <v>75</v>
      </c>
      <c r="H30" s="6" t="s">
        <v>433</v>
      </c>
      <c r="I30" s="6" t="s">
        <v>9</v>
      </c>
      <c r="J30" s="7">
        <v>46301</v>
      </c>
      <c r="K30" s="6" t="s">
        <v>77</v>
      </c>
    </row>
    <row r="31" spans="1:11" ht="85.5">
      <c r="A31" s="6" t="s">
        <v>435</v>
      </c>
      <c r="B31" s="6" t="s">
        <v>79</v>
      </c>
      <c r="C31" s="6" t="s">
        <v>432</v>
      </c>
      <c r="D31" s="6" t="s">
        <v>402</v>
      </c>
      <c r="E31" s="6" t="s">
        <v>12</v>
      </c>
      <c r="F31" s="6" t="s">
        <v>88</v>
      </c>
      <c r="G31" s="6" t="s">
        <v>87</v>
      </c>
      <c r="H31" s="6" t="s">
        <v>433</v>
      </c>
      <c r="I31" s="6" t="s">
        <v>9</v>
      </c>
      <c r="J31" s="7">
        <v>46301</v>
      </c>
      <c r="K31" s="6" t="s">
        <v>89</v>
      </c>
    </row>
    <row r="32" spans="1:11" ht="85.5">
      <c r="A32" s="6" t="s">
        <v>436</v>
      </c>
      <c r="B32" s="6" t="s">
        <v>90</v>
      </c>
      <c r="C32" s="6" t="s">
        <v>432</v>
      </c>
      <c r="D32" s="6" t="s">
        <v>402</v>
      </c>
      <c r="E32" s="6" t="s">
        <v>12</v>
      </c>
      <c r="F32" s="6" t="s">
        <v>99</v>
      </c>
      <c r="G32" s="6" t="s">
        <v>98</v>
      </c>
      <c r="H32" s="6" t="s">
        <v>433</v>
      </c>
      <c r="I32" s="6" t="s">
        <v>9</v>
      </c>
      <c r="J32" s="7">
        <v>46301</v>
      </c>
      <c r="K32" s="6" t="s">
        <v>100</v>
      </c>
    </row>
    <row r="33" spans="1:11" ht="85.5">
      <c r="A33" s="6" t="s">
        <v>437</v>
      </c>
      <c r="B33" s="6" t="s">
        <v>102</v>
      </c>
      <c r="C33" s="6" t="s">
        <v>432</v>
      </c>
      <c r="D33" s="6" t="s">
        <v>402</v>
      </c>
      <c r="E33" s="6" t="s">
        <v>12</v>
      </c>
      <c r="F33" s="6" t="s">
        <v>110</v>
      </c>
      <c r="G33" s="6" t="s">
        <v>109</v>
      </c>
      <c r="H33" s="6" t="s">
        <v>433</v>
      </c>
      <c r="I33" s="6" t="s">
        <v>9</v>
      </c>
      <c r="J33" s="7">
        <v>46301</v>
      </c>
      <c r="K33" s="6" t="s">
        <v>111</v>
      </c>
    </row>
    <row r="34" spans="1:11" ht="171">
      <c r="A34" s="6" t="s">
        <v>438</v>
      </c>
      <c r="B34" s="6" t="s">
        <v>113</v>
      </c>
      <c r="C34" s="6" t="s">
        <v>432</v>
      </c>
      <c r="D34" s="6" t="s">
        <v>402</v>
      </c>
      <c r="E34" s="6" t="s">
        <v>12</v>
      </c>
      <c r="F34" s="6" t="s">
        <v>122</v>
      </c>
      <c r="G34" s="6" t="s">
        <v>121</v>
      </c>
      <c r="H34" s="6" t="s">
        <v>433</v>
      </c>
      <c r="I34" s="6" t="s">
        <v>9</v>
      </c>
      <c r="J34" s="7">
        <v>46301</v>
      </c>
      <c r="K34" s="6" t="s">
        <v>123</v>
      </c>
    </row>
    <row r="35" spans="1:11" ht="71.25">
      <c r="A35" s="6" t="s">
        <v>439</v>
      </c>
      <c r="B35" s="6" t="s">
        <v>124</v>
      </c>
      <c r="C35" s="6" t="s">
        <v>432</v>
      </c>
      <c r="D35" s="6" t="s">
        <v>402</v>
      </c>
      <c r="E35" s="6" t="s">
        <v>12</v>
      </c>
      <c r="F35" s="6" t="s">
        <v>132</v>
      </c>
      <c r="G35" s="6" t="s">
        <v>131</v>
      </c>
      <c r="H35" s="6" t="s">
        <v>433</v>
      </c>
      <c r="I35" s="6" t="s">
        <v>9</v>
      </c>
      <c r="J35" s="7">
        <v>46301</v>
      </c>
      <c r="K35" s="6" t="s">
        <v>133</v>
      </c>
    </row>
    <row r="36" spans="1:11" ht="57">
      <c r="A36" s="6" t="s">
        <v>440</v>
      </c>
      <c r="B36" s="6" t="s">
        <v>135</v>
      </c>
      <c r="C36" s="6" t="s">
        <v>432</v>
      </c>
      <c r="D36" s="6" t="s">
        <v>402</v>
      </c>
      <c r="E36" s="6" t="s">
        <v>12</v>
      </c>
      <c r="F36" s="6" t="s">
        <v>144</v>
      </c>
      <c r="G36" s="6" t="s">
        <v>143</v>
      </c>
      <c r="H36" s="6" t="s">
        <v>433</v>
      </c>
      <c r="I36" s="6" t="s">
        <v>9</v>
      </c>
      <c r="J36" s="7">
        <v>46301</v>
      </c>
      <c r="K36" s="6" t="s">
        <v>145</v>
      </c>
    </row>
    <row r="37" spans="1:11" ht="270.75">
      <c r="A37" s="6" t="s">
        <v>441</v>
      </c>
      <c r="B37" s="6" t="s">
        <v>147</v>
      </c>
      <c r="C37" s="6" t="s">
        <v>432</v>
      </c>
      <c r="D37" s="6" t="s">
        <v>402</v>
      </c>
      <c r="E37" s="6" t="s">
        <v>12</v>
      </c>
      <c r="F37" s="6" t="s">
        <v>155</v>
      </c>
      <c r="G37" s="6" t="s">
        <v>154</v>
      </c>
      <c r="H37" s="6" t="s">
        <v>433</v>
      </c>
      <c r="I37" s="6" t="s">
        <v>9</v>
      </c>
      <c r="J37" s="7">
        <v>46301</v>
      </c>
      <c r="K37" s="6" t="s">
        <v>156</v>
      </c>
    </row>
    <row r="38" spans="1:11" ht="42.75">
      <c r="A38" s="6" t="s">
        <v>442</v>
      </c>
      <c r="B38" s="6" t="s">
        <v>157</v>
      </c>
      <c r="C38" s="6" t="s">
        <v>432</v>
      </c>
      <c r="D38" s="6" t="s">
        <v>402</v>
      </c>
      <c r="E38" s="6" t="s">
        <v>12</v>
      </c>
      <c r="F38" s="6" t="s">
        <v>166</v>
      </c>
      <c r="G38" s="6" t="s">
        <v>443</v>
      </c>
      <c r="H38" s="6" t="s">
        <v>444</v>
      </c>
      <c r="I38" s="6" t="s">
        <v>9</v>
      </c>
      <c r="J38" s="7">
        <v>46301</v>
      </c>
      <c r="K38" s="6" t="s">
        <v>167</v>
      </c>
    </row>
    <row r="39" spans="1:11" ht="99.75">
      <c r="A39" s="6" t="s">
        <v>445</v>
      </c>
      <c r="B39" s="6" t="s">
        <v>169</v>
      </c>
      <c r="C39" s="6" t="s">
        <v>432</v>
      </c>
      <c r="D39" s="6" t="s">
        <v>402</v>
      </c>
      <c r="E39" s="6" t="s">
        <v>12</v>
      </c>
      <c r="F39" s="6" t="s">
        <v>177</v>
      </c>
      <c r="G39" s="6" t="s">
        <v>446</v>
      </c>
      <c r="H39" s="6" t="s">
        <v>444</v>
      </c>
      <c r="I39" s="6" t="s">
        <v>9</v>
      </c>
      <c r="J39" s="7">
        <v>46301</v>
      </c>
      <c r="K39" s="6" t="s">
        <v>178</v>
      </c>
    </row>
    <row r="40" spans="1:11" ht="128.25">
      <c r="A40" s="6" t="s">
        <v>447</v>
      </c>
      <c r="B40" s="6" t="s">
        <v>179</v>
      </c>
      <c r="C40" s="6" t="s">
        <v>432</v>
      </c>
      <c r="D40" s="6" t="s">
        <v>402</v>
      </c>
      <c r="E40" s="6" t="s">
        <v>12</v>
      </c>
      <c r="F40" s="6" t="s">
        <v>189</v>
      </c>
      <c r="G40" s="6" t="s">
        <v>448</v>
      </c>
      <c r="H40" s="6" t="s">
        <v>444</v>
      </c>
      <c r="I40" s="6" t="s">
        <v>9</v>
      </c>
      <c r="J40" s="7">
        <v>46301</v>
      </c>
      <c r="K40" s="6" t="s">
        <v>190</v>
      </c>
    </row>
    <row r="41" spans="1:11" ht="42.75">
      <c r="A41" s="6" t="s">
        <v>449</v>
      </c>
      <c r="B41" s="6" t="s">
        <v>192</v>
      </c>
      <c r="C41" s="6" t="s">
        <v>432</v>
      </c>
      <c r="D41" s="6" t="s">
        <v>402</v>
      </c>
      <c r="E41" s="6" t="s">
        <v>12</v>
      </c>
      <c r="F41" s="6" t="s">
        <v>199</v>
      </c>
      <c r="G41" s="6" t="s">
        <v>450</v>
      </c>
      <c r="H41" s="6" t="s">
        <v>444</v>
      </c>
      <c r="I41" s="6" t="s">
        <v>9</v>
      </c>
      <c r="J41" s="7">
        <v>46301</v>
      </c>
      <c r="K41" s="6" t="s">
        <v>200</v>
      </c>
    </row>
    <row r="42" spans="1:11" ht="142.5">
      <c r="A42" s="6" t="s">
        <v>451</v>
      </c>
      <c r="B42" s="6" t="s">
        <v>202</v>
      </c>
      <c r="C42" s="6" t="s">
        <v>432</v>
      </c>
      <c r="D42" s="6" t="s">
        <v>402</v>
      </c>
      <c r="E42" s="6" t="s">
        <v>12</v>
      </c>
      <c r="F42" s="6" t="s">
        <v>209</v>
      </c>
      <c r="G42" s="6" t="s">
        <v>452</v>
      </c>
      <c r="H42" s="6" t="s">
        <v>444</v>
      </c>
      <c r="I42" s="6" t="s">
        <v>9</v>
      </c>
      <c r="J42" s="7">
        <v>46301</v>
      </c>
      <c r="K42" s="6" t="s">
        <v>210</v>
      </c>
    </row>
    <row r="43" spans="1:11" ht="114">
      <c r="A43" s="6" t="s">
        <v>453</v>
      </c>
      <c r="B43" s="6" t="s">
        <v>211</v>
      </c>
      <c r="C43" s="6" t="s">
        <v>454</v>
      </c>
      <c r="D43" s="6" t="s">
        <v>402</v>
      </c>
      <c r="E43" s="6" t="s">
        <v>12</v>
      </c>
      <c r="F43" s="6" t="s">
        <v>221</v>
      </c>
      <c r="G43" s="6" t="s">
        <v>455</v>
      </c>
      <c r="H43" s="6" t="s">
        <v>444</v>
      </c>
      <c r="I43" s="6" t="s">
        <v>9</v>
      </c>
      <c r="J43" s="7">
        <v>46301</v>
      </c>
      <c r="K43" s="6" t="s">
        <v>222</v>
      </c>
    </row>
    <row r="44" spans="1:11" ht="71.25">
      <c r="A44" s="6" t="s">
        <v>456</v>
      </c>
      <c r="B44" s="6" t="s">
        <v>224</v>
      </c>
      <c r="C44" s="6" t="s">
        <v>432</v>
      </c>
      <c r="D44" s="6" t="s">
        <v>402</v>
      </c>
      <c r="E44" s="6" t="s">
        <v>12</v>
      </c>
      <c r="F44" s="6" t="s">
        <v>232</v>
      </c>
      <c r="G44" s="6" t="s">
        <v>457</v>
      </c>
      <c r="H44" s="6" t="s">
        <v>444</v>
      </c>
      <c r="I44" s="6" t="s">
        <v>9</v>
      </c>
      <c r="J44" s="7">
        <v>46301</v>
      </c>
      <c r="K44" s="6" t="s">
        <v>233</v>
      </c>
    </row>
    <row r="45" spans="1:11" ht="71.25">
      <c r="A45" s="6" t="s">
        <v>458</v>
      </c>
      <c r="B45" s="6" t="s">
        <v>235</v>
      </c>
      <c r="C45" s="6" t="s">
        <v>432</v>
      </c>
      <c r="D45" s="6" t="s">
        <v>402</v>
      </c>
      <c r="E45" s="6" t="s">
        <v>12</v>
      </c>
      <c r="F45" s="6" t="s">
        <v>243</v>
      </c>
      <c r="G45" s="6" t="s">
        <v>459</v>
      </c>
      <c r="H45" s="6" t="s">
        <v>444</v>
      </c>
      <c r="I45" s="6" t="s">
        <v>9</v>
      </c>
      <c r="J45" s="7">
        <v>46301</v>
      </c>
      <c r="K45" s="6" t="s">
        <v>244</v>
      </c>
    </row>
    <row r="46" spans="1:11" ht="156.75">
      <c r="A46" s="6" t="s">
        <v>460</v>
      </c>
      <c r="B46" s="6" t="s">
        <v>246</v>
      </c>
      <c r="C46" s="6" t="s">
        <v>432</v>
      </c>
      <c r="D46" s="6" t="s">
        <v>402</v>
      </c>
      <c r="E46" s="6" t="s">
        <v>12</v>
      </c>
      <c r="F46" s="6" t="s">
        <v>255</v>
      </c>
      <c r="G46" s="6" t="s">
        <v>461</v>
      </c>
      <c r="H46" s="6" t="s">
        <v>444</v>
      </c>
      <c r="I46" s="6" t="s">
        <v>9</v>
      </c>
      <c r="J46" s="7">
        <v>46301</v>
      </c>
      <c r="K46" s="6" t="s">
        <v>256</v>
      </c>
    </row>
    <row r="47" spans="1:11" ht="199.5">
      <c r="A47" s="6" t="s">
        <v>462</v>
      </c>
      <c r="B47" s="6" t="s">
        <v>258</v>
      </c>
      <c r="C47" s="6" t="s">
        <v>432</v>
      </c>
      <c r="D47" s="6" t="s">
        <v>402</v>
      </c>
      <c r="E47" s="6" t="s">
        <v>12</v>
      </c>
      <c r="F47" s="6" t="s">
        <v>269</v>
      </c>
      <c r="G47" s="6" t="s">
        <v>463</v>
      </c>
      <c r="H47" s="6" t="s">
        <v>444</v>
      </c>
      <c r="I47" s="6" t="s">
        <v>9</v>
      </c>
      <c r="J47" s="7">
        <v>46301</v>
      </c>
      <c r="K47" s="6" t="s">
        <v>270</v>
      </c>
    </row>
    <row r="48" spans="1:11" ht="185.25">
      <c r="A48" s="6" t="s">
        <v>464</v>
      </c>
      <c r="B48" s="6" t="s">
        <v>272</v>
      </c>
      <c r="C48" s="6" t="s">
        <v>432</v>
      </c>
      <c r="D48" s="6" t="s">
        <v>402</v>
      </c>
      <c r="E48" s="6" t="s">
        <v>12</v>
      </c>
      <c r="F48" s="6" t="s">
        <v>280</v>
      </c>
      <c r="G48" s="6" t="s">
        <v>465</v>
      </c>
      <c r="H48" s="6" t="s">
        <v>444</v>
      </c>
      <c r="I48" s="6" t="s">
        <v>9</v>
      </c>
      <c r="J48" s="7">
        <v>46301</v>
      </c>
      <c r="K48" s="6" t="s">
        <v>281</v>
      </c>
    </row>
    <row r="49" spans="1:11" ht="42.75">
      <c r="A49" s="6" t="s">
        <v>466</v>
      </c>
      <c r="B49" s="6" t="s">
        <v>283</v>
      </c>
      <c r="C49" s="6" t="s">
        <v>454</v>
      </c>
      <c r="D49" s="6" t="s">
        <v>402</v>
      </c>
      <c r="E49" s="6" t="s">
        <v>12</v>
      </c>
      <c r="F49" s="6" t="s">
        <v>289</v>
      </c>
      <c r="G49" s="6" t="s">
        <v>467</v>
      </c>
      <c r="H49" s="6" t="s">
        <v>444</v>
      </c>
      <c r="I49" s="6" t="s">
        <v>9</v>
      </c>
      <c r="J49" s="7">
        <v>46301</v>
      </c>
      <c r="K49" s="6" t="s">
        <v>290</v>
      </c>
    </row>
    <row r="50" spans="1:11" ht="57">
      <c r="A50" s="6" t="s">
        <v>468</v>
      </c>
      <c r="B50" s="6" t="s">
        <v>292</v>
      </c>
      <c r="C50" s="6" t="s">
        <v>454</v>
      </c>
      <c r="D50" s="6" t="s">
        <v>402</v>
      </c>
      <c r="E50" s="6" t="s">
        <v>12</v>
      </c>
      <c r="F50" s="6" t="s">
        <v>297</v>
      </c>
      <c r="G50" s="6" t="s">
        <v>469</v>
      </c>
      <c r="H50" s="6" t="s">
        <v>444</v>
      </c>
      <c r="I50" s="6" t="s">
        <v>9</v>
      </c>
      <c r="J50" s="7">
        <v>46301</v>
      </c>
      <c r="K50" s="6" t="s">
        <v>298</v>
      </c>
    </row>
    <row r="51" spans="1:11" ht="57">
      <c r="A51" s="6" t="s">
        <v>470</v>
      </c>
      <c r="B51" s="6" t="s">
        <v>299</v>
      </c>
      <c r="C51" s="6" t="s">
        <v>454</v>
      </c>
      <c r="D51" s="6" t="s">
        <v>402</v>
      </c>
      <c r="E51" s="6" t="s">
        <v>12</v>
      </c>
      <c r="F51" s="6" t="s">
        <v>308</v>
      </c>
      <c r="G51" s="6" t="s">
        <v>471</v>
      </c>
      <c r="H51" s="6" t="s">
        <v>472</v>
      </c>
      <c r="I51" s="6" t="s">
        <v>9</v>
      </c>
      <c r="J51" s="7">
        <v>46301</v>
      </c>
      <c r="K51" s="6" t="s">
        <v>473</v>
      </c>
    </row>
    <row r="52" spans="1:11" ht="42.75">
      <c r="A52" s="6" t="s">
        <v>474</v>
      </c>
      <c r="B52" s="6" t="s">
        <v>311</v>
      </c>
      <c r="C52" s="6" t="s">
        <v>454</v>
      </c>
      <c r="D52" s="6" t="s">
        <v>402</v>
      </c>
      <c r="E52" s="6" t="s">
        <v>12</v>
      </c>
      <c r="F52" s="6" t="s">
        <v>316</v>
      </c>
      <c r="G52" s="6" t="s">
        <v>475</v>
      </c>
      <c r="H52" s="6" t="s">
        <v>476</v>
      </c>
      <c r="I52" s="6" t="s">
        <v>9</v>
      </c>
      <c r="J52" s="7">
        <v>46301</v>
      </c>
      <c r="K52" s="6" t="s">
        <v>317</v>
      </c>
    </row>
    <row r="53" spans="1:11" ht="242.25">
      <c r="A53" s="6" t="s">
        <v>477</v>
      </c>
      <c r="B53" s="6" t="s">
        <v>319</v>
      </c>
      <c r="C53" s="6" t="s">
        <v>432</v>
      </c>
      <c r="D53" s="6" t="s">
        <v>402</v>
      </c>
      <c r="E53" s="6" t="s">
        <v>12</v>
      </c>
      <c r="F53" s="6" t="s">
        <v>478</v>
      </c>
      <c r="G53" s="6" t="s">
        <v>479</v>
      </c>
      <c r="H53" s="6" t="s">
        <v>480</v>
      </c>
      <c r="I53" s="6" t="s">
        <v>9</v>
      </c>
      <c r="J53" s="7">
        <v>46301</v>
      </c>
      <c r="K53" s="6" t="s">
        <v>481</v>
      </c>
    </row>
    <row r="54" spans="1:11" ht="156.75">
      <c r="A54" s="6" t="s">
        <v>482</v>
      </c>
      <c r="B54" s="6" t="s">
        <v>332</v>
      </c>
      <c r="C54" s="6" t="s">
        <v>432</v>
      </c>
      <c r="D54" s="6" t="s">
        <v>402</v>
      </c>
      <c r="E54" s="6" t="s">
        <v>12</v>
      </c>
      <c r="F54" s="6" t="s">
        <v>339</v>
      </c>
      <c r="G54" s="6" t="s">
        <v>483</v>
      </c>
      <c r="H54" s="6" t="s">
        <v>484</v>
      </c>
      <c r="I54" s="6" t="s">
        <v>9</v>
      </c>
      <c r="J54" s="7">
        <v>46301</v>
      </c>
      <c r="K54" s="6" t="s">
        <v>485</v>
      </c>
    </row>
    <row r="55" spans="1:11" ht="57">
      <c r="A55" s="6" t="s">
        <v>486</v>
      </c>
      <c r="B55" s="6" t="s">
        <v>341</v>
      </c>
      <c r="C55" s="6" t="s">
        <v>454</v>
      </c>
      <c r="D55" s="6" t="s">
        <v>402</v>
      </c>
      <c r="E55" s="6" t="s">
        <v>12</v>
      </c>
      <c r="F55" s="6" t="s">
        <v>346</v>
      </c>
      <c r="G55" s="6" t="s">
        <v>487</v>
      </c>
      <c r="H55" s="6" t="s">
        <v>488</v>
      </c>
      <c r="I55" s="6" t="s">
        <v>9</v>
      </c>
      <c r="J55" s="7">
        <v>46301</v>
      </c>
      <c r="K55" s="6" t="s">
        <v>489</v>
      </c>
    </row>
    <row r="56" spans="1:11" ht="71.25">
      <c r="A56" s="6" t="s">
        <v>490</v>
      </c>
      <c r="B56" s="6" t="s">
        <v>349</v>
      </c>
      <c r="C56" s="6" t="s">
        <v>491</v>
      </c>
      <c r="D56" s="6" t="s">
        <v>402</v>
      </c>
      <c r="E56" s="6" t="s">
        <v>12</v>
      </c>
      <c r="F56" s="6" t="s">
        <v>357</v>
      </c>
      <c r="G56" s="6" t="s">
        <v>492</v>
      </c>
      <c r="H56" s="6" t="s">
        <v>493</v>
      </c>
      <c r="I56" s="6" t="s">
        <v>9</v>
      </c>
      <c r="J56" s="7">
        <v>46301</v>
      </c>
      <c r="K56" s="6" t="s">
        <v>494</v>
      </c>
    </row>
    <row r="57" spans="1:11" ht="99.75">
      <c r="A57" s="6" t="s">
        <v>495</v>
      </c>
      <c r="B57" s="6" t="s">
        <v>360</v>
      </c>
      <c r="C57" s="6" t="s">
        <v>491</v>
      </c>
      <c r="D57" s="6" t="s">
        <v>402</v>
      </c>
      <c r="E57" s="6" t="s">
        <v>12</v>
      </c>
      <c r="F57" s="6" t="s">
        <v>366</v>
      </c>
      <c r="G57" s="6" t="s">
        <v>496</v>
      </c>
      <c r="H57" s="6" t="s">
        <v>497</v>
      </c>
      <c r="I57" s="6" t="s">
        <v>9</v>
      </c>
      <c r="J57" s="7">
        <v>46301</v>
      </c>
      <c r="K57" s="6" t="s">
        <v>498</v>
      </c>
    </row>
    <row r="58" spans="1:11" ht="57">
      <c r="A58" s="6" t="s">
        <v>499</v>
      </c>
      <c r="B58" s="6" t="s">
        <v>369</v>
      </c>
      <c r="C58" s="6" t="s">
        <v>500</v>
      </c>
      <c r="D58" s="6" t="s">
        <v>402</v>
      </c>
      <c r="E58" s="6" t="s">
        <v>12</v>
      </c>
      <c r="F58" s="6" t="s">
        <v>524</v>
      </c>
      <c r="G58" s="6" t="s">
        <v>525</v>
      </c>
      <c r="H58" s="6" t="s">
        <v>526</v>
      </c>
      <c r="I58" s="6" t="s">
        <v>9</v>
      </c>
      <c r="J58" s="7">
        <v>46304</v>
      </c>
      <c r="K58" s="2" t="s">
        <v>527</v>
      </c>
    </row>
    <row r="59" spans="1:11" ht="42.75">
      <c r="A59" s="6" t="s">
        <v>502</v>
      </c>
      <c r="B59" s="6" t="s">
        <v>378</v>
      </c>
      <c r="C59" s="6" t="s">
        <v>503</v>
      </c>
      <c r="D59" s="6" t="s">
        <v>402</v>
      </c>
      <c r="E59" s="6" t="s">
        <v>531</v>
      </c>
      <c r="F59" s="6"/>
      <c r="G59" s="6" t="s">
        <v>532</v>
      </c>
      <c r="H59" s="6" t="s">
        <v>501</v>
      </c>
      <c r="I59" s="6"/>
      <c r="J59" s="7"/>
      <c r="K59" s="6" t="s">
        <v>533</v>
      </c>
    </row>
    <row r="60" spans="1:11" ht="42.75">
      <c r="A60" s="6" t="s">
        <v>504</v>
      </c>
      <c r="B60" s="6" t="s">
        <v>386</v>
      </c>
      <c r="C60" s="6" t="s">
        <v>503</v>
      </c>
      <c r="D60" s="6" t="s">
        <v>402</v>
      </c>
      <c r="E60" s="6" t="s">
        <v>531</v>
      </c>
      <c r="F60" s="6"/>
      <c r="G60" s="6" t="s">
        <v>532</v>
      </c>
      <c r="H60" s="6" t="s">
        <v>501</v>
      </c>
      <c r="I60" s="6"/>
      <c r="J60" s="7"/>
      <c r="K60" s="6" t="s">
        <v>533</v>
      </c>
    </row>
    <row r="61" spans="1:11" ht="71.25">
      <c r="A61" t="s">
        <v>505</v>
      </c>
      <c r="B61" t="s">
        <v>506</v>
      </c>
      <c r="C61" t="s">
        <v>507</v>
      </c>
      <c r="D61" t="s">
        <v>508</v>
      </c>
      <c r="E61" t="s">
        <v>12</v>
      </c>
      <c r="F61" s="2" t="s">
        <v>509</v>
      </c>
      <c r="G61" s="2" t="s">
        <v>510</v>
      </c>
      <c r="H61" s="2" t="s">
        <v>511</v>
      </c>
      <c r="I61" s="2" t="s">
        <v>9</v>
      </c>
      <c r="J61" s="8">
        <v>46301</v>
      </c>
      <c r="K61" s="2" t="s">
        <v>512</v>
      </c>
    </row>
  </sheetData>
  <conditionalFormatting sqref="E2:E60">
    <cfRule type="expression" dxfId="3" priority="1">
      <formula>E2="Pass"</formula>
    </cfRule>
    <cfRule type="expression" dxfId="2" priority="2">
      <formula>E2="Pending"</formula>
    </cfRule>
    <cfRule type="expression" dxfId="1" priority="3">
      <formula>E2="Blocked"</formula>
    </cfRule>
    <cfRule type="expression" dxfId="0" priority="4">
      <formula>E2="Deferred"</formula>
    </cfRule>
  </conditionalFormatting>
  <dataValidations count="1">
    <dataValidation type="list" sqref="E2:E60" xr:uid="{00000000-0002-0000-0200-000000000000}">
      <formula1>"Pending,Pass,Fail,Blocked,Deferred,N/A"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1"/>
  <sheetViews>
    <sheetView workbookViewId="0"/>
  </sheetViews>
  <sheetFormatPr defaultRowHeight="14.25"/>
  <cols>
    <col min="1" max="1" width="14" customWidth="1"/>
    <col min="2" max="2" width="19" customWidth="1"/>
    <col min="3" max="4" width="14" customWidth="1"/>
    <col min="5" max="5" width="34" customWidth="1"/>
    <col min="6" max="7" width="38" customWidth="1"/>
    <col min="8" max="8" width="18" customWidth="1"/>
    <col min="9" max="9" width="16" customWidth="1"/>
    <col min="10" max="10" width="28" customWidth="1"/>
    <col min="11" max="11" width="16" customWidth="1"/>
    <col min="12" max="12" width="38" customWidth="1"/>
    <col min="13" max="13" width="34" customWidth="1"/>
  </cols>
  <sheetData>
    <row r="1" spans="1:13" ht="15">
      <c r="A1" s="5" t="s">
        <v>51</v>
      </c>
      <c r="B1" s="5" t="s">
        <v>34</v>
      </c>
      <c r="C1" s="5" t="s">
        <v>513</v>
      </c>
      <c r="D1" s="5" t="s">
        <v>514</v>
      </c>
      <c r="E1" s="5" t="s">
        <v>515</v>
      </c>
      <c r="F1" s="5" t="s">
        <v>37</v>
      </c>
      <c r="G1" s="5" t="s">
        <v>47</v>
      </c>
      <c r="H1" s="5" t="s">
        <v>8</v>
      </c>
      <c r="I1" s="5" t="s">
        <v>3</v>
      </c>
      <c r="J1" s="5" t="s">
        <v>516</v>
      </c>
      <c r="K1" s="5" t="s">
        <v>517</v>
      </c>
      <c r="L1" s="5" t="s">
        <v>518</v>
      </c>
      <c r="M1" s="5" t="s">
        <v>53</v>
      </c>
    </row>
    <row r="2" spans="1:1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spans="1:13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1:13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1:1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</row>
    <row r="9" spans="1:1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1:13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</row>
    <row r="11" spans="1:13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1:13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</row>
    <row r="13" spans="1: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</row>
    <row r="14" spans="1:13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</row>
    <row r="15" spans="1:13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</row>
    <row r="16" spans="1:1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</row>
    <row r="17" spans="1:13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</row>
    <row r="18" spans="1:13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</row>
    <row r="20" spans="1:13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</row>
    <row r="21" spans="1:1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</row>
  </sheetData>
  <dataValidations count="3">
    <dataValidation type="list" sqref="C2:D21" xr:uid="{00000000-0002-0000-0300-000000000000}">
      <formula1>"Critical,High,Medium,Low"</formula1>
    </dataValidation>
    <dataValidation type="list" sqref="I2:I21" xr:uid="{00000000-0002-0000-0300-000002000000}">
      <formula1>"Open,In Progress,Fixed,Retest,Closed"</formula1>
    </dataValidation>
    <dataValidation type="list" sqref="K2:K21" xr:uid="{00000000-0002-0000-0300-000003000000}">
      <formula1>"Not Run,Pass,Fail,N/A"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Cases</vt:lpstr>
      <vt:lpstr>Evidence Register</vt:lpstr>
      <vt:lpstr>Defects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Jerald Christopher Bucud</cp:lastModifiedBy>
  <dcterms:modified xsi:type="dcterms:W3CDTF">2026-10-14T00:37:09Z</dcterms:modified>
</cp:coreProperties>
</file>