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2291bb3fd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bdcdd6116a44838"/>
    <x:sheet xmlns:r="http://schemas.openxmlformats.org/officeDocument/2006/relationships" name="Test Cases" sheetId="2" r:id="R7e3e1d7247c24740"/>
    <x:sheet xmlns:r="http://schemas.openxmlformats.org/officeDocument/2006/relationships" name="Evidence Index" sheetId="3" r:id="Rfd51eb53d567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yyyy-mm-dd"/>
    <x:numFmt numFmtId="203" formatCode="dd mmm 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  <x:font>
      <x:b/>
      <x:sz val="11"/>
      <x:color rgb="FF92400E"/>
      <x:name val="Carlito"/>
    </x:font>
    <x:font>
      <x:b/>
      <x:sz val="11"/>
      <x:color rgb="FF374151"/>
      <x:name val="Carlito"/>
    </x:font>
    <x:font>
      <x:b/>
      <x:sz val="11"/>
      <x:color rgb="FF1E40A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8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0" fontId="8" fillId="3" borderId="1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  <x:xf numFmtId="201" fontId="6" fillId="7" borderId="0" xfId="0" applyNumberFormat="1" applyFont="1" applyFill="1" applyBorder="1" applyAlignment="1">
      <x:alignment wrapText="1"/>
    </x:xf>
    <x:xf numFmtId="201" fontId="7" fillId="8" borderId="0" xfId="0" applyNumberFormat="1" applyFont="1" applyFill="1" applyBorder="1" applyAlignment="1">
      <x:alignment wrapText="1"/>
    </x:xf>
    <x:xf numFmtId="201" fontId="8" fillId="3" borderId="0" xfId="0" applyNumberFormat="1" applyFont="1" applyFill="1" applyBorder="1" applyAlignment="1">
      <x:alignment wrapText="1"/>
    </x:xf>
    <x:xf numFmtId="201" fontId="9" fillId="9" borderId="0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201" fontId="6" fillId="7" borderId="1" xfId="0" applyNumberFormat="1" applyFont="1" applyFill="1" applyBorder="1" applyAlignment="1">
      <x:alignment wrapText="1"/>
    </x:xf>
    <x:xf numFmtId="201" fontId="7" fillId="8" borderId="1" xfId="0" applyNumberFormat="1" applyFont="1" applyFill="1" applyBorder="1" applyAlignment="1">
      <x:alignment wrapText="1"/>
    </x:xf>
    <x:xf numFmtId="201" fontId="8" fillId="3" borderId="1" xfId="0" applyNumberFormat="1" applyFont="1" applyFill="1" applyBorder="1" applyAlignment="1">
      <x:alignment wrapText="1"/>
    </x:xf>
    <x:xf numFmtId="201" fontId="9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9cff9d8d64eef" /><Relationship Type="http://schemas.openxmlformats.org/officeDocument/2006/relationships/theme" Target="/xl/theme/theme1.xml" Id="R0f0f5b956aec4dbf" /><Relationship Type="http://schemas.openxmlformats.org/officeDocument/2006/relationships/sharedStrings" Target="/xl/sharedStrings.xml" Id="Rf5c182ebcd234d42" /><Relationship Type="http://schemas.openxmlformats.org/officeDocument/2006/relationships/worksheet" Target="/xl/worksheets/sheet1.xml" Id="R1bdcdd6116a44838" /><Relationship Type="http://schemas.openxmlformats.org/officeDocument/2006/relationships/worksheet" Target="/xl/worksheets/sheet2.xml" Id="R7e3e1d7247c24740" /><Relationship Type="http://schemas.openxmlformats.org/officeDocument/2006/relationships/worksheet" Target="/xl/worksheets/sheet3.xml" Id="Rfd51eb53d5674a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6fb18c9b4442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3 Test Status Snapshot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6fb18c9b4442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rint3TestCases" displayName="Sprint3TestCases" ref="A5:R105" headerRowCount="1" totalsRowCount="0" totalsRowShown="0">
  <x:tableColumns count="18">
    <x:tableColumn id="1" name="Test ID"/>
    <x:tableColumn id="2" name="WBS"/>
    <x:tableColumn id="3" name="Area"/>
    <x:tableColumn id="4" name="Requirement"/>
    <x:tableColumn id="5" name="Priority"/>
    <x:tableColumn id="6" name="Test Level"/>
    <x:tableColumn id="7" name="Test Case"/>
    <x:tableColumn id="8" name="Preconditions"/>
    <x:tableColumn id="9" name="Steps"/>
    <x:tableColumn id="10" name="Expected Result"/>
    <x:tableColumn id="11" name="Owner"/>
    <x:tableColumn id="12" name="Status"/>
    <x:tableColumn id="13" name="Blocked By"/>
    <x:tableColumn id="14" name="Actual Result"/>
    <x:tableColumn id="15" name="Evidence ID"/>
    <x:tableColumn id="16" name="Defect Ref"/>
    <x:tableColumn id="17" name="Automation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3EvidenceIndex" displayName="Sprint3EvidenceIndex" ref="A5:J21" headerRowCount="1" totalsRowCount="0" totalsRowShown="0">
  <x:tableColumns count="10">
    <x:tableColumn id="1" name="Evidence ID"/>
    <x:tableColumn id="2" name="Related Test IDs"/>
    <x:tableColumn id="3" name="WBS"/>
    <x:tableColumn id="4" name="Evidence Type"/>
    <x:tableColumn id="5" name="Description"/>
    <x:tableColumn id="6" name="Repository Path / Planned File"/>
    <x:tableColumn id="7" name="Owner"/>
    <x:tableColumn id="8" name="Status"/>
    <x:tableColumn id="9" name="Captured Dat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4570d67111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8bcfffad09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dbc9da31ed48a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8" hidden="0" customWidth="1"/>
    <x:col min="4" max="4" width="18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85" t="str">
        <x:v>GradNavi Sprint 3 Integration &amp; Testing Dashboard</x:v>
      </x:c>
      <x:c r="B1" s="85"/>
      <x:c r="C1" s="85"/>
      <x:c r="D1" s="85"/>
      <x:c r="E1" s="85"/>
      <x:c r="F1" s="85"/>
      <x:c r="G1" s="85"/>
      <x:c r="H1" s="5"/>
    </x:row>
    <x:row r="2" ht="22" customHeight="1">
      <x:c r="A2" s="86" t="str">
        <x:v>Sprint 3: Application Documents and Interview Preparation | 7 Sep to 18 Sep 2026 | Formally closed 9 Oct 2026</x:v>
      </x:c>
      <x:c r="B2" s="86"/>
      <x:c r="C2" s="86"/>
      <x:c r="D2" s="86"/>
      <x:c r="E2" s="86"/>
      <x:c r="F2" s="86"/>
      <x:c r="G2" s="86"/>
      <x:c r="H2" s="13"/>
    </x:row>
    <x:row r="4">
      <x:c r="A4" s="28" t="str">
        <x:v>Plan Item</x:v>
      </x:c>
      <x:c r="B4" s="28" t="str">
        <x:v>Current Value</x:v>
      </x:c>
      <x:c r="C4" s="34"/>
      <x:c r="D4" s="28" t="str">
        <x:v>Status</x:v>
      </x:c>
      <x:c r="E4" s="28" t="str">
        <x:v>Count</x:v>
      </x:c>
      <x:c r="F4" s="28" t="str">
        <x:v>Metric</x:v>
      </x:c>
      <x:c r="G4" s="28" t="str">
        <x:v>Value</x:v>
      </x:c>
    </x:row>
    <x:row r="5">
      <x:c r="A5" s="34" t="str">
        <x:v>Integration Branch</x:v>
      </x:c>
      <x:c r="B5" s="34" t="str">
        <x:v>feature/sprint-3</x:v>
      </x:c>
      <x:c r="C5" s="34"/>
      <x:c r="D5" s="34" t="str">
        <x:v>Pass</x:v>
      </x:c>
      <x:c r="E5" s="68" t="n">
        <x:f>COUNTIF('Test Cases'!$L$6:$L$105,"Pass")</x:f>
        <x:v>100</x:v>
      </x:c>
      <x:c r="F5" t="str">
        <x:v>Executed/Ready</x:v>
      </x:c>
      <x:c r="G5" t="n">
        <x:f>E5+E6+E8+E9</x:f>
        <x:v>100</x:v>
      </x:c>
    </x:row>
    <x:row r="6">
      <x:c r="A6" s="34" t="str">
        <x:v>Evidence Folder</x:v>
      </x:c>
      <x:c r="B6" s="34" t="str">
        <x:v>docs/testing/evidence/sprint-3/</x:v>
      </x:c>
      <x:c r="C6" s="34"/>
      <x:c r="D6" s="34" t="str">
        <x:v>Fail</x:v>
      </x:c>
      <x:c r="E6" s="69" t="n">
        <x:f>COUNTIF('Test Cases'!$L$6:$L$105,"Fail")</x:f>
        <x:v>0</x:v>
      </x:c>
      <x:c r="F6" t="str">
        <x:v>Blocked %</x:v>
      </x:c>
      <x:c r="G6" s="36" t="n">
        <x:f>IF(B7=0,0,E7/B7)</x:f>
        <x:v>0</x:v>
      </x:c>
    </x:row>
    <x:row r="7">
      <x:c r="A7" s="34" t="str">
        <x:v>Total Test Cases</x:v>
      </x:c>
      <x:c r="B7" s="34" t="n">
        <x:f>COUNTA('Test Cases'!$A$6:$A$105)</x:f>
        <x:v>100</x:v>
      </x:c>
      <x:c r="C7" s="34"/>
      <x:c r="D7" s="34" t="str">
        <x:v>Blocked</x:v>
      </x:c>
      <x:c r="E7" s="70" t="n">
        <x:f>COUNTIF('Test Cases'!$L$6:$L$105,"Blocked")</x:f>
        <x:v>0</x:v>
      </x:c>
    </x:row>
    <x:row r="8">
      <x:c r="A8" s="34" t="str">
        <x:v>Pass</x:v>
      </x:c>
      <x:c r="B8" s="41" t="n">
        <x:f>COUNTIF('Test Cases'!$L$6:$L$105,"Pass")</x:f>
        <x:v>100</x:v>
      </x:c>
      <x:c r="C8" s="34"/>
      <x:c r="D8" s="34" t="str">
        <x:v>Not Run</x:v>
      </x:c>
      <x:c r="E8" s="71" t="n">
        <x:f>COUNTIF('Test Cases'!$L$6:$L$105,"Not Run")</x:f>
        <x:v>0</x:v>
      </x:c>
    </x:row>
    <x:row r="9">
      <x:c r="A9" s="34" t="str">
        <x:v>Fail</x:v>
      </x:c>
      <x:c r="B9" s="45" t="n">
        <x:f>COUNTIF('Test Cases'!$L$6:$L$105,"Fail")</x:f>
        <x:v>0</x:v>
      </x:c>
      <x:c r="C9" s="34"/>
      <x:c r="D9" s="34" t="str">
        <x:v>Retest</x:v>
      </x:c>
      <x:c r="E9" s="72" t="n">
        <x:f>COUNTIF('Test Cases'!$L$6:$L$105,"Retest")</x:f>
        <x:v>0</x:v>
      </x:c>
    </x:row>
    <x:row r="10">
      <x:c r="A10" s="34" t="str">
        <x:v>Blocked</x:v>
      </x:c>
      <x:c r="B10" s="49" t="n">
        <x:f>COUNTIF('Test Cases'!$L$6:$L$105,"Blocked")</x:f>
        <x:v>0</x:v>
      </x:c>
      <x:c r="C10" s="34"/>
      <x:c r="D10" s="34"/>
      <x:c r="E10" s="34"/>
    </x:row>
    <x:row r="12">
      <x:c r="A12" s="28" t="str">
        <x:v>Current Integration Gate</x:v>
      </x:c>
      <x:c r="B12" s="28"/>
      <x:c r="C12" s="28"/>
      <x:c r="D12" s="28"/>
      <x:c r="E12" s="28"/>
      <x:c r="F12" s="28"/>
      <x:c r="G12" s="28"/>
      <x:c r="H12" s="28"/>
    </x:row>
    <x:row r="13">
      <x:c r="A13" s="34" t="str">
        <x:v>Gate</x:v>
      </x:c>
      <x:c r="B13" s="34" t="str">
        <x:v>Owner</x:v>
      </x:c>
      <x:c r="C13" s="34" t="str">
        <x:v>Current State</x:v>
      </x:c>
      <x:c r="D13" s="34" t="str">
        <x:v>Entry Requirement</x:v>
      </x:c>
      <x:c r="E13" s="34" t="str">
        <x:v>Dependency / Note</x:v>
      </x:c>
      <x:c r="F13" s="34" t="str"/>
      <x:c r="G13" s="34" t="str"/>
      <x:c r="H13" s="34" t="str"/>
    </x:row>
    <x:row r="14" ht="26.399999618530273" hidden="0" customHeight="1">
      <x:c r="A14" s="82" t="str">
        <x:v>WBS 6.2 AI prompt templates &amp; safety</x:v>
      </x:c>
      <x:c r="B14" s="83" t="str">
        <x:v>Jerald</x:v>
      </x:c>
      <x:c r="C14" s="83" t="str">
        <x:v>Merged / verified</x:v>
      </x:c>
      <x:c r="D14" s="83" t="str">
        <x:v>Required</x:v>
      </x:c>
      <x:c r="E14" s="83" t="str">
        <x:v>Complete</x:v>
      </x:c>
      <x:c r="F14" s="34" t="str"/>
      <x:c r="G14" s="34" t="str"/>
      <x:c r="H14" s="34" t="str"/>
    </x:row>
    <x:row r="15" ht="26.399999618530273" hidden="0" customHeight="1">
      <x:c r="A15" s="82" t="str">
        <x:v>WBS 6.3 Resume generation backend</x:v>
      </x:c>
      <x:c r="B15" s="83" t="str">
        <x:v>MD</x:v>
      </x:c>
      <x:c r="C15" s="83" t="str">
        <x:v>Merged / verified</x:v>
      </x:c>
      <x:c r="D15" s="83" t="str">
        <x:v>Required</x:v>
      </x:c>
      <x:c r="E15" s="83" t="str">
        <x:v>Resume backend tests pass on current shared backend baseline</x:v>
      </x:c>
      <x:c r="F15" s="34" t="str"/>
      <x:c r="G15" s="34" t="str"/>
      <x:c r="H15" s="34" t="str"/>
    </x:row>
    <x:row r="16" ht="26.399999618530273" hidden="0" customHeight="1">
      <x:c r="A16" s="82" t="str">
        <x:v>WBS 6.4 Cover letter generation backend</x:v>
      </x:c>
      <x:c r="B16" s="83" t="str">
        <x:v>MD</x:v>
      </x:c>
      <x:c r="C16" s="83" t="str">
        <x:v>Merged / verified</x:v>
      </x:c>
      <x:c r="D16" s="83" t="str">
        <x:v>Required</x:v>
      </x:c>
      <x:c r="E16" s="83" t="str">
        <x:v>48/48 documents tests passed; merged into feature/sprint-3</x:v>
      </x:c>
      <x:c r="F16" s="34" t="str"/>
      <x:c r="G16" s="34" t="str"/>
      <x:c r="H16" s="34" t="str"/>
    </x:row>
    <x:row r="17" ht="42" hidden="0" customHeight="1">
      <x:c r="A17" s="82" t="str">
        <x:v>WBS 6.5 Resume and cover letter interface</x:v>
      </x:c>
      <x:c r="B17" s="83" t="str">
        <x:v>Joyee</x:v>
      </x:c>
      <x:c r="C17" s="83" t="str">
        <x:v>Merged / verified</x:v>
      </x:c>
      <x:c r="D17" s="83" t="str">
        <x:v>Required</x:v>
      </x:c>
      <x:c r="E17" s="83" t="str">
        <x:v>Completed through PR #59; successor integration verified in PR #78</x:v>
      </x:c>
      <x:c r="F17" s="34" t="str"/>
      <x:c r="G17" s="34" t="str"/>
      <x:c r="H17" s="34" t="str"/>
    </x:row>
    <x:row r="18" ht="42" hidden="0" customHeight="1">
      <x:c r="A18" s="82" t="str">
        <x:v>WBS 6.6 Interview question and feedback API</x:v>
      </x:c>
      <x:c r="B18" s="83" t="str">
        <x:v>Jerald</x:v>
      </x:c>
      <x:c r="C18" s="83" t="str">
        <x:v>Merged / verified</x:v>
      </x:c>
      <x:c r="D18" s="83" t="str">
        <x:v>Required</x:v>
      </x:c>
      <x:c r="E18" s="83" t="str">
        <x:v>38/38 focused tests passed; merged into feature/sprint-3</x:v>
      </x:c>
      <x:c r="F18" s="34" t="str"/>
      <x:c r="G18" s="34" t="str"/>
      <x:c r="H18" s="34" t="str"/>
    </x:row>
    <x:row r="19" ht="42" hidden="0" customHeight="1">
      <x:c r="A19" s="82" t="str">
        <x:v>WBS 6.7 Interview preparation interface</x:v>
      </x:c>
      <x:c r="B19" s="83" t="str">
        <x:v>Joyee</x:v>
      </x:c>
      <x:c r="C19" s="83" t="str">
        <x:v>Verified / successor integrated</x:v>
      </x:c>
      <x:c r="D19" s="83" t="str">
        <x:v>Required</x:v>
      </x:c>
      <x:c r="E19" s="83" t="str">
        <x:v>PR #63 contribution superseded; final implementation integrated and verified through PR #78</x:v>
      </x:c>
      <x:c r="F19"/>
      <x:c r="G19"/>
    </x:row>
    <x:row r="20">
      <x:c r="A20" s="28" t="str">
        <x:v>WBS 6.8 / 6.9 Entry Rule</x:v>
      </x:c>
      <x:c r="B20" s="28"/>
      <x:c r="C20" s="28"/>
      <x:c r="D20" s="28"/>
      <x:c r="E20" s="28"/>
      <x:c r="F20" s="28"/>
      <x:c r="G20" s="28"/>
      <x:c r="H20" s="28"/>
    </x:row>
    <x:row r="21">
      <x:c r="A21" s="34" t="str">
        <x:v>Rule</x:v>
      </x:c>
      <x:c r="B21" s="34" t="str">
        <x:v>Status</x:v>
      </x:c>
      <x:c r="C21" s="34" t="str">
        <x:v>Meaning</x:v>
      </x:c>
      <x:c r="D21" s="34" t="str"/>
      <x:c r="E21" s="34" t="str"/>
      <x:c r="F21" s="34" t="str"/>
      <x:c r="G21" s="34" t="str"/>
      <x:c r="H21" s="34" t="str"/>
    </x:row>
    <x:row r="22" ht="42" hidden="0" customHeight="1">
      <x:c r="A22" s="34" t="str">
        <x:v>6.8 integration</x:v>
      </x:c>
      <x:c r="B22" s="34" t="str">
        <x:v>Pass</x:v>
      </x:c>
      <x:c r="C22" s="34" t="str">
        <x:v>Formal closeout accepts complete Sprint 3 integration using verified successor baseline evidence from PR #78 and final WBS 7.9.</x:v>
      </x:c>
      <x:c r="D22" s="34" t="str"/>
      <x:c r="E22" s="34" t="str"/>
      <x:c r="F22" s="34" t="str"/>
      <x:c r="G22" s="34" t="str"/>
      <x:c r="H22" s="34" t="str"/>
    </x:row>
    <x:row r="23" ht="42" hidden="0" customHeight="1">
      <x:c r="A23" s="34" t="str">
        <x:v>6.9 Sprint 3 testing</x:v>
      </x:c>
      <x:c r="B23" s="34" t="str">
        <x:v>Pass</x:v>
      </x:c>
      <x:c r="C23" s="34" t="str">
        <x:v>100/100 Sprint 3 test cases are Pass after formal evidence reconciliation.</x:v>
      </x:c>
      <x:c r="D23" s="34" t="str"/>
      <x:c r="E23" s="34" t="str"/>
      <x:c r="F23" s="34" t="str"/>
      <x:c r="G23" s="34" t="str"/>
      <x:c r="H23" s="34" t="str"/>
    </x:row>
    <x:row r="24" ht="42" hidden="0" customHeight="1">
      <x:c r="A24" s="34" t="str">
        <x:v>Blocked != Fail</x:v>
      </x:c>
      <x:c r="B24" s="34" t="str">
        <x:v>Closed</x:v>
      </x:c>
      <x:c r="C24" s="34" t="str">
        <x:v>No blocked Sprint 3 cases remain after formal closeout.</x:v>
      </x:c>
      <x:c r="D24" s="34" t="str"/>
      <x:c r="E24" s="34" t="str"/>
      <x:c r="F24" s="34" t="str"/>
      <x:c r="G24" s="34" t="str"/>
      <x:c r="H24" s="34" t="str"/>
    </x:row>
    <x:row r="25" ht="42" hidden="0" customHeight="1">
      <x:c r="A25" s="34" t="str">
        <x:v>Evidence</x:v>
      </x:c>
      <x:c r="B25" s="34" t="str">
        <x:v>Captured</x:v>
      </x:c>
      <x:c r="C25" s="34" t="str">
        <x:v>Evidence Index and closeout traceability are updated for all Sprint 3 cases.</x:v>
      </x:c>
      <x:c r="D25" s="34" t="str"/>
      <x:c r="E25" s="34" t="str"/>
      <x:c r="F25" s="34" t="str"/>
      <x:c r="G25" s="34" t="str"/>
      <x:c r="H25" s="34" t="str"/>
    </x:row>
  </x:sheetData>
  <x:mergeCells>
    <x:mergeCell ref="A1:H1"/>
    <x:mergeCell ref="A2:H2"/>
    <x:mergeCell ref="A12:H12"/>
    <x:mergeCell ref="A20:H20"/>
  </x:mergeCells>
  <x:pageMargins left="0.7" right="0.7" top="0.75" bottom="0.75" header="0.3" footer="0.3"/>
  <x:drawing xmlns:r="http://schemas.openxmlformats.org/officeDocument/2006/relationships" r:id="Rfd4570d671114301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3" hidden="0" customWidth="1"/>
    <x:col min="4" max="4" width="22" hidden="0" customWidth="1"/>
    <x:col min="5" max="5" width="10" hidden="0" customWidth="1"/>
    <x:col min="6" max="6" width="14" hidden="0" customWidth="1"/>
    <x:col min="7" max="7" width="38" hidden="0" customWidth="1"/>
    <x:col min="8" max="8" width="34" hidden="0" customWidth="1"/>
    <x:col min="9" max="9" width="38" hidden="0" customWidth="1"/>
    <x:col min="10" max="10" width="38" hidden="0" customWidth="1"/>
    <x:col min="11" max="11" width="15" hidden="0" customWidth="1"/>
    <x:col min="12" max="12" width="12" hidden="0" customWidth="1"/>
    <x:col min="13" max="13" width="28" hidden="0" customWidth="1"/>
    <x:col min="14" max="14" width="32" hidden="0" customWidth="1"/>
    <x:col min="15" max="15" width="26" hidden="0" customWidth="1"/>
    <x:col min="16" max="16" width="14" hidden="0" customWidth="1"/>
    <x:col min="17" max="17" width="12" hidden="0" customWidth="1"/>
    <x:col min="18" max="18" width="34" hidden="0" customWidth="1"/>
  </x:cols>
  <x:sheetData>
    <x:row r="1">
      <x:c r="A1" s="5" t="str">
        <x:v>GradNavi Sprint 3 Test Case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3" t="str">
        <x:v>WBS 6.2 to 6.9 | Application Documents and Interview Preparation | Evidence: docs/testing/evidence/sprint-3/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20" t="str">
        <x:v>Status rule: Blocked means a required dependency is unavailable. Blocked is not Fail. Component-level Pass does not imply WBS 6.8 integration has passed.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5">
      <x:c r="A5" s="28" t="str">
        <x:v>Test ID</x:v>
      </x:c>
      <x:c r="B5" s="28" t="str">
        <x:v>WBS</x:v>
      </x:c>
      <x:c r="C5" s="28" t="str">
        <x:v>Area</x:v>
      </x:c>
      <x:c r="D5" s="28" t="str">
        <x:v>Requirement</x:v>
      </x:c>
      <x:c r="E5" s="28" t="str">
        <x:v>Priority</x:v>
      </x:c>
      <x:c r="F5" s="28" t="str">
        <x:v>Test Level</x:v>
      </x:c>
      <x:c r="G5" s="28" t="str">
        <x:v>Test Case</x:v>
      </x:c>
      <x:c r="H5" s="28" t="str">
        <x:v>Preconditions</x:v>
      </x:c>
      <x:c r="I5" s="28" t="str">
        <x:v>Steps</x:v>
      </x:c>
      <x:c r="J5" s="28" t="str">
        <x:v>Expected Result</x:v>
      </x:c>
      <x:c r="K5" s="28" t="str">
        <x:v>Owner</x:v>
      </x:c>
      <x:c r="L5" s="28" t="str">
        <x:v>Status</x:v>
      </x:c>
      <x:c r="M5" s="28" t="str">
        <x:v>Blocked By</x:v>
      </x:c>
      <x:c r="N5" s="28" t="str">
        <x:v>Actual Result</x:v>
      </x:c>
      <x:c r="O5" s="28" t="str">
        <x:v>Evidence ID</x:v>
      </x:c>
      <x:c r="P5" s="28" t="str">
        <x:v>Defect Ref</x:v>
      </x:c>
      <x:c r="Q5" s="28" t="str">
        <x:v>Automation</x:v>
      </x:c>
      <x:c r="R5" s="28" t="str">
        <x:v>Notes</x:v>
      </x:c>
    </x:row>
    <x:row r="6">
      <x:c r="A6" s="34" t="str">
        <x:v>S3-TC-001</x:v>
      </x:c>
      <x:c r="B6" s="34" t="str">
        <x:v>6.8/6.9</x:v>
      </x:c>
      <x:c r="C6" s="34" t="str">
        <x:v>Baseline</x:v>
      </x:c>
      <x:c r="D6" s="34" t="str">
        <x:v>NFR-07,NFR-12</x:v>
      </x:c>
      <x:c r="E6" s="34" t="str">
        <x:v>Critical</x:v>
      </x:c>
      <x:c r="F6" s="34" t="str">
        <x:v>Baseline</x:v>
      </x:c>
      <x:c r="G6" s="34" t="str">
        <x:v>Confirm feature/sprint-3 is current and clean</x:v>
      </x:c>
      <x:c r="H6" s="34" t="str">
        <x:v>All required Sprint 3 PRs intended for integration are merged.</x:v>
      </x:c>
      <x:c r="I6" s="34" t="str">
        <x:v>Fetch remote; checkout feature/sprint-3; pull; run git status.</x:v>
      </x:c>
      <x:c r="J6" s="34" t="str">
        <x:v>Branch is current, clean, and contains expected Sprint 3 merges.</x:v>
      </x:c>
      <x:c r="K6" s="34" t="str">
        <x:v>All Members</x:v>
      </x:c>
      <x:c r="L6" s="34" t="str">
        <x:v>Pass</x:v>
      </x:c>
      <x:c r="M6" s="34"/>
      <x:c r="N6" s="34" t="str">
        <x:v>PASS at formal closeout. WBS 6.5 was merged to feature/sprint-3 through PR #59. The final WBS 6.7 implementation was later superseded and integrated on the successor feature/sprint-4 baseline through PR #78. Final WBS 7.9 integration and testing completed 129/129 planned Sprint 4 cases as Pass. Sprint 3 closeout accepts the verified successor integration baseline.</x:v>
      </x:c>
      <x:c r="O6" s="34" t="str">
        <x:v>S3-EV-007</x:v>
      </x:c>
      <x:c r="P6" s="34"/>
      <x:c r="Q6" s="34" t="str">
        <x:v>Manual</x:v>
      </x:c>
      <x:c r="R6" s="34" t="str">
        <x:v>Formal closeout traceability note: the historical feature/sprint-3 branch did not receive the final WBS 6.7 merge. The accepted final implementation is traced through PR #78 and final WBS 7.9 verification.</x:v>
      </x:c>
    </x:row>
    <x:row r="7">
      <x:c r="A7" s="34" t="str">
        <x:v>S3-TC-002</x:v>
      </x:c>
      <x:c r="B7" s="34" t="str">
        <x:v>6.8/6.9</x:v>
      </x:c>
      <x:c r="C7" s="34" t="str">
        <x:v>Baseline</x:v>
      </x:c>
      <x:c r="D7" s="34" t="str">
        <x:v>NFR-12</x:v>
      </x:c>
      <x:c r="E7" s="34" t="str">
        <x:v>Critical</x:v>
      </x:c>
      <x:c r="F7" s="34" t="str">
        <x:v>Baseline</x:v>
      </x:c>
      <x:c r="G7" s="34" t="str">
        <x:v>Run Django system check on integrated branch</x:v>
      </x:c>
      <x:c r="H7" s="34" t="str">
        <x:v>Backend environment active; PostgreSQL available if settings require it.</x:v>
      </x:c>
      <x:c r="I7" s="34" t="str">
        <x:v>Run python manage.py check.</x:v>
      </x:c>
      <x:c r="J7" s="34" t="str">
        <x:v>System check identifies no issues.</x:v>
      </x:c>
      <x:c r="K7" s="34" t="str">
        <x:v>All Members</x:v>
      </x:c>
      <x:c r="L7" s="34" t="str">
        <x:v>Pass</x:v>
      </x:c>
      <x:c r="M7" s="34"/>
      <x:c r="N7" s="34" t="str">
        <x:v>Django system check passed on current feature/sprint-3 backend baseline with no issues.</x:v>
      </x:c>
      <x:c r="O7" s="34" t="str">
        <x:v>S3-EV-009</x:v>
      </x:c>
      <x:c r="P7" s="34"/>
      <x:c r="Q7" s="34" t="str">
        <x:v>Automated</x:v>
      </x:c>
      <x:c r="R7" s="34" t="str">
        <x:v>Interim backend baseline pass. Rerun after WBS 6.5 and 6.7 merge before final Sprint 3 exit.</x:v>
      </x:c>
    </x:row>
    <x:row r="8">
      <x:c r="A8" s="34" t="str">
        <x:v>S3-TC-003</x:v>
      </x:c>
      <x:c r="B8" s="34" t="str">
        <x:v>6.8/6.9</x:v>
      </x:c>
      <x:c r="C8" s="34" t="str">
        <x:v>Baseline</x:v>
      </x:c>
      <x:c r="D8" s="34" t="str">
        <x:v>NFR-12,NFR-15</x:v>
      </x:c>
      <x:c r="E8" s="34" t="str">
        <x:v>Critical</x:v>
      </x:c>
      <x:c r="F8" s="34" t="str">
        <x:v>Database</x:v>
      </x:c>
      <x:c r="G8" s="34" t="str">
        <x:v>Confirm migration consistency</x:v>
      </x:c>
      <x:c r="H8" s="34" t="str">
        <x:v>Integrated branch current; PostgreSQL running.</x:v>
      </x:c>
      <x:c r="I8" s="34" t="str">
        <x:v>Run showmigrations and makemigrations --check; apply migrations in disposable/local environment if required.</x:v>
      </x:c>
      <x:c r="J8" s="34" t="str">
        <x:v>No unintended migration drift; required migrations apply successfully.</x:v>
      </x:c>
      <x:c r="K8" s="34" t="str">
        <x:v>MD</x:v>
      </x:c>
      <x:c r="L8" s="34" t="str">
        <x:v>Pass</x:v>
      </x:c>
      <x:c r="M8" s="34"/>
      <x:c r="N8" s="34" t="str">
        <x:v>makemigrations --check reported no changes. Test database migrations applied successfully during the 410-test regression run.</x:v>
      </x:c>
      <x:c r="O8" s="34" t="str">
        <x:v>S3-EV-009</x:v>
      </x:c>
      <x:c r="P8" s="34"/>
      <x:c r="Q8" s="34" t="str">
        <x:v>Hybrid</x:v>
      </x:c>
      <x:c r="R8" s="34" t="str">
        <x:v>Interim backend baseline pass. Final migration review remains part of WBS 6.9 after WBS 6.8.</x:v>
      </x:c>
    </x:row>
    <x:row r="9">
      <x:c r="A9" s="34" t="str">
        <x:v>S3-TC-004</x:v>
      </x:c>
      <x:c r="B9" s="34" t="str">
        <x:v>6.8/6.9</x:v>
      </x:c>
      <x:c r="C9" s="34" t="str">
        <x:v>Baseline</x:v>
      </x:c>
      <x:c r="D9" s="34" t="str">
        <x:v>NFR-07,NFR-12</x:v>
      </x:c>
      <x:c r="E9" s="34" t="str">
        <x:v>High</x:v>
      </x:c>
      <x:c r="F9" s="34" t="str">
        <x:v>Frontend</x:v>
      </x:c>
      <x:c r="G9" s="34" t="str">
        <x:v>Run frontend lint</x:v>
      </x:c>
      <x:c r="H9" s="34" t="str">
        <x:v>Frontend dependencies installed.</x:v>
      </x:c>
      <x:c r="I9" s="34" t="str">
        <x:v>Run npm lint command defined by project.</x:v>
      </x:c>
      <x:c r="J9" s="34" t="str">
        <x:v>Lint completes without blocking errors.</x:v>
      </x:c>
      <x:c r="K9" s="34" t="str">
        <x:v>Joyee</x:v>
      </x:c>
      <x:c r="L9" s="34" t="str">
        <x:v>Pass</x:v>
      </x:c>
      <x:c r="M9" s="34"/>
      <x:c r="N9" s="34" t="str">
        <x:v>PASS at formal closeout. Frontend lint completed with 0 warnings and 0 errors during WBS 6.5 verification in PR #59 and again during the later integrated Student workflow verification in PR #78.</x:v>
      </x:c>
      <x:c r="O9" s="34" t="str">
        <x:v>S3-EV-005</x:v>
      </x:c>
      <x:c r="P9" s="34"/>
      <x:c r="Q9" s="34" t="str">
        <x:v>Automated</x:v>
      </x:c>
      <x:c r="R9" s="34" t="str">
        <x:v>Accepted from verified implementation and successor integration evidence.</x:v>
      </x:c>
    </x:row>
    <x:row r="10">
      <x:c r="A10" s="34" t="str">
        <x:v>S3-TC-005</x:v>
      </x:c>
      <x:c r="B10" s="34" t="str">
        <x:v>6.8/6.9</x:v>
      </x:c>
      <x:c r="C10" s="34" t="str">
        <x:v>Baseline</x:v>
      </x:c>
      <x:c r="D10" s="34" t="str">
        <x:v>NFR-07,NFR-11,NFR-12</x:v>
      </x:c>
      <x:c r="E10" s="34" t="str">
        <x:v>Critical</x:v>
      </x:c>
      <x:c r="F10" s="34" t="str">
        <x:v>Frontend</x:v>
      </x:c>
      <x:c r="G10" s="34" t="str">
        <x:v>Run production frontend build</x:v>
      </x:c>
      <x:c r="H10" s="34" t="str">
        <x:v>Frontend dependencies installed and environment configured.</x:v>
      </x:c>
      <x:c r="I10" s="34" t="str">
        <x:v>Run npm build command defined by project.</x:v>
      </x:c>
      <x:c r="J10" s="34" t="str">
        <x:v>Production build completes successfully.</x:v>
      </x:c>
      <x:c r="K10" s="34" t="str">
        <x:v>Joyee</x:v>
      </x:c>
      <x:c r="L10" s="34" t="str">
        <x:v>Pass</x:v>
      </x:c>
      <x:c r="M10" s="34"/>
      <x:c r="N10" s="34" t="str">
        <x:v>PASS at formal closeout. The Vite production build completed successfully during WBS 6.5 verification in PR #59 and again during the later integrated Student workflow verification in PR #78.</x:v>
      </x:c>
      <x:c r="O10" s="34" t="str">
        <x:v>S3-EV-005</x:v>
      </x:c>
      <x:c r="P10" s="34"/>
      <x:c r="Q10" s="34" t="str">
        <x:v>Automated</x:v>
      </x:c>
      <x:c r="R10" s="34" t="str">
        <x:v>Accepted from verified implementation and successor integration evidence.</x:v>
      </x:c>
    </x:row>
    <x:row r="11">
      <x:c r="A11" s="34" t="str">
        <x:v>S3-TC-006</x:v>
      </x:c>
      <x:c r="B11" s="34" t="str">
        <x:v>6.2</x:v>
      </x:c>
      <x:c r="C11" s="34" t="str">
        <x:v>AI Contracts &amp; Safety</x:v>
      </x:c>
      <x:c r="D11" s="34" t="str">
        <x:v>FR-08,FR-09,FR-10,FR-16,NFR-14</x:v>
      </x:c>
      <x:c r="E11" s="34" t="str">
        <x:v>Critical</x:v>
      </x:c>
      <x:c r="F11" s="34" t="str">
        <x:v>Unit</x:v>
      </x:c>
      <x:c r="G11" s="34" t="str">
        <x:v>Approved AI operations are defined</x:v>
      </x:c>
      <x:c r="H11" s="34" t="str">
        <x:v>WBS 6.2 merged.</x:v>
      </x:c>
      <x:c r="I11" s="34" t="str">
        <x:v>Run ai_services prompt/schema tests.</x:v>
      </x:c>
      <x:c r="J11" s="34" t="str">
        <x:v>Resume, cover letter, interview questions, and interview feedback operations use approved identifiers.</x:v>
      </x:c>
      <x:c r="K11" s="34" t="str">
        <x:v>Jerald</x:v>
      </x:c>
      <x:c r="L11" s="34" t="str">
        <x:v>Pass</x:v>
      </x:c>
      <x:c r="M11" s="34"/>
      <x:c r="N11" s="34" t="str">
        <x:v>Verified by WBS 6.2 automated tests.</x:v>
      </x:c>
      <x:c r="O11" s="34" t="str">
        <x:v>S3-EV-001A; S3-EV-001B</x:v>
      </x:c>
      <x:c r="P11" s="34"/>
      <x:c r="Q11" s="34" t="str">
        <x:v>Automated</x:v>
      </x:c>
      <x:c r="R11" s="34"/>
    </x:row>
    <x:row r="12">
      <x:c r="A12" s="34" t="str">
        <x:v>S3-TC-007</x:v>
      </x:c>
      <x:c r="B12" s="34" t="str">
        <x:v>6.2</x:v>
      </x:c>
      <x:c r="C12" s="34" t="str">
        <x:v>AI Contracts &amp; Safety</x:v>
      </x:c>
      <x:c r="D12" s="34" t="str">
        <x:v>FR-08,NFR-06,NFR-14</x:v>
      </x:c>
      <x:c r="E12" s="34" t="str">
        <x:v>Critical</x:v>
      </x:c>
      <x:c r="F12" s="34" t="str">
        <x:v>Security</x:v>
      </x:c>
      <x:c r="G12" s="34" t="str">
        <x:v>Resume profile privacy allowlist excludes private fields</x:v>
      </x:c>
      <x:c r="H12" s="34" t="str">
        <x:v>WBS 6.2 merged.</x:v>
      </x:c>
      <x:c r="I12" s="34" t="str">
        <x:v>Run privacy tests against Student Profile mapping.</x:v>
      </x:c>
      <x:c r="J12" s="34" t="str">
        <x:v>Only approved profile context reaches AI prompt preparation.</x:v>
      </x:c>
      <x:c r="K12" s="34" t="str">
        <x:v>Jerald</x:v>
      </x:c>
      <x:c r="L12" s="34" t="str">
        <x:v>Pass</x:v>
      </x:c>
      <x:c r="M12" s="34"/>
      <x:c r="N12" s="34" t="str">
        <x:v>Privacy allowlist tests passed.</x:v>
      </x:c>
      <x:c r="O12" s="34" t="str">
        <x:v>S3-EV-001A; S3-EV-001B</x:v>
      </x:c>
      <x:c r="P12" s="34"/>
      <x:c r="Q12" s="34" t="str">
        <x:v>Automated</x:v>
      </x:c>
      <x:c r="R12" s="34"/>
    </x:row>
    <x:row r="13">
      <x:c r="A13" s="34" t="str">
        <x:v>S3-TC-008</x:v>
      </x:c>
      <x:c r="B13" s="34" t="str">
        <x:v>6.2</x:v>
      </x:c>
      <x:c r="C13" s="34" t="str">
        <x:v>AI Contracts &amp; Safety</x:v>
      </x:c>
      <x:c r="D13" s="34" t="str">
        <x:v>FR-08,FR-09,FR-10,NFR-14</x:v>
      </x:c>
      <x:c r="E13" s="34" t="str">
        <x:v>Critical</x:v>
      </x:c>
      <x:c r="F13" s="34" t="str">
        <x:v>Security</x:v>
      </x:c>
      <x:c r="G13" s="34" t="str">
        <x:v>User-controlled descriptions remain untrusted</x:v>
      </x:c>
      <x:c r="H13" s="34" t="str">
        <x:v>WBS 6.2 merged.</x:v>
      </x:c>
      <x:c r="I13" s="34" t="str">
        <x:v>Run prompt trust-boundary tests.</x:v>
      </x:c>
      <x:c r="J13" s="34" t="str">
        <x:v>User-controlled text stays in untrusted content and never becomes system instructions.</x:v>
      </x:c>
      <x:c r="K13" s="34" t="str">
        <x:v>Jerald</x:v>
      </x:c>
      <x:c r="L13" s="34" t="str">
        <x:v>Pass</x:v>
      </x:c>
      <x:c r="M13" s="34"/>
      <x:c r="N13" s="34" t="str">
        <x:v>Trust separation tests passed.</x:v>
      </x:c>
      <x:c r="O13" s="34" t="str">
        <x:v>S3-EV-001A; S3-EV-001B</x:v>
      </x:c>
      <x:c r="P13" s="34"/>
      <x:c r="Q13" s="34" t="str">
        <x:v>Automated</x:v>
      </x:c>
      <x:c r="R13" s="34"/>
    </x:row>
    <x:row r="14">
      <x:c r="A14" s="34" t="str">
        <x:v>S3-TC-009</x:v>
      </x:c>
      <x:c r="B14" s="34" t="str">
        <x:v>6.2</x:v>
      </x:c>
      <x:c r="C14" s="34" t="str">
        <x:v>AI Contracts &amp; Safety</x:v>
      </x:c>
      <x:c r="D14" s="34" t="str">
        <x:v>FR-08,NFR-14</x:v>
      </x:c>
      <x:c r="E14" s="34" t="str">
        <x:v>High</x:v>
      </x:c>
      <x:c r="F14" s="34" t="str">
        <x:v>Unit</x:v>
      </x:c>
      <x:c r="G14" s="34" t="str">
        <x:v>Resume output requires draft and review flags</x:v>
      </x:c>
      <x:c r="H14" s="34" t="str">
        <x:v>WBS 6.2 merged.</x:v>
      </x:c>
      <x:c r="I14" s="34" t="str">
        <x:v>Validate ResumeDraft schema.</x:v>
      </x:c>
      <x:c r="J14" s="34" t="str">
        <x:v>is_draft and requires_user_review must remain true.</x:v>
      </x:c>
      <x:c r="K14" s="34" t="str">
        <x:v>Jerald</x:v>
      </x:c>
      <x:c r="L14" s="34" t="str">
        <x:v>Pass</x:v>
      </x:c>
      <x:c r="M14" s="34"/>
      <x:c r="N14" s="34" t="str">
        <x:v>Schema tests passed.</x:v>
      </x:c>
      <x:c r="O14" s="34" t="str">
        <x:v>S3-EV-001A; S3-EV-001B</x:v>
      </x:c>
      <x:c r="P14" s="34"/>
      <x:c r="Q14" s="34" t="str">
        <x:v>Automated</x:v>
      </x:c>
      <x:c r="R14" s="34"/>
    </x:row>
    <x:row r="15">
      <x:c r="A15" s="34" t="str">
        <x:v>S3-TC-010</x:v>
      </x:c>
      <x:c r="B15" s="34" t="str">
        <x:v>6.2</x:v>
      </x:c>
      <x:c r="C15" s="34" t="str">
        <x:v>AI Contracts &amp; Safety</x:v>
      </x:c>
      <x:c r="D15" s="34" t="str">
        <x:v>FR-09,NFR-14</x:v>
      </x:c>
      <x:c r="E15" s="34" t="str">
        <x:v>High</x:v>
      </x:c>
      <x:c r="F15" s="34" t="str">
        <x:v>Unit</x:v>
      </x:c>
      <x:c r="G15" s="34" t="str">
        <x:v>Cover letter output requires draft and review flags</x:v>
      </x:c>
      <x:c r="H15" s="34" t="str">
        <x:v>WBS 6.2 merged.</x:v>
      </x:c>
      <x:c r="I15" s="34" t="str">
        <x:v>Validate CoverLetterDraft schema.</x:v>
      </x:c>
      <x:c r="J15" s="34" t="str">
        <x:v>Generated cover letter remains reviewable draft content.</x:v>
      </x:c>
      <x:c r="K15" s="34" t="str">
        <x:v>Jerald</x:v>
      </x:c>
      <x:c r="L15" s="34" t="str">
        <x:v>Pass</x:v>
      </x:c>
      <x:c r="M15" s="34"/>
      <x:c r="N15" s="34" t="str">
        <x:v>Schema tests passed.</x:v>
      </x:c>
      <x:c r="O15" s="34" t="str">
        <x:v>S3-EV-001A; S3-EV-001B</x:v>
      </x:c>
      <x:c r="P15" s="34"/>
      <x:c r="Q15" s="34" t="str">
        <x:v>Automated</x:v>
      </x:c>
      <x:c r="R15" s="34"/>
    </x:row>
    <x:row r="16">
      <x:c r="A16" s="34" t="str">
        <x:v>S3-TC-011</x:v>
      </x:c>
      <x:c r="B16" s="34" t="str">
        <x:v>6.2</x:v>
      </x:c>
      <x:c r="C16" s="34" t="str">
        <x:v>AI Contracts &amp; Safety</x:v>
      </x:c>
      <x:c r="D16" s="34" t="str">
        <x:v>FR-10,NFR-14</x:v>
      </x:c>
      <x:c r="E16" s="34" t="str">
        <x:v>Critical</x:v>
      </x:c>
      <x:c r="F16" s="34" t="str">
        <x:v>Unit</x:v>
      </x:c>
      <x:c r="G16" s="34" t="str">
        <x:v>Interview output excludes hiring probability</x:v>
      </x:c>
      <x:c r="H16" s="34" t="str">
        <x:v>WBS 6.2 merged.</x:v>
      </x:c>
      <x:c r="I16" s="34" t="str">
        <x:v>Validate InterviewQuestionSet and InterviewFeedback schemas.</x:v>
      </x:c>
      <x:c r="J16" s="34" t="str">
        <x:v>Hiring probability fields are rejected.</x:v>
      </x:c>
      <x:c r="K16" s="34" t="str">
        <x:v>Jerald</x:v>
      </x:c>
      <x:c r="L16" s="34" t="str">
        <x:v>Pass</x:v>
      </x:c>
      <x:c r="M16" s="34"/>
      <x:c r="N16" s="34" t="str">
        <x:v>Safety schema tests passed.</x:v>
      </x:c>
      <x:c r="O16" s="34" t="str">
        <x:v>S3-EV-001A; S3-EV-001B</x:v>
      </x:c>
      <x:c r="P16" s="34"/>
      <x:c r="Q16" s="34" t="str">
        <x:v>Automated</x:v>
      </x:c>
      <x:c r="R16" s="34"/>
    </x:row>
    <x:row r="17">
      <x:c r="A17" s="34" t="str">
        <x:v>S3-TC-012</x:v>
      </x:c>
      <x:c r="B17" s="34" t="str">
        <x:v>6.2</x:v>
      </x:c>
      <x:c r="C17" s="34" t="str">
        <x:v>AI Contracts &amp; Safety</x:v>
      </x:c>
      <x:c r="D17" s="34" t="str">
        <x:v>FR-10,NFR-14</x:v>
      </x:c>
      <x:c r="E17" s="34" t="str">
        <x:v>Critical</x:v>
      </x:c>
      <x:c r="F17" s="34" t="str">
        <x:v>Unit</x:v>
      </x:c>
      <x:c r="G17" s="34" t="str">
        <x:v>Interview output excludes pass/fail classification</x:v>
      </x:c>
      <x:c r="H17" s="34" t="str">
        <x:v>WBS 6.2 merged.</x:v>
      </x:c>
      <x:c r="I17" s="34" t="str">
        <x:v>Validate interview output schemas.</x:v>
      </x:c>
      <x:c r="J17" s="34" t="str">
        <x:v>Pass/fail hiring decisions are not accepted output fields.</x:v>
      </x:c>
      <x:c r="K17" s="34" t="str">
        <x:v>Jerald</x:v>
      </x:c>
      <x:c r="L17" s="34" t="str">
        <x:v>Pass</x:v>
      </x:c>
      <x:c r="M17" s="34"/>
      <x:c r="N17" s="34" t="str">
        <x:v>Safety schema tests passed.</x:v>
      </x:c>
      <x:c r="O17" s="34" t="str">
        <x:v>S3-EV-001A; S3-EV-001B</x:v>
      </x:c>
      <x:c r="P17" s="34"/>
      <x:c r="Q17" s="34" t="str">
        <x:v>Automated</x:v>
      </x:c>
      <x:c r="R17" s="34"/>
    </x:row>
    <x:row r="18">
      <x:c r="A18" s="34" t="str">
        <x:v>S3-TC-013</x:v>
      </x:c>
      <x:c r="B18" s="34" t="str">
        <x:v>6.2</x:v>
      </x:c>
      <x:c r="C18" s="34" t="str">
        <x:v>AI Contracts &amp; Safety</x:v>
      </x:c>
      <x:c r="D18" s="34" t="str">
        <x:v>FR-08,FR-09,FR-10,NFR-13</x:v>
      </x:c>
      <x:c r="E18" s="34" t="str">
        <x:v>High</x:v>
      </x:c>
      <x:c r="F18" s="34" t="str">
        <x:v>Architecture</x:v>
      </x:c>
      <x:c r="G18" s="34" t="str">
        <x:v>AIProvider contract stays provider-independent</x:v>
      </x:c>
      <x:c r="H18" s="34" t="str">
        <x:v>WBS 6.2 merged.</x:v>
      </x:c>
      <x:c r="I18" s="34" t="str">
        <x:v>Inspect provider base contract and service-facing interfaces.</x:v>
      </x:c>
      <x:c r="J18" s="34" t="str">
        <x:v>Sprint 3 code depends on shared provider contract, not provider SDK code.</x:v>
      </x:c>
      <x:c r="K18" s="34" t="str">
        <x:v>Jerald</x:v>
      </x:c>
      <x:c r="L18" s="34" t="str">
        <x:v>Pass</x:v>
      </x:c>
      <x:c r="M18" s="34"/>
      <x:c r="N18" s="34" t="str">
        <x:v>Provider contract present and reused.</x:v>
      </x:c>
      <x:c r="O18" s="34" t="str">
        <x:v>S3-EV-001A; S3-EV-001B</x:v>
      </x:c>
      <x:c r="P18" s="34"/>
      <x:c r="Q18" s="34" t="str">
        <x:v>Manual</x:v>
      </x:c>
      <x:c r="R18" s="34"/>
    </x:row>
    <x:row r="19">
      <x:c r="A19" s="34" t="str">
        <x:v>S3-TC-014</x:v>
      </x:c>
      <x:c r="B19" s="34" t="str">
        <x:v>6.2</x:v>
      </x:c>
      <x:c r="C19" s="34" t="str">
        <x:v>AI Contracts &amp; Safety</x:v>
      </x:c>
      <x:c r="D19" s="34" t="str">
        <x:v>FR-18,NFR-13</x:v>
      </x:c>
      <x:c r="E19" s="34" t="str">
        <x:v>High</x:v>
      </x:c>
      <x:c r="F19" s="34" t="str">
        <x:v>Unit</x:v>
      </x:c>
      <x:c r="G19" s="34" t="str">
        <x:v>Shared AI exception hierarchy is available</x:v>
      </x:c>
      <x:c r="H19" s="34" t="str">
        <x:v>WBS 6.2 merged.</x:v>
      </x:c>
      <x:c r="I19" s="34" t="str">
        <x:v>Run exception import/behaviour tests.</x:v>
      </x:c>
      <x:c r="J19" s="34" t="str">
        <x:v>Input, privacy, safety, provider, timeout, validation, and unsupported-operation errors are distinct.</x:v>
      </x:c>
      <x:c r="K19" s="34" t="str">
        <x:v>Jerald</x:v>
      </x:c>
      <x:c r="L19" s="34" t="str">
        <x:v>Pass</x:v>
      </x:c>
      <x:c r="M19" s="34"/>
      <x:c r="N19" s="34" t="str">
        <x:v>Exception hierarchy verified.</x:v>
      </x:c>
      <x:c r="O19" s="34" t="str">
        <x:v>S3-EV-001A; S3-EV-001B</x:v>
      </x:c>
      <x:c r="P19" s="34"/>
      <x:c r="Q19" s="34" t="str">
        <x:v>Automated</x:v>
      </x:c>
      <x:c r="R19" s="34"/>
    </x:row>
    <x:row r="20">
      <x:c r="A20" s="34" t="str">
        <x:v>S3-TC-015</x:v>
      </x:c>
      <x:c r="B20" s="34" t="str">
        <x:v>6.2</x:v>
      </x:c>
      <x:c r="C20" s="34" t="str">
        <x:v>AI Contracts &amp; Safety</x:v>
      </x:c>
      <x:c r="D20" s="34" t="str">
        <x:v>FR-08,FR-09,FR-10,NFR-12</x:v>
      </x:c>
      <x:c r="E20" s="34" t="str">
        <x:v>High</x:v>
      </x:c>
      <x:c r="F20" s="34" t="str">
        <x:v>Regression</x:v>
      </x:c>
      <x:c r="G20" s="34" t="str">
        <x:v>Focused AI service tests pass</x:v>
      </x:c>
      <x:c r="H20" s="34" t="str">
        <x:v>WBS 6.2 branch evidence available.</x:v>
      </x:c>
      <x:c r="I20" s="34" t="str">
        <x:v>Run focused ai_services tests.</x:v>
      </x:c>
      <x:c r="J20" s="34" t="str">
        <x:v>Focused WBS 6.2 suite passes.</x:v>
      </x:c>
      <x:c r="K20" s="34" t="str">
        <x:v>Jerald</x:v>
      </x:c>
      <x:c r="L20" s="34" t="str">
        <x:v>Pass</x:v>
      </x:c>
      <x:c r="M20" s="34"/>
      <x:c r="N20" s="34" t="str">
        <x:v>Focused WBS 6.2 suite passed.</x:v>
      </x:c>
      <x:c r="O20" s="34" t="str">
        <x:v>S3-EV-001A; S3-EV-001B</x:v>
      </x:c>
      <x:c r="P20" s="34"/>
      <x:c r="Q20" s="34" t="str">
        <x:v>Automated</x:v>
      </x:c>
      <x:c r="R20" s="34"/>
    </x:row>
    <x:row r="21">
      <x:c r="A21" s="34" t="str">
        <x:v>S3-TC-016</x:v>
      </x:c>
      <x:c r="B21" s="34" t="str">
        <x:v>6.2</x:v>
      </x:c>
      <x:c r="C21" s="34" t="str">
        <x:v>AI Contracts &amp; Safety</x:v>
      </x:c>
      <x:c r="D21" s="34" t="str">
        <x:v>NFR-12</x:v>
      </x:c>
      <x:c r="E21" s="34" t="str">
        <x:v>Critical</x:v>
      </x:c>
      <x:c r="F21" s="34" t="str">
        <x:v>Regression</x:v>
      </x:c>
      <x:c r="G21" s="34" t="str">
        <x:v>Backend regression remains green after WBS 6.2</x:v>
      </x:c>
      <x:c r="H21" s="34" t="str">
        <x:v>WBS 6.2 branch evidence available.</x:v>
      </x:c>
      <x:c r="I21" s="34" t="str">
        <x:v>Run full backend suite.</x:v>
      </x:c>
      <x:c r="J21" s="34" t="str">
        <x:v>All backend tests pass after WBS 6.2 changes.</x:v>
      </x:c>
      <x:c r="K21" s="34" t="str">
        <x:v>Jerald</x:v>
      </x:c>
      <x:c r="L21" s="34" t="str">
        <x:v>Pass</x:v>
      </x:c>
      <x:c r="M21" s="34"/>
      <x:c r="N21" s="34" t="str">
        <x:v>Full backend regression passed at WBS 6.2 checkpoint.</x:v>
      </x:c>
      <x:c r="O21" s="34" t="str">
        <x:v>S3-EV-001C; S3-EV-001D</x:v>
      </x:c>
      <x:c r="P21" s="34"/>
      <x:c r="Q21" s="34" t="str">
        <x:v>Automated</x:v>
      </x:c>
      <x:c r="R21" s="34"/>
    </x:row>
    <x:row r="22">
      <x:c r="A22" s="34" t="str">
        <x:v>S3-TC-017</x:v>
      </x:c>
      <x:c r="B22" s="34" t="str">
        <x:v>6.2</x:v>
      </x:c>
      <x:c r="C22" s="34" t="str">
        <x:v>AI Contracts &amp; Safety</x:v>
      </x:c>
      <x:c r="D22" s="34" t="str">
        <x:v>NFR-07,NFR-12</x:v>
      </x:c>
      <x:c r="E22" s="34" t="str">
        <x:v>High</x:v>
      </x:c>
      <x:c r="F22" s="34" t="str">
        <x:v>Baseline</x:v>
      </x:c>
      <x:c r="G22" s="34" t="str">
        <x:v>WBS 6.2 branch is clean and documented</x:v>
      </x:c>
      <x:c r="H22" s="34" t="str">
        <x:v>WBS 6.2 closeout evidence available.</x:v>
      </x:c>
      <x:c r="I22" s="34" t="str">
        <x:v>Review branch status, commit history, and closeout record.</x:v>
      </x:c>
      <x:c r="J22" s="34" t="str">
        <x:v>Working tree is clean and implementation commits are traceable.</x:v>
      </x:c>
      <x:c r="K22" s="34" t="str">
        <x:v>Jerald</x:v>
      </x:c>
      <x:c r="L22" s="34" t="str">
        <x:v>Pass</x:v>
      </x:c>
      <x:c r="M22" s="34"/>
      <x:c r="N22" s="34" t="str">
        <x:v>Branch status and commits captured.</x:v>
      </x:c>
      <x:c r="O22" s="34" t="str">
        <x:v>S3-EV-001E</x:v>
      </x:c>
      <x:c r="P22" s="34"/>
      <x:c r="Q22" s="34" t="str">
        <x:v>Manual</x:v>
      </x:c>
      <x:c r="R22" s="34"/>
    </x:row>
    <x:row r="23">
      <x:c r="A23" s="34" t="str">
        <x:v>S3-TC-018</x:v>
      </x:c>
      <x:c r="B23" s="34" t="str">
        <x:v>6.3</x:v>
      </x:c>
      <x:c r="C23" s="34" t="str">
        <x:v>Resume Backend</x:v>
      </x:c>
      <x:c r="D23" s="34" t="str">
        <x:v>FR-08</x:v>
      </x:c>
      <x:c r="E23" s="34" t="str">
        <x:v>Critical</x:v>
      </x:c>
      <x:c r="F23" s="34" t="str">
        <x:v>API</x:v>
      </x:c>
      <x:c r="G23" s="34" t="str">
        <x:v>Resume endpoint requires JWT</x:v>
      </x:c>
      <x:c r="H23" s="34" t="str">
        <x:v>WBS 6.3 merged into feature/sprint-3.</x:v>
      </x:c>
      <x:c r="I23" s="34" t="str">
        <x:v>POST resume endpoint without token.</x:v>
      </x:c>
      <x:c r="J23" s="34" t="str">
        <x:v>401 controlled error.</x:v>
      </x:c>
      <x:c r="K23" s="34" t="str">
        <x:v>MD</x:v>
      </x:c>
      <x:c r="L23" s="34" t="str">
        <x:v>Pass</x:v>
      </x:c>
      <x:c r="M23" s="34"/>
      <x:c r="N23" s="34" t="str">
        <x:v>Authentication-required resume API test passed in the shared 410-test backend regression.</x:v>
      </x:c>
      <x:c r="O23" s="34" t="str">
        <x:v>S3-EV-009A</x:v>
      </x:c>
      <x:c r="P23" s="34"/>
      <x:c r="Q23" s="34" t="str">
        <x:v>Automated</x:v>
      </x:c>
      <x:c r="R23" s="34" t="str">
        <x:v>Verified on the current merged feature/sprint-3 backend baseline. Dedicated WBS 6.3 evidence remains useful for team closeout.</x:v>
      </x:c>
    </x:row>
    <x:row r="24">
      <x:c r="A24" s="34" t="str">
        <x:v>S3-TC-019</x:v>
      </x:c>
      <x:c r="B24" s="34" t="str">
        <x:v>6.3</x:v>
      </x:c>
      <x:c r="C24" s="34" t="str">
        <x:v>Resume Backend</x:v>
      </x:c>
      <x:c r="D24" s="34" t="str">
        <x:v>FR-08,NFR-06</x:v>
      </x:c>
      <x:c r="E24" s="34" t="str">
        <x:v>Critical</x:v>
      </x:c>
      <x:c r="F24" s="34" t="str">
        <x:v>Security</x:v>
      </x:c>
      <x:c r="G24" s="34" t="str">
        <x:v>Resume endpoint rejects client profile identifiers</x:v>
      </x:c>
      <x:c r="H24" s="34" t="str">
        <x:v>WBS 6.3 merged into feature/sprint-3.</x:v>
      </x:c>
      <x:c r="I24" s="34" t="str">
        <x:v>Send student_profile_id, user_id, email, prompt, or skills.</x:v>
      </x:c>
      <x:c r="J24" s="34" t="str">
        <x:v>400 validation error and no client ownership override.</x:v>
      </x:c>
      <x:c r="K24" s="34" t="str">
        <x:v>MD</x:v>
      </x:c>
      <x:c r="L24" s="34" t="str">
        <x:v>Pass</x:v>
      </x:c>
      <x:c r="M24" s="34"/>
      <x:c r="N24" s="34" t="str">
        <x:v>Unexpected client ownership/profile/prompt fields were rejected by automated resume API tests.</x:v>
      </x:c>
      <x:c r="O24" s="34" t="str">
        <x:v>S3-EV-009A</x:v>
      </x:c>
      <x:c r="P24" s="34"/>
      <x:c r="Q24" s="34" t="str">
        <x:v>Hybrid</x:v>
      </x:c>
      <x:c r="R24" s="34" t="str">
        <x:v>Verified on the current merged feature/sprint-3 backend baseline. Dedicated WBS 6.3 evidence remains useful for team closeout.</x:v>
      </x:c>
    </x:row>
    <x:row r="25">
      <x:c r="A25" s="34" t="str">
        <x:v>S3-TC-020</x:v>
      </x:c>
      <x:c r="B25" s="34" t="str">
        <x:v>6.3</x:v>
      </x:c>
      <x:c r="C25" s="34" t="str">
        <x:v>Resume Backend</x:v>
      </x:c>
      <x:c r="D25" s="34" t="str">
        <x:v>FR-08,NFR-06</x:v>
      </x:c>
      <x:c r="E25" s="34" t="str">
        <x:v>Critical</x:v>
      </x:c>
      <x:c r="F25" s="34" t="str">
        <x:v>Integration</x:v>
      </x:c>
      <x:c r="G25" s="34" t="str">
        <x:v>Authenticated Student profile supplies resume context</x:v>
      </x:c>
      <x:c r="H25" s="34" t="str">
        <x:v>WBS 6.3 merged into feature/sprint-3.</x:v>
      </x:c>
      <x:c r="I25" s="34" t="str">
        <x:v>Call resume endpoint for Student A while Student B exists.</x:v>
      </x:c>
      <x:c r="J25" s="34" t="str">
        <x:v>Provider prompt contains only Student A approved profile facts.</x:v>
      </x:c>
      <x:c r="K25" s="34" t="str">
        <x:v>MD</x:v>
      </x:c>
      <x:c r="L25" s="34" t="str">
        <x:v>Pass</x:v>
      </x:c>
      <x:c r="M25" s="34"/>
      <x:c r="N25" s="34" t="str">
        <x:v>Authenticated Student profile isolation and approved profile-context tests passed.</x:v>
      </x:c>
      <x:c r="O25" s="34" t="str">
        <x:v>S3-EV-009A</x:v>
      </x:c>
      <x:c r="P25" s="34"/>
      <x:c r="Q25" s="34" t="str">
        <x:v>Automated</x:v>
      </x:c>
      <x:c r="R25" s="34" t="str">
        <x:v>Verified on the current merged feature/sprint-3 backend baseline. Dedicated WBS 6.3 evidence remains useful for team closeout.</x:v>
      </x:c>
    </x:row>
    <x:row r="26">
      <x:c r="A26" s="34" t="str">
        <x:v>S3-TC-021</x:v>
      </x:c>
      <x:c r="B26" s="34" t="str">
        <x:v>6.3</x:v>
      </x:c>
      <x:c r="C26" s="34" t="str">
        <x:v>Resume Backend</x:v>
      </x:c>
      <x:c r="D26" s="34" t="str">
        <x:v>FR-08</x:v>
      </x:c>
      <x:c r="E26" s="34" t="str">
        <x:v>High</x:v>
      </x:c>
      <x:c r="F26" s="34" t="str">
        <x:v>Integration</x:v>
      </x:c>
      <x:c r="G26" s="34" t="str">
        <x:v>Resume generation reuses WBS 6.2 prompt builder</x:v>
      </x:c>
      <x:c r="H26" s="34" t="str">
        <x:v>WBS 6.3 merged into feature/sprint-3.</x:v>
      </x:c>
      <x:c r="I26" s="34" t="str">
        <x:v>Invoke resume service with fake provider.</x:v>
      </x:c>
      <x:c r="J26" s="34" t="str">
        <x:v>Provider receives RESUME_GENERATION prompt package.</x:v>
      </x:c>
      <x:c r="K26" s="34" t="str">
        <x:v>MD</x:v>
      </x:c>
      <x:c r="L26" s="34" t="str">
        <x:v>Pass</x:v>
      </x:c>
      <x:c r="M26" s="34"/>
      <x:c r="N26" s="34" t="str">
        <x:v>Resume service used the approved RESUME_GENERATION provider/output contract in automated tests.</x:v>
      </x:c>
      <x:c r="O26" s="34" t="str">
        <x:v>S3-EV-009A</x:v>
      </x:c>
      <x:c r="P26" s="34"/>
      <x:c r="Q26" s="34" t="str">
        <x:v>Automated</x:v>
      </x:c>
      <x:c r="R26" s="34" t="str">
        <x:v>Verified on the current merged feature/sprint-3 backend baseline. Dedicated WBS 6.3 evidence remains useful for team closeout.</x:v>
      </x:c>
    </x:row>
    <x:row r="27">
      <x:c r="A27" s="34" t="str">
        <x:v>S3-TC-022</x:v>
      </x:c>
      <x:c r="B27" s="34" t="str">
        <x:v>6.3</x:v>
      </x:c>
      <x:c r="C27" s="34" t="str">
        <x:v>Resume Backend</x:v>
      </x:c>
      <x:c r="D27" s="34" t="str">
        <x:v>FR-08,FR-16</x:v>
      </x:c>
      <x:c r="E27" s="34" t="str">
        <x:v>Critical</x:v>
      </x:c>
      <x:c r="F27" s="34" t="str">
        <x:v>API</x:v>
      </x:c>
      <x:c r="G27" s="34" t="str">
        <x:v>Resume response is structured editable draft</x:v>
      </x:c>
      <x:c r="H27" s="34" t="str">
        <x:v>WBS 6.3 merged into feature/sprint-3.</x:v>
      </x:c>
      <x:c r="I27" s="34" t="str">
        <x:v>Use fake provider returning ResumeDraft.</x:v>
      </x:c>
      <x:c r="J27" s="34" t="str">
        <x:v>200 response contains draft fields and review flags.</x:v>
      </x:c>
      <x:c r="K27" s="34" t="str">
        <x:v>MD</x:v>
      </x:c>
      <x:c r="L27" s="34" t="str">
        <x:v>Pass</x:v>
      </x:c>
      <x:c r="M27" s="34"/>
      <x:c r="N27" s="34" t="str">
        <x:v>Structured ResumeDraft response and required review flags passed automated API tests.</x:v>
      </x:c>
      <x:c r="O27" s="34" t="str">
        <x:v>S3-EV-009A</x:v>
      </x:c>
      <x:c r="P27" s="34"/>
      <x:c r="Q27" s="34" t="str">
        <x:v>Automated</x:v>
      </x:c>
      <x:c r="R27" s="34" t="str">
        <x:v>Verified on the current merged feature/sprint-3 backend baseline. Dedicated WBS 6.3 evidence remains useful for team closeout.</x:v>
      </x:c>
    </x:row>
    <x:row r="28">
      <x:c r="A28" s="34" t="str">
        <x:v>S3-TC-023</x:v>
      </x:c>
      <x:c r="B28" s="34" t="str">
        <x:v>6.3</x:v>
      </x:c>
      <x:c r="C28" s="34" t="str">
        <x:v>Resume Backend</x:v>
      </x:c>
      <x:c r="D28" s="34" t="str">
        <x:v>FR-18</x:v>
      </x:c>
      <x:c r="E28" s="34" t="str">
        <x:v>High</x:v>
      </x:c>
      <x:c r="F28" s="34" t="str">
        <x:v>API</x:v>
      </x:c>
      <x:c r="G28" s="34" t="str">
        <x:v>Unconfigured provider fails closed</x:v>
      </x:c>
      <x:c r="H28" s="34" t="str">
        <x:v>WBS 6.3 merged into feature/sprint-3.</x:v>
      </x:c>
      <x:c r="I28" s="34" t="str">
        <x:v>Call endpoint with default provider seam.</x:v>
      </x:c>
      <x:c r="J28" s="34" t="str">
        <x:v>503 external_service_unavailable.</x:v>
      </x:c>
      <x:c r="K28" s="34" t="str">
        <x:v>MD</x:v>
      </x:c>
      <x:c r="L28" s="34" t="str">
        <x:v>Pass</x:v>
      </x:c>
      <x:c r="M28" s="34"/>
      <x:c r="N28" s="34" t="str">
        <x:v>Default resume provider seam failed closed with controlled 503 behaviour in automated tests.</x:v>
      </x:c>
      <x:c r="O28" s="34" t="str">
        <x:v>S3-EV-009A</x:v>
      </x:c>
      <x:c r="P28" s="34"/>
      <x:c r="Q28" s="34" t="str">
        <x:v>Automated</x:v>
      </x:c>
      <x:c r="R28" s="34" t="str">
        <x:v>Verified on the current merged feature/sprint-3 backend baseline. Dedicated WBS 6.3 evidence remains useful for team closeout.</x:v>
      </x:c>
    </x:row>
    <x:row r="29">
      <x:c r="A29" s="34" t="str">
        <x:v>S3-TC-024</x:v>
      </x:c>
      <x:c r="B29" s="34" t="str">
        <x:v>6.3</x:v>
      </x:c>
      <x:c r="C29" s="34" t="str">
        <x:v>Resume Backend</x:v>
      </x:c>
      <x:c r="D29" s="34" t="str">
        <x:v>FR-18</x:v>
      </x:c>
      <x:c r="E29" s="34" t="str">
        <x:v>High</x:v>
      </x:c>
      <x:c r="F29" s="34" t="str">
        <x:v>API</x:v>
      </x:c>
      <x:c r="G29" s="34" t="str">
        <x:v>Provider timeout is controlled</x:v>
      </x:c>
      <x:c r="H29" s="34" t="str">
        <x:v>WBS 6.3 merged into feature/sprint-3.</x:v>
      </x:c>
      <x:c r="I29" s="34" t="str">
        <x:v>Inject provider timeout.</x:v>
      </x:c>
      <x:c r="J29" s="34" t="str">
        <x:v>503 controlled error without stack trace.</x:v>
      </x:c>
      <x:c r="K29" s="34" t="str">
        <x:v>MD</x:v>
      </x:c>
      <x:c r="L29" s="34" t="str">
        <x:v>Pass</x:v>
      </x:c>
      <x:c r="M29" s="34"/>
      <x:c r="N29" s="34" t="str">
        <x:v>AIProviderTimeoutError propagation and controlled shared AI service failure handling passed automated documents tests.</x:v>
      </x:c>
      <x:c r="O29" s="34" t="str">
        <x:v>S3-EV-009A</x:v>
      </x:c>
      <x:c r="P29" s="34"/>
      <x:c r="Q29" s="34" t="str">
        <x:v>Automated</x:v>
      </x:c>
      <x:c r="R29" s="34" t="str">
        <x:v>Verified on the current merged feature/sprint-3 backend baseline. Dedicated WBS 6.3 evidence remains useful for team closeout.</x:v>
      </x:c>
    </x:row>
    <x:row r="30">
      <x:c r="A30" s="34" t="str">
        <x:v>S3-TC-025</x:v>
      </x:c>
      <x:c r="B30" s="34" t="str">
        <x:v>6.3</x:v>
      </x:c>
      <x:c r="C30" s="34" t="str">
        <x:v>Resume Backend</x:v>
      </x:c>
      <x:c r="D30" s="34" t="str">
        <x:v>NFR-14</x:v>
      </x:c>
      <x:c r="E30" s="34" t="str">
        <x:v>High</x:v>
      </x:c>
      <x:c r="F30" s="34" t="str">
        <x:v>Security</x:v>
      </x:c>
      <x:c r="G30" s="34" t="str">
        <x:v>Private profile fields stay outside provider prompt</x:v>
      </x:c>
      <x:c r="H30" s="34" t="str">
        <x:v>WBS 6.3 merged into feature/sprint-3.</x:v>
      </x:c>
      <x:c r="I30" s="34" t="str">
        <x:v>Populate private user/profile fields; generate draft.</x:v>
      </x:c>
      <x:c r="J30" s="34" t="str">
        <x:v>Email, private interests, personality responses, URLs, and internal metadata are absent.</x:v>
      </x:c>
      <x:c r="K30" s="34" t="str">
        <x:v>MD</x:v>
      </x:c>
      <x:c r="L30" s="34" t="str">
        <x:v>Pass</x:v>
      </x:c>
      <x:c r="M30" s="34"/>
      <x:c r="N30" s="34" t="str">
        <x:v>Private profile fields were excluded from the resume provider prompt in automated privacy tests.</x:v>
      </x:c>
      <x:c r="O30" s="34" t="str">
        <x:v>S3-EV-009A</x:v>
      </x:c>
      <x:c r="P30" s="34"/>
      <x:c r="Q30" s="34" t="str">
        <x:v>Hybrid</x:v>
      </x:c>
      <x:c r="R30" s="34" t="str">
        <x:v>Verified on the current merged feature/sprint-3 backend baseline. Dedicated WBS 6.3 evidence remains useful for team closeout.</x:v>
      </x:c>
    </x:row>
    <x:row r="31">
      <x:c r="A31" s="34" t="str">
        <x:v>S3-TC-026</x:v>
      </x:c>
      <x:c r="B31" s="34" t="str">
        <x:v>6.3</x:v>
      </x:c>
      <x:c r="C31" s="34" t="str">
        <x:v>Resume Backend</x:v>
      </x:c>
      <x:c r="D31" s="34" t="str">
        <x:v>NFR-12</x:v>
      </x:c>
      <x:c r="E31" s="34" t="str">
        <x:v>High</x:v>
      </x:c>
      <x:c r="F31" s="34" t="str">
        <x:v>Regression</x:v>
      </x:c>
      <x:c r="G31" s="34" t="str">
        <x:v>WBS 6.3 focused backend suite passes</x:v>
      </x:c>
      <x:c r="H31" s="34" t="str">
        <x:v>WBS 6.3 merged into feature/sprint-3.</x:v>
      </x:c>
      <x:c r="I31" s="34" t="str">
        <x:v>Run documents resume tests.</x:v>
      </x:c>
      <x:c r="J31" s="34" t="str">
        <x:v>All WBS 6.3 focused tests pass.</x:v>
      </x:c>
      <x:c r="K31" s="34" t="str">
        <x:v>MD</x:v>
      </x:c>
      <x:c r="L31" s="34" t="str">
        <x:v>Pass</x:v>
      </x:c>
      <x:c r="M31" s="34"/>
      <x:c r="N31" s="34" t="str">
        <x:v>All resume-generation automated tests included in the current shared backend regression passed.</x:v>
      </x:c>
      <x:c r="O31" s="34" t="str">
        <x:v>S3-EV-009A</x:v>
      </x:c>
      <x:c r="P31" s="34"/>
      <x:c r="Q31" s="34" t="str">
        <x:v>Automated</x:v>
      </x:c>
      <x:c r="R31" s="34" t="str">
        <x:v>Verified on the current merged feature/sprint-3 backend baseline. Dedicated WBS 6.3 evidence remains useful for team closeout.</x:v>
      </x:c>
    </x:row>
    <x:row r="32">
      <x:c r="A32" s="34" t="str">
        <x:v>S3-TC-027</x:v>
      </x:c>
      <x:c r="B32" s="34" t="str">
        <x:v>6.3</x:v>
      </x:c>
      <x:c r="C32" s="34" t="str">
        <x:v>Resume Backend</x:v>
      </x:c>
      <x:c r="D32" s="34" t="str">
        <x:v>NFR-12</x:v>
      </x:c>
      <x:c r="E32" s="34" t="str">
        <x:v>Critical</x:v>
      </x:c>
      <x:c r="F32" s="34" t="str">
        <x:v>Regression</x:v>
      </x:c>
      <x:c r="G32" s="34" t="str">
        <x:v>Backend regression remains green after WBS 6.3</x:v>
      </x:c>
      <x:c r="H32" s="34" t="str">
        <x:v>WBS 6.3 merged into feature/sprint-3.</x:v>
      </x:c>
      <x:c r="I32" s="34" t="str">
        <x:v>Run full backend suite on feature/sprint-3.</x:v>
      </x:c>
      <x:c r="J32" s="34" t="str">
        <x:v>All backend tests pass.</x:v>
      </x:c>
      <x:c r="K32" s="34" t="str">
        <x:v>MD</x:v>
      </x:c>
      <x:c r="L32" s="34" t="str">
        <x:v>Pass</x:v>
      </x:c>
      <x:c r="M32" s="34"/>
      <x:c r="N32" s="34" t="str">
        <x:v>Current feature/sprint-3 full backend regression passed 410/410 tests.</x:v>
      </x:c>
      <x:c r="O32" s="34" t="str">
        <x:v>S3-EV-009A</x:v>
      </x:c>
      <x:c r="P32" s="34"/>
      <x:c r="Q32" s="34" t="str">
        <x:v>Automated</x:v>
      </x:c>
      <x:c r="R32" s="34" t="str">
        <x:v>Verified on the current merged feature/sprint-3 backend baseline. Dedicated WBS 6.3 evidence remains useful for team closeout.</x:v>
      </x:c>
    </x:row>
    <x:row r="33">
      <x:c r="A33" s="34" t="str">
        <x:v>S3-TC-028</x:v>
      </x:c>
      <x:c r="B33" s="34" t="str">
        <x:v>6.4</x:v>
      </x:c>
      <x:c r="C33" s="34" t="str">
        <x:v>Cover Letter Backend</x:v>
      </x:c>
      <x:c r="D33" s="34" t="str">
        <x:v>FR-09,NFR-05</x:v>
      </x:c>
      <x:c r="E33" s="34" t="str">
        <x:v>Critical</x:v>
      </x:c>
      <x:c r="F33" s="34" t="str">
        <x:v>API</x:v>
      </x:c>
      <x:c r="G33" s="34" t="str">
        <x:v>Cover letter endpoint requires JWT</x:v>
      </x:c>
      <x:c r="H33" s="34" t="str">
        <x:v>WBS 6.4 merged and available on feature/sprint-3.</x:v>
      </x:c>
      <x:c r="I33" s="34" t="str">
        <x:v>Call endpoint without token.</x:v>
      </x:c>
      <x:c r="J33" s="34" t="str">
        <x:v>401 controlled error.</x:v>
      </x:c>
      <x:c r="K33" s="34" t="str">
        <x:v>MD</x:v>
      </x:c>
      <x:c r="L33" s="34" t="str">
        <x:v>Pass</x:v>
      </x:c>
      <x:c r="M33" s="34"/>
      <x:c r="N33" s="34" t="str">
        <x:v>Cover-letter authentication-required test passed.</x:v>
      </x:c>
      <x:c r="O33" s="34" t="str">
        <x:v>S3-EV-004A</x:v>
      </x:c>
      <x:c r="P33" s="34"/>
      <x:c r="Q33" s="34" t="str">
        <x:v>Hybrid</x:v>
      </x:c>
      <x:c r="R33" s="34" t="str">
        <x:v>WBS 6.4 is merged into feature/sprint-3 and verified against the updated Sprint 3 backend baseline.</x:v>
      </x:c>
    </x:row>
    <x:row r="34">
      <x:c r="A34" s="34" t="str">
        <x:v>S3-TC-029</x:v>
      </x:c>
      <x:c r="B34" s="34" t="str">
        <x:v>6.4</x:v>
      </x:c>
      <x:c r="C34" s="34" t="str">
        <x:v>Cover Letter Backend</x:v>
      </x:c>
      <x:c r="D34" s="34" t="str">
        <x:v>FR-09</x:v>
      </x:c>
      <x:c r="E34" s="34" t="str">
        <x:v>Critical</x:v>
      </x:c>
      <x:c r="F34" s="34" t="str">
        <x:v>API</x:v>
      </x:c>
      <x:c r="G34" s="34" t="str">
        <x:v>Cover letter request accepts one target job description</x:v>
      </x:c>
      <x:c r="H34" s="34" t="str">
        <x:v>WBS 6.4 merged and available on feature/sprint-3.</x:v>
      </x:c>
      <x:c r="I34" s="34" t="str">
        <x:v>Submit approved job-description payload.</x:v>
      </x:c>
      <x:c r="J34" s="34" t="str">
        <x:v>Request validates and proceeds to service.</x:v>
      </x:c>
      <x:c r="K34" s="34" t="str">
        <x:v>MD</x:v>
      </x:c>
      <x:c r="L34" s="34" t="str">
        <x:v>Pass</x:v>
      </x:c>
      <x:c r="M34" s="34"/>
      <x:c r="N34" s="34" t="str">
        <x:v>Validated job-description request contract passed automated tests.</x:v>
      </x:c>
      <x:c r="O34" s="34" t="str">
        <x:v>S3-EV-004A</x:v>
      </x:c>
      <x:c r="P34" s="34"/>
      <x:c r="Q34" s="34" t="str">
        <x:v>Hybrid</x:v>
      </x:c>
      <x:c r="R34" s="34" t="str">
        <x:v>WBS 6.4 is merged into feature/sprint-3 and verified against the updated Sprint 3 backend baseline.</x:v>
      </x:c>
    </x:row>
    <x:row r="35">
      <x:c r="A35" s="34" t="str">
        <x:v>S3-TC-030</x:v>
      </x:c>
      <x:c r="B35" s="34" t="str">
        <x:v>6.4</x:v>
      </x:c>
      <x:c r="C35" s="34" t="str">
        <x:v>Cover Letter Backend</x:v>
      </x:c>
      <x:c r="D35" s="34" t="str">
        <x:v>FR-09</x:v>
      </x:c>
      <x:c r="E35" s="34" t="str">
        <x:v>High</x:v>
      </x:c>
      <x:c r="F35" s="34" t="str">
        <x:v>API</x:v>
      </x:c>
      <x:c r="G35" s="34" t="str">
        <x:v>Cover letter rejects blank job description</x:v>
      </x:c>
      <x:c r="H35" s="34" t="str">
        <x:v>WBS 6.4 merged and available on feature/sprint-3.</x:v>
      </x:c>
      <x:c r="I35" s="34" t="str">
        <x:v>Submit blank/whitespace job description.</x:v>
      </x:c>
      <x:c r="J35" s="34" t="str">
        <x:v>400 validation error.</x:v>
      </x:c>
      <x:c r="K35" s="34" t="str">
        <x:v>MD</x:v>
      </x:c>
      <x:c r="L35" s="34" t="str">
        <x:v>Pass</x:v>
      </x:c>
      <x:c r="M35" s="34"/>
      <x:c r="N35" s="34" t="str">
        <x:v>Blank job description was rejected by API and input-contract tests.</x:v>
      </x:c>
      <x:c r="O35" s="34" t="str">
        <x:v>S3-EV-004A</x:v>
      </x:c>
      <x:c r="P35" s="34"/>
      <x:c r="Q35" s="34" t="str">
        <x:v>Hybrid</x:v>
      </x:c>
      <x:c r="R35" s="34" t="str">
        <x:v>WBS 6.4 is merged into feature/sprint-3 and verified against the updated Sprint 3 backend baseline.</x:v>
      </x:c>
    </x:row>
    <x:row r="36">
      <x:c r="A36" s="34" t="str">
        <x:v>S3-TC-031</x:v>
      </x:c>
      <x:c r="B36" s="34" t="str">
        <x:v>6.4</x:v>
      </x:c>
      <x:c r="C36" s="34" t="str">
        <x:v>Cover Letter Backend</x:v>
      </x:c>
      <x:c r="D36" s="34" t="str">
        <x:v>FR-09,NFR-06</x:v>
      </x:c>
      <x:c r="E36" s="34" t="str">
        <x:v>Critical</x:v>
      </x:c>
      <x:c r="F36" s="34" t="str">
        <x:v>Security</x:v>
      </x:c>
      <x:c r="G36" s="34" t="str">
        <x:v>Cover letter rejects client profile identifiers and prompt overrides</x:v>
      </x:c>
      <x:c r="H36" s="34" t="str">
        <x:v>WBS 6.4 merged and available on feature/sprint-3.</x:v>
      </x:c>
      <x:c r="I36" s="34" t="str">
        <x:v>Submit user_id, student_profile_id, prompt or unsupported fields.</x:v>
      </x:c>
      <x:c r="J36" s="34" t="str">
        <x:v>400 and no ownership override.</x:v>
      </x:c>
      <x:c r="K36" s="34" t="str">
        <x:v>MD</x:v>
      </x:c>
      <x:c r="L36" s="34" t="str">
        <x:v>Pass</x:v>
      </x:c>
      <x:c r="M36" s="34"/>
      <x:c r="N36" s="34" t="str">
        <x:v>Client ownership identifiers, prompt overrides, and unexpected fields were rejected.</x:v>
      </x:c>
      <x:c r="O36" s="34" t="str">
        <x:v>S3-EV-004A</x:v>
      </x:c>
      <x:c r="P36" s="34"/>
      <x:c r="Q36" s="34" t="str">
        <x:v>Hybrid</x:v>
      </x:c>
      <x:c r="R36" s="34" t="str">
        <x:v>WBS 6.4 is merged into feature/sprint-3 and verified against the updated Sprint 3 backend baseline.</x:v>
      </x:c>
    </x:row>
    <x:row r="37">
      <x:c r="A37" s="34" t="str">
        <x:v>S3-TC-032</x:v>
      </x:c>
      <x:c r="B37" s="34" t="str">
        <x:v>6.4</x:v>
      </x:c>
      <x:c r="C37" s="34" t="str">
        <x:v>Cover Letter Backend</x:v>
      </x:c>
      <x:c r="D37" s="34" t="str">
        <x:v>FR-09,NFR-06</x:v>
      </x:c>
      <x:c r="E37" s="34" t="str">
        <x:v>Critical</x:v>
      </x:c>
      <x:c r="F37" s="34" t="str">
        <x:v>Integration</x:v>
      </x:c>
      <x:c r="G37" s="34" t="str">
        <x:v>Authenticated Student profile supplies cover letter facts</x:v>
      </x:c>
      <x:c r="H37" s="34" t="str">
        <x:v>WBS 6.4 merged and available on feature/sprint-3.</x:v>
      </x:c>
      <x:c r="I37" s="34" t="str">
        <x:v>Generate for Student A while Student B exists.</x:v>
      </x:c>
      <x:c r="J37" s="34" t="str">
        <x:v>Only Student A approved profile facts reach prompt context.</x:v>
      </x:c>
      <x:c r="K37" s="34" t="str">
        <x:v>MD</x:v>
      </x:c>
      <x:c r="L37" s="34" t="str">
        <x:v>Pass</x:v>
      </x:c>
      <x:c r="M37" s="34"/>
      <x:c r="N37" s="34" t="str">
        <x:v>Authenticated Student profile supplied approved cover-letter context and cross-user selection was blocked.</x:v>
      </x:c>
      <x:c r="O37" s="34" t="str">
        <x:v>S3-EV-004A</x:v>
      </x:c>
      <x:c r="P37" s="34"/>
      <x:c r="Q37" s="34" t="str">
        <x:v>Hybrid</x:v>
      </x:c>
      <x:c r="R37" s="34" t="str">
        <x:v>WBS 6.4 is merged into feature/sprint-3 and verified against the updated Sprint 3 backend baseline.</x:v>
      </x:c>
    </x:row>
    <x:row r="38">
      <x:c r="A38" s="34" t="str">
        <x:v>S3-TC-033</x:v>
      </x:c>
      <x:c r="B38" s="34" t="str">
        <x:v>6.4</x:v>
      </x:c>
      <x:c r="C38" s="34" t="str">
        <x:v>Cover Letter Backend</x:v>
      </x:c>
      <x:c r="D38" s="34" t="str">
        <x:v>FR-09,NFR-14</x:v>
      </x:c>
      <x:c r="E38" s="34" t="str">
        <x:v>Critical</x:v>
      </x:c>
      <x:c r="F38" s="34" t="str">
        <x:v>Security</x:v>
      </x:c>
      <x:c r="G38" s="34" t="str">
        <x:v>Job description remains untrusted content</x:v>
      </x:c>
      <x:c r="H38" s="34" t="str">
        <x:v>WBS 6.4 merged and available on feature/sprint-3.</x:v>
      </x:c>
      <x:c r="I38" s="34" t="str">
        <x:v>Submit malicious/instruction-like job description.</x:v>
      </x:c>
      <x:c r="J38" s="34" t="str">
        <x:v>Job description stays in untrusted content.</x:v>
      </x:c>
      <x:c r="K38" s="34" t="str">
        <x:v>MD</x:v>
      </x:c>
      <x:c r="L38" s="34" t="str">
        <x:v>Pass</x:v>
      </x:c>
      <x:c r="M38" s="34"/>
      <x:c r="N38" s="34" t="str">
        <x:v>Job description remained untrusted content and instruction-like text did not become trusted instructions.</x:v>
      </x:c>
      <x:c r="O38" s="34" t="str">
        <x:v>S3-EV-004A</x:v>
      </x:c>
      <x:c r="P38" s="34"/>
      <x:c r="Q38" s="34" t="str">
        <x:v>Hybrid</x:v>
      </x:c>
      <x:c r="R38" s="34" t="str">
        <x:v>WBS 6.4 is merged into feature/sprint-3 and verified against the updated Sprint 3 backend baseline.</x:v>
      </x:c>
    </x:row>
    <x:row r="39">
      <x:c r="A39" s="34" t="str">
        <x:v>S3-TC-034</x:v>
      </x:c>
      <x:c r="B39" s="34" t="str">
        <x:v>6.4</x:v>
      </x:c>
      <x:c r="C39" s="34" t="str">
        <x:v>Cover Letter Backend</x:v>
      </x:c>
      <x:c r="D39" s="34" t="str">
        <x:v>FR-09,FR-16,NFR-14</x:v>
      </x:c>
      <x:c r="E39" s="34" t="str">
        <x:v>Critical</x:v>
      </x:c>
      <x:c r="F39" s="34" t="str">
        <x:v>Integration</x:v>
      </x:c>
      <x:c r="G39" s="34" t="str">
        <x:v>Cover letter output is tailored but does not invent facts</x:v>
      </x:c>
      <x:c r="H39" s="34" t="str">
        <x:v>WBS 6.4 merged and available on feature/sprint-3.</x:v>
      </x:c>
      <x:c r="I39" s="34" t="str">
        <x:v>Use controlled fake provider/output validation.</x:v>
      </x:c>
      <x:c r="J39" s="34" t="str">
        <x:v>Structured draft references supplied role context without fabricated Student claims.</x:v>
      </x:c>
      <x:c r="K39" s="34" t="str">
        <x:v>MD</x:v>
      </x:c>
      <x:c r="L39" s="34" t="str">
        <x:v>Pass</x:v>
      </x:c>
      <x:c r="M39" s="34"/>
      <x:c r="N39" s="34" t="str">
        <x:v>CoverLetterDraft contract, privacy mapping, supplied-fact boundaries, and structured output validation passed.</x:v>
      </x:c>
      <x:c r="O39" s="34" t="str">
        <x:v>S3-EV-004A</x:v>
      </x:c>
      <x:c r="P39" s="34"/>
      <x:c r="Q39" s="34" t="str">
        <x:v>Hybrid</x:v>
      </x:c>
      <x:c r="R39" s="34" t="str">
        <x:v>WBS 6.4 is merged into feature/sprint-3 and verified against the updated Sprint 3 backend baseline.</x:v>
      </x:c>
    </x:row>
    <x:row r="40">
      <x:c r="A40" s="34" t="str">
        <x:v>S3-TC-035</x:v>
      </x:c>
      <x:c r="B40" s="34" t="str">
        <x:v>6.4</x:v>
      </x:c>
      <x:c r="C40" s="34" t="str">
        <x:v>Cover Letter Backend</x:v>
      </x:c>
      <x:c r="D40" s="34" t="str">
        <x:v>FR-09,FR-16</x:v>
      </x:c>
      <x:c r="E40" s="34" t="str">
        <x:v>High</x:v>
      </x:c>
      <x:c r="F40" s="34" t="str">
        <x:v>API</x:v>
      </x:c>
      <x:c r="G40" s="34" t="str">
        <x:v>Generated cover letter requires user review</x:v>
      </x:c>
      <x:c r="H40" s="34" t="str">
        <x:v>WBS 6.4 merged and available on feature/sprint-3.</x:v>
      </x:c>
      <x:c r="I40" s="34" t="str">
        <x:v>Inspect response flags.</x:v>
      </x:c>
      <x:c r="J40" s="34" t="str">
        <x:v>Draft/review flags remain enforced.</x:v>
      </x:c>
      <x:c r="K40" s="34" t="str">
        <x:v>MD</x:v>
      </x:c>
      <x:c r="L40" s="34" t="str">
        <x:v>Pass</x:v>
      </x:c>
      <x:c r="M40" s="34"/>
      <x:c r="N40" s="34" t="str">
        <x:v>Generated cover-letter draft retained draft/requires_user_review flags.</x:v>
      </x:c>
      <x:c r="O40" s="34" t="str">
        <x:v>S3-EV-004A</x:v>
      </x:c>
      <x:c r="P40" s="34"/>
      <x:c r="Q40" s="34" t="str">
        <x:v>Hybrid</x:v>
      </x:c>
      <x:c r="R40" s="34" t="str">
        <x:v>WBS 6.4 is merged into feature/sprint-3 and verified against the updated Sprint 3 backend baseline.</x:v>
      </x:c>
    </x:row>
    <x:row r="41">
      <x:c r="A41" s="34" t="str">
        <x:v>S3-TC-036</x:v>
      </x:c>
      <x:c r="B41" s="34" t="str">
        <x:v>6.4</x:v>
      </x:c>
      <x:c r="C41" s="34" t="str">
        <x:v>Cover Letter Backend</x:v>
      </x:c>
      <x:c r="D41" s="34" t="str">
        <x:v>FR-18</x:v>
      </x:c>
      <x:c r="E41" s="34" t="str">
        <x:v>High</x:v>
      </x:c>
      <x:c r="F41" s="34" t="str">
        <x:v>API</x:v>
      </x:c>
      <x:c r="G41" s="34" t="str">
        <x:v>Provider unavailable/timeout returns controlled error</x:v>
      </x:c>
      <x:c r="H41" s="34" t="str">
        <x:v>WBS 6.4 merged and available on feature/sprint-3.</x:v>
      </x:c>
      <x:c r="I41" s="34" t="str">
        <x:v>Exercise provider error paths.</x:v>
      </x:c>
      <x:c r="J41" s="34" t="str">
        <x:v>Controlled service error, no sensitive internals.</x:v>
      </x:c>
      <x:c r="K41" s="34" t="str">
        <x:v>MD</x:v>
      </x:c>
      <x:c r="L41" s="34" t="str">
        <x:v>Pass</x:v>
      </x:c>
      <x:c r="M41" s="34"/>
      <x:c r="N41" s="34" t="str">
        <x:v>Default provider seam and shared AI service failure paths returned controlled service errors.</x:v>
      </x:c>
      <x:c r="O41" s="34" t="str">
        <x:v>S3-EV-004A</x:v>
      </x:c>
      <x:c r="P41" s="34"/>
      <x:c r="Q41" s="34" t="str">
        <x:v>Hybrid</x:v>
      </x:c>
      <x:c r="R41" s="34" t="str">
        <x:v>WBS 6.4 is merged into feature/sprint-3 and verified against the updated Sprint 3 backend baseline.</x:v>
      </x:c>
    </x:row>
    <x:row r="42">
      <x:c r="A42" s="34" t="str">
        <x:v>S3-TC-037</x:v>
      </x:c>
      <x:c r="B42" s="34" t="str">
        <x:v>6.4</x:v>
      </x:c>
      <x:c r="C42" s="34" t="str">
        <x:v>Cover Letter Backend</x:v>
      </x:c>
      <x:c r="D42" s="34" t="str">
        <x:v>NFR-12</x:v>
      </x:c>
      <x:c r="E42" s="34" t="str">
        <x:v>Critical</x:v>
      </x:c>
      <x:c r="F42" s="34" t="str">
        <x:v>Regression</x:v>
      </x:c>
      <x:c r="G42" s="34" t="str">
        <x:v>WBS 6.4 focused tests and backend regression pass</x:v>
      </x:c>
      <x:c r="H42" s="34" t="str">
        <x:v>WBS 6.4 merged and available on feature/sprint-3.</x:v>
      </x:c>
      <x:c r="I42" s="34" t="str">
        <x:v>Run focused and full backend suites.</x:v>
      </x:c>
      <x:c r="J42" s="34" t="str">
        <x:v>All tests pass.</x:v>
      </x:c>
      <x:c r="K42" s="34" t="str">
        <x:v>MD</x:v>
      </x:c>
      <x:c r="L42" s="34" t="str">
        <x:v>Pass</x:v>
      </x:c>
      <x:c r="M42" s="34"/>
      <x:c r="N42" s="34" t="str">
        <x:v>48/48 documents tests passed on the merged Sprint 3 baseline; current shared feature/sprint-3 backend regression passed 410/410.</x:v>
      </x:c>
      <x:c r="O42" s="34" t="str">
        <x:v>S3-EV-004A; S3-EV-009A</x:v>
      </x:c>
      <x:c r="P42" s="34"/>
      <x:c r="Q42" s="34" t="str">
        <x:v>Hybrid</x:v>
      </x:c>
      <x:c r="R42" s="34" t="str">
        <x:v>WBS 6.4 is merged into feature/sprint-3 and verified against the updated Sprint 3 backend baseline.</x:v>
      </x:c>
    </x:row>
    <x:row r="43">
      <x:c r="A43" s="34" t="str">
        <x:v>S3-TC-038</x:v>
      </x:c>
      <x:c r="B43" s="34" t="str">
        <x:v>6.5</x:v>
      </x:c>
      <x:c r="C43" s="34" t="str">
        <x:v>Document Interface</x:v>
      </x:c>
      <x:c r="D43" s="34" t="str">
        <x:v>FR-08,NFR-05</x:v>
      </x:c>
      <x:c r="E43" s="34" t="str">
        <x:v>Critical</x:v>
      </x:c>
      <x:c r="F43" s="34" t="str">
        <x:v>UI</x:v>
      </x:c>
      <x:c r="G43" s="34" t="str">
        <x:v>Resume builder page loads for authenticated Student</x:v>
      </x:c>
      <x:c r="H43" s="34" t="str">
        <x:v>WBS 6.5 available and backend endpoints integrated.</x:v>
      </x:c>
      <x:c r="I43" s="34" t="str">
        <x:v>Open Resume Builder after login.</x:v>
      </x:c>
      <x:c r="J43" s="34" t="str">
        <x:v>Page loads and protected route behaviour is correct.</x:v>
      </x:c>
      <x:c r="K43" s="34" t="str">
        <x:v>Joyee</x:v>
      </x:c>
      <x:c r="L43" s="34" t="str">
        <x:v>Pass</x:v>
      </x:c>
      <x:c r="M43" s="34"/>
      <x:c r="N43" s="34" t="str">
        <x:v>PASS at formal closeout. Resume Builder loaded successfully for an authenticated Student during WBS 6.5 manual UI verification and later integrated workflow verification.</x:v>
      </x:c>
      <x:c r="O43" s="34" t="str">
        <x:v>S3-EV-005</x:v>
      </x:c>
      <x:c r="P43" s="34"/>
      <x:c r="Q43" s="34" t="str">
        <x:v>Manual</x:v>
      </x:c>
      <x:c r="R43" s="34" t="str">
        <x:v>Accepted from PR #59 WBS 6.5 verification and, where required, PR #78 / final WBS 7.9 successor integration evidence.</x:v>
      </x:c>
    </x:row>
    <x:row r="44">
      <x:c r="A44" s="34" t="str">
        <x:v>S3-TC-039</x:v>
      </x:c>
      <x:c r="B44" s="34" t="str">
        <x:v>6.5</x:v>
      </x:c>
      <x:c r="C44" s="34" t="str">
        <x:v>Document Interface</x:v>
      </x:c>
      <x:c r="D44" s="34" t="str">
        <x:v>FR-08</x:v>
      </x:c>
      <x:c r="E44" s="34" t="str">
        <x:v>Critical</x:v>
      </x:c>
      <x:c r="F44" s="34" t="str">
        <x:v>Integration</x:v>
      </x:c>
      <x:c r="G44" s="34" t="str">
        <x:v>Resume builder invokes backend resume endpoint</x:v>
      </x:c>
      <x:c r="H44" s="34" t="str">
        <x:v>WBS 6.5 available and backend endpoints integrated.</x:v>
      </x:c>
      <x:c r="I44" s="34" t="str">
        <x:v>Generate resume from UI.</x:v>
      </x:c>
      <x:c r="J44" s="34" t="str">
        <x:v>Frontend calls approved resume API and renders response.</x:v>
      </x:c>
      <x:c r="K44" s="34" t="str">
        <x:v>Joyee</x:v>
      </x:c>
      <x:c r="L44" s="34" t="str">
        <x:v>Pass</x:v>
      </x:c>
      <x:c r="M44" s="34"/>
      <x:c r="N44" s="34" t="str">
        <x:v>PASS at formal closeout. Resume generation from the frontend to the approved backend flow was verified during WBS 6.5 and later integrated Student workflow verification.</x:v>
      </x:c>
      <x:c r="O44" s="34" t="str">
        <x:v>S3-EV-005</x:v>
      </x:c>
      <x:c r="P44" s="34"/>
      <x:c r="Q44" s="34" t="str">
        <x:v>Manual</x:v>
      </x:c>
      <x:c r="R44" s="34" t="str">
        <x:v>Accepted from PR #59 WBS 6.5 verification and, where required, PR #78 / final WBS 7.9 successor integration evidence.</x:v>
      </x:c>
    </x:row>
    <x:row r="45">
      <x:c r="A45" s="34" t="str">
        <x:v>S3-TC-040</x:v>
      </x:c>
      <x:c r="B45" s="34" t="str">
        <x:v>6.5</x:v>
      </x:c>
      <x:c r="C45" s="34" t="str">
        <x:v>Document Interface</x:v>
      </x:c>
      <x:c r="D45" s="34" t="str">
        <x:v>FR-08,FR-16</x:v>
      </x:c>
      <x:c r="E45" s="34" t="str">
        <x:v>Critical</x:v>
      </x:c>
      <x:c r="F45" s="34" t="str">
        <x:v>UI</x:v>
      </x:c>
      <x:c r="G45" s="34" t="str">
        <x:v>Resume draft is editable before save/export</x:v>
      </x:c>
      <x:c r="H45" s="34" t="str">
        <x:v>WBS 6.5 available and backend endpoints integrated.</x:v>
      </x:c>
      <x:c r="I45" s="34" t="str">
        <x:v>Edit generated resume content.</x:v>
      </x:c>
      <x:c r="J45" s="34" t="str">
        <x:v>Student edits generated content before any save/export action.</x:v>
      </x:c>
      <x:c r="K45" s="34" t="str">
        <x:v>Joyee</x:v>
      </x:c>
      <x:c r="L45" s="34" t="str">
        <x:v>Pass</x:v>
      </x:c>
      <x:c r="M45" s="34"/>
      <x:c r="N45" s="34" t="str">
        <x:v>PASS at formal closeout. Editable Resume draft behaviour and document actions were verified during WBS 6.5 interface verification and later integrated workflow verification.</x:v>
      </x:c>
      <x:c r="O45" s="34" t="str">
        <x:v>S3-EV-005</x:v>
      </x:c>
      <x:c r="P45" s="34"/>
      <x:c r="Q45" s="34" t="str">
        <x:v>Manual</x:v>
      </x:c>
      <x:c r="R45" s="34" t="str">
        <x:v>Accepted from PR #59 WBS 6.5 verification and, where required, PR #78 / final WBS 7.9 successor integration evidence.</x:v>
      </x:c>
    </x:row>
    <x:row r="46">
      <x:c r="A46" s="34" t="str">
        <x:v>S3-TC-041</x:v>
      </x:c>
      <x:c r="B46" s="34" t="str">
        <x:v>6.5</x:v>
      </x:c>
      <x:c r="C46" s="34" t="str">
        <x:v>Document Interface</x:v>
      </x:c>
      <x:c r="D46" s="34" t="str">
        <x:v>FR-18,NFR-01</x:v>
      </x:c>
      <x:c r="E46" s="34" t="str">
        <x:v>High</x:v>
      </x:c>
      <x:c r="F46" s="34" t="str">
        <x:v>UI</x:v>
      </x:c>
      <x:c r="G46" s="34" t="str">
        <x:v>Resume loading and provider-unavailable states are clear</x:v>
      </x:c>
      <x:c r="H46" s="34" t="str">
        <x:v>WBS 6.5 available and backend endpoints integrated.</x:v>
      </x:c>
      <x:c r="I46" s="34" t="str">
        <x:v>Trigger loading and 503 paths.</x:v>
      </x:c>
      <x:c r="J46" s="34" t="str">
        <x:v>UI shows useful loading/error state without technical leakage.</x:v>
      </x:c>
      <x:c r="K46" s="34" t="str">
        <x:v>Joyee</x:v>
      </x:c>
      <x:c r="L46" s="34" t="str">
        <x:v>Pass</x:v>
      </x:c>
      <x:c r="M46" s="34"/>
      <x:c r="N46" s="34" t="str">
        <x:v>PASS at formal closeout. Resume loading and controlled provider-error behaviour are accepted from the verified WBS 6.5 provider seam and later Sprint 4 controlled AI-error integration coverage.</x:v>
      </x:c>
      <x:c r="O46" s="34" t="str">
        <x:v>S3-EV-005</x:v>
      </x:c>
      <x:c r="P46" s="34"/>
      <x:c r="Q46" s="34" t="str">
        <x:v>Manual</x:v>
      </x:c>
      <x:c r="R46" s="34" t="str">
        <x:v>Accepted from PR #59 WBS 6.5 verification and, where required, PR #78 / final WBS 7.9 successor integration evidence.</x:v>
      </x:c>
    </x:row>
    <x:row r="47">
      <x:c r="A47" s="34" t="str">
        <x:v>S3-TC-042</x:v>
      </x:c>
      <x:c r="B47" s="34" t="str">
        <x:v>6.5</x:v>
      </x:c>
      <x:c r="C47" s="34" t="str">
        <x:v>Document Interface</x:v>
      </x:c>
      <x:c r="D47" s="34" t="str">
        <x:v>FR-09</x:v>
      </x:c>
      <x:c r="E47" s="34" t="str">
        <x:v>Critical</x:v>
      </x:c>
      <x:c r="F47" s="34" t="str">
        <x:v>UI</x:v>
      </x:c>
      <x:c r="G47" s="34" t="str">
        <x:v>Cover letter requires specific job description input</x:v>
      </x:c>
      <x:c r="H47" s="34" t="str">
        <x:v>WBS 6.5 available and backend endpoints integrated.</x:v>
      </x:c>
      <x:c r="I47" s="34" t="str">
        <x:v>Open Cover Letter Builder and attempt generation without job description.</x:v>
      </x:c>
      <x:c r="J47" s="34" t="str">
        <x:v>UI requires or clearly validates job description.</x:v>
      </x:c>
      <x:c r="K47" s="34" t="str">
        <x:v>Joyee</x:v>
      </x:c>
      <x:c r="L47" s="34" t="str">
        <x:v>Pass</x:v>
      </x:c>
      <x:c r="M47" s="34"/>
      <x:c r="N47" s="34" t="str">
        <x:v>PASS at formal closeout. Cover Letter required-field behaviour, including required job information and disabled generation state, was verified in WBS 6.5.</x:v>
      </x:c>
      <x:c r="O47" s="34" t="str">
        <x:v>S3-EV-005</x:v>
      </x:c>
      <x:c r="P47" s="34"/>
      <x:c r="Q47" s="34" t="str">
        <x:v>Manual</x:v>
      </x:c>
      <x:c r="R47" s="34" t="str">
        <x:v>Accepted from PR #59 WBS 6.5 verification and, where required, PR #78 / final WBS 7.9 successor integration evidence.</x:v>
      </x:c>
    </x:row>
    <x:row r="48">
      <x:c r="A48" s="34" t="str">
        <x:v>S3-TC-043</x:v>
      </x:c>
      <x:c r="B48" s="34" t="str">
        <x:v>6.5</x:v>
      </x:c>
      <x:c r="C48" s="34" t="str">
        <x:v>Document Interface</x:v>
      </x:c>
      <x:c r="D48" s="34" t="str">
        <x:v>FR-09</x:v>
      </x:c>
      <x:c r="E48" s="34" t="str">
        <x:v>Critical</x:v>
      </x:c>
      <x:c r="F48" s="34" t="str">
        <x:v>Integration</x:v>
      </x:c>
      <x:c r="G48" s="34" t="str">
        <x:v>Cover letter builder invokes backend cover-letter endpoint</x:v>
      </x:c>
      <x:c r="H48" s="34" t="str">
        <x:v>WBS 6.5 available and backend endpoints integrated.</x:v>
      </x:c>
      <x:c r="I48" s="34" t="str">
        <x:v>Submit role/job context and generate.</x:v>
      </x:c>
      <x:c r="J48" s="34" t="str">
        <x:v>Frontend calls approved API and renders draft.</x:v>
      </x:c>
      <x:c r="K48" s="34" t="str">
        <x:v>Joyee</x:v>
      </x:c>
      <x:c r="L48" s="34" t="str">
        <x:v>Pass</x:v>
      </x:c>
      <x:c r="M48" s="34"/>
      <x:c r="N48" s="34" t="str">
        <x:v>PASS at formal closeout. Cover Letter generation from the frontend to the approved backend flow was verified during WBS 6.5 and later integrated Student workflow verification.</x:v>
      </x:c>
      <x:c r="O48" s="34" t="str">
        <x:v>S3-EV-005</x:v>
      </x:c>
      <x:c r="P48" s="34"/>
      <x:c r="Q48" s="34" t="str">
        <x:v>Manual</x:v>
      </x:c>
      <x:c r="R48" s="34" t="str">
        <x:v>Accepted from PR #59 WBS 6.5 verification and, where required, PR #78 / final WBS 7.9 successor integration evidence.</x:v>
      </x:c>
    </x:row>
    <x:row r="49">
      <x:c r="A49" s="34" t="str">
        <x:v>S3-TC-044</x:v>
      </x:c>
      <x:c r="B49" s="34" t="str">
        <x:v>6.5</x:v>
      </x:c>
      <x:c r="C49" s="34" t="str">
        <x:v>Document Interface</x:v>
      </x:c>
      <x:c r="D49" s="34" t="str">
        <x:v>FR-09,FR-16</x:v>
      </x:c>
      <x:c r="E49" s="34" t="str">
        <x:v>Critical</x:v>
      </x:c>
      <x:c r="F49" s="34" t="str">
        <x:v>UI</x:v>
      </x:c>
      <x:c r="G49" s="34" t="str">
        <x:v>Cover letter draft is editable before save/export</x:v>
      </x:c>
      <x:c r="H49" s="34" t="str">
        <x:v>WBS 6.5 available and backend endpoints integrated.</x:v>
      </x:c>
      <x:c r="I49" s="34" t="str">
        <x:v>Edit generated cover-letter content.</x:v>
      </x:c>
      <x:c r="J49" s="34" t="str">
        <x:v>Student edits generated text before save/export.</x:v>
      </x:c>
      <x:c r="K49" s="34" t="str">
        <x:v>Joyee</x:v>
      </x:c>
      <x:c r="L49" s="34" t="str">
        <x:v>Pass</x:v>
      </x:c>
      <x:c r="M49" s="34"/>
      <x:c r="N49" s="34" t="str">
        <x:v>PASS at formal closeout. Editable Cover Letter draft behaviour and document actions were verified during WBS 6.5 and later integrated workflow verification.</x:v>
      </x:c>
      <x:c r="O49" s="34" t="str">
        <x:v>S3-EV-005</x:v>
      </x:c>
      <x:c r="P49" s="34"/>
      <x:c r="Q49" s="34" t="str">
        <x:v>Manual</x:v>
      </x:c>
      <x:c r="R49" s="34" t="str">
        <x:v>Accepted from PR #59 WBS 6.5 verification and, where required, PR #78 / final WBS 7.9 successor integration evidence.</x:v>
      </x:c>
    </x:row>
    <x:row r="50">
      <x:c r="A50" s="34" t="str">
        <x:v>S3-TC-045</x:v>
      </x:c>
      <x:c r="B50" s="34" t="str">
        <x:v>6.5</x:v>
      </x:c>
      <x:c r="C50" s="34" t="str">
        <x:v>Document Interface</x:v>
      </x:c>
      <x:c r="D50" s="34" t="str">
        <x:v>FR-16,NFR-14</x:v>
      </x:c>
      <x:c r="E50" s="34" t="str">
        <x:v>High</x:v>
      </x:c>
      <x:c r="F50" s="34" t="str">
        <x:v>UI</x:v>
      </x:c>
      <x:c r="G50" s="34" t="str">
        <x:v>Resume and cover-letter pages show AI limitations/review state</x:v>
      </x:c>
      <x:c r="H50" s="34" t="str">
        <x:v>WBS 6.5 available and backend endpoints integrated.</x:v>
      </x:c>
      <x:c r="I50" s="34" t="str">
        <x:v>Inspect generated-content presentation.</x:v>
      </x:c>
      <x:c r="J50" s="34" t="str">
        <x:v>User is informed content is AI-generated/draft and requires review.</x:v>
      </x:c>
      <x:c r="K50" s="34" t="str">
        <x:v>Joyee</x:v>
      </x:c>
      <x:c r="L50" s="34" t="str">
        <x:v>Pass</x:v>
      </x:c>
      <x:c r="M50" s="34"/>
      <x:c r="N50" s="34" t="str">
        <x:v>PASS at formal closeout. Resume and Cover Letter generated-content review and limitation states were verified in WBS 6.5 and preserved in later integration.</x:v>
      </x:c>
      <x:c r="O50" s="34" t="str">
        <x:v>S3-EV-005</x:v>
      </x:c>
      <x:c r="P50" s="34"/>
      <x:c r="Q50" s="34" t="str">
        <x:v>Manual</x:v>
      </x:c>
      <x:c r="R50" s="34" t="str">
        <x:v>Accepted from PR #59 WBS 6.5 verification and, where required, PR #78 / final WBS 7.9 successor integration evidence.</x:v>
      </x:c>
    </x:row>
    <x:row r="51">
      <x:c r="A51" s="34" t="str">
        <x:v>S3-TC-046</x:v>
      </x:c>
      <x:c r="B51" s="34" t="str">
        <x:v>6.5</x:v>
      </x:c>
      <x:c r="C51" s="34" t="str">
        <x:v>Document Interface</x:v>
      </x:c>
      <x:c r="D51" s="34" t="str">
        <x:v>NFR-02</x:v>
      </x:c>
      <x:c r="E51" s="34" t="str">
        <x:v>High</x:v>
      </x:c>
      <x:c r="F51" s="34" t="str">
        <x:v>UI</x:v>
      </x:c>
      <x:c r="G51" s="34" t="str">
        <x:v>Document UI works at desktop, tablet, and mobile widths</x:v>
      </x:c>
      <x:c r="H51" s="34" t="str">
        <x:v>WBS 6.5 available and backend endpoints integrated.</x:v>
      </x:c>
      <x:c r="I51" s="34" t="str">
        <x:v>Test common responsive widths.</x:v>
      </x:c>
      <x:c r="J51" s="34" t="str">
        <x:v>Core controls and generated content remain usable.</x:v>
      </x:c>
      <x:c r="K51" s="34" t="str">
        <x:v>Joyee</x:v>
      </x:c>
      <x:c r="L51" s="34" t="str">
        <x:v>Pass</x:v>
      </x:c>
      <x:c r="M51" s="34"/>
      <x:c r="N51" s="34" t="str">
        <x:v>PASS at formal closeout. Document workflows were verified across desktop, tablet, and mobile layouts during the later integrated Student workflow verification.</x:v>
      </x:c>
      <x:c r="O51" s="34" t="str">
        <x:v>S3-EV-005</x:v>
      </x:c>
      <x:c r="P51" s="34"/>
      <x:c r="Q51" s="34" t="str">
        <x:v>Manual</x:v>
      </x:c>
      <x:c r="R51" s="34" t="str">
        <x:v>Accepted from PR #59 WBS 6.5 verification and, where required, PR #78 / final WBS 7.9 successor integration evidence.</x:v>
      </x:c>
    </x:row>
    <x:row r="52">
      <x:c r="A52" s="34" t="str">
        <x:v>S3-TC-047</x:v>
      </x:c>
      <x:c r="B52" s="34" t="str">
        <x:v>6.5</x:v>
      </x:c>
      <x:c r="C52" s="34" t="str">
        <x:v>Document Interface</x:v>
      </x:c>
      <x:c r="D52" s="34" t="str">
        <x:v>NFR-10,NFR-11</x:v>
      </x:c>
      <x:c r="E52" s="34" t="str">
        <x:v>High</x:v>
      </x:c>
      <x:c r="F52" s="34" t="str">
        <x:v>UI</x:v>
      </x:c>
      <x:c r="G52" s="34" t="str">
        <x:v>Document UI supports labels, keyboard use, and useful validation</x:v>
      </x:c>
      <x:c r="H52" s="34" t="str">
        <x:v>WBS 6.5 available and backend endpoints integrated.</x:v>
      </x:c>
      <x:c r="I52" s="34" t="str">
        <x:v>Run accessibility/browser checks in Chrome, Edge, Firefox.</x:v>
      </x:c>
      <x:c r="J52" s="34" t="str">
        <x:v>Core document flow is usable and compatible.</x:v>
      </x:c>
      <x:c r="K52" s="34" t="str">
        <x:v>Joyee</x:v>
      </x:c>
      <x:c r="L52" s="34" t="str">
        <x:v>Pass</x:v>
      </x:c>
      <x:c r="M52" s="34"/>
      <x:c r="N52" s="34" t="str">
        <x:v>PASS at formal closeout. Document form controls, HelpTip keyboard interaction, validation behaviour, and final compatibility coverage are accepted from WBS 6.5 and final Sprint 4 integration testing.</x:v>
      </x:c>
      <x:c r="O52" s="34" t="str">
        <x:v>S3-EV-005</x:v>
      </x:c>
      <x:c r="P52" s="34"/>
      <x:c r="Q52" s="34" t="str">
        <x:v>Manual</x:v>
      </x:c>
      <x:c r="R52" s="34" t="str">
        <x:v>Accepted from PR #59 WBS 6.5 verification and, where required, PR #78 / final WBS 7.9 successor integration evidence.</x:v>
      </x:c>
    </x:row>
    <x:row r="53">
      <x:c r="A53" s="34" t="str">
        <x:v>S3-TC-048</x:v>
      </x:c>
      <x:c r="B53" s="34" t="str">
        <x:v>6.6</x:v>
      </x:c>
      <x:c r="C53" s="34" t="str">
        <x:v>Interview API</x:v>
      </x:c>
      <x:c r="D53" s="34" t="str">
        <x:v>FR-10,NFR-05</x:v>
      </x:c>
      <x:c r="E53" s="34" t="str">
        <x:v>Critical</x:v>
      </x:c>
      <x:c r="F53" s="34" t="str">
        <x:v>API</x:v>
      </x:c>
      <x:c r="G53" s="34" t="str">
        <x:v>Interview question endpoint requires JWT</x:v>
      </x:c>
      <x:c r="H53" s="34" t="str">
        <x:v>WBS 6.6 merged into feature/sprint-3.</x:v>
      </x:c>
      <x:c r="I53" s="34" t="str">
        <x:v>POST questions endpoint without token.</x:v>
      </x:c>
      <x:c r="J53" s="34" t="str">
        <x:v>401 controlled error.</x:v>
      </x:c>
      <x:c r="K53" s="34" t="str">
        <x:v>Jerald</x:v>
      </x:c>
      <x:c r="L53" s="34" t="str">
        <x:v>Pass</x:v>
      </x:c>
      <x:c r="M53" s="34"/>
      <x:c r="N53" s="34" t="str">
        <x:v>Verified by WBS 6.6 automated tests.</x:v>
      </x:c>
      <x:c r="O53" s="34" t="str">
        <x:v>S3-EV-002F</x:v>
      </x:c>
      <x:c r="P53" s="34"/>
      <x:c r="Q53" s="34" t="str">
        <x:v>Automated</x:v>
      </x:c>
      <x:c r="R53" s="34" t="str">
        <x:v>Component-level result verified after merge. WBS 6.8 end-to-end integration remains blocked until WBS 6.5 and 6.7 are ready.</x:v>
      </x:c>
    </x:row>
    <x:row r="54">
      <x:c r="A54" s="34" t="str">
        <x:v>S3-TC-049</x:v>
      </x:c>
      <x:c r="B54" s="34" t="str">
        <x:v>6.6</x:v>
      </x:c>
      <x:c r="C54" s="34" t="str">
        <x:v>Interview API</x:v>
      </x:c>
      <x:c r="D54" s="34" t="str">
        <x:v>FR-10,NFR-05</x:v>
      </x:c>
      <x:c r="E54" s="34" t="str">
        <x:v>Critical</x:v>
      </x:c>
      <x:c r="F54" s="34" t="str">
        <x:v>API</x:v>
      </x:c>
      <x:c r="G54" s="34" t="str">
        <x:v>Interview feedback endpoint requires JWT</x:v>
      </x:c>
      <x:c r="H54" s="34" t="str">
        <x:v>WBS 6.6 merged into feature/sprint-3.</x:v>
      </x:c>
      <x:c r="I54" s="34" t="str">
        <x:v>POST feedback endpoint without token.</x:v>
      </x:c>
      <x:c r="J54" s="34" t="str">
        <x:v>401 controlled error.</x:v>
      </x:c>
      <x:c r="K54" s="34" t="str">
        <x:v>Jerald</x:v>
      </x:c>
      <x:c r="L54" s="34" t="str">
        <x:v>Pass</x:v>
      </x:c>
      <x:c r="M54" s="34"/>
      <x:c r="N54" s="34" t="str">
        <x:v>Verified by WBS 6.6 automated tests.</x:v>
      </x:c>
      <x:c r="O54" s="34" t="str">
        <x:v>S3-EV-002F</x:v>
      </x:c>
      <x:c r="P54" s="34"/>
      <x:c r="Q54" s="34" t="str">
        <x:v>Automated</x:v>
      </x:c>
      <x:c r="R54" s="34" t="str">
        <x:v>Component-level result verified after merge. WBS 6.8 end-to-end integration remains blocked until WBS 6.5 and 6.7 are ready.</x:v>
      </x:c>
    </x:row>
    <x:row r="55">
      <x:c r="A55" s="34" t="str">
        <x:v>S3-TC-050</x:v>
      </x:c>
      <x:c r="B55" s="34" t="str">
        <x:v>6.6</x:v>
      </x:c>
      <x:c r="C55" s="34" t="str">
        <x:v>Interview API</x:v>
      </x:c>
      <x:c r="D55" s="34" t="str">
        <x:v>FR-10,NFR-05</x:v>
      </x:c>
      <x:c r="E55" s="34" t="str">
        <x:v>Critical</x:v>
      </x:c>
      <x:c r="F55" s="34" t="str">
        <x:v>API</x:v>
      </x:c>
      <x:c r="G55" s="34" t="str">
        <x:v>Invalid JWT is rejected by both interview endpoints</x:v>
      </x:c>
      <x:c r="H55" s="34" t="str">
        <x:v>WBS 6.6 merged into feature/sprint-3.</x:v>
      </x:c>
      <x:c r="I55" s="34" t="str">
        <x:v>Use invalid bearer token.</x:v>
      </x:c>
      <x:c r="J55" s="34" t="str">
        <x:v>401 token_not_valid controlled response.</x:v>
      </x:c>
      <x:c r="K55" s="34" t="str">
        <x:v>Jerald</x:v>
      </x:c>
      <x:c r="L55" s="34" t="str">
        <x:v>Pass</x:v>
      </x:c>
      <x:c r="M55" s="34"/>
      <x:c r="N55" s="34" t="str">
        <x:v>Verified by WBS 6.6 automated tests.</x:v>
      </x:c>
      <x:c r="O55" s="34" t="str">
        <x:v>S3-EV-002F</x:v>
      </x:c>
      <x:c r="P55" s="34"/>
      <x:c r="Q55" s="34" t="str">
        <x:v>Automated</x:v>
      </x:c>
      <x:c r="R55" s="34" t="str">
        <x:v>Component-level result verified after merge. WBS 6.8 end-to-end integration remains blocked until WBS 6.5 and 6.7 are ready.</x:v>
      </x:c>
    </x:row>
    <x:row r="56">
      <x:c r="A56" s="34" t="str">
        <x:v>S3-TC-051</x:v>
      </x:c>
      <x:c r="B56" s="34" t="str">
        <x:v>6.6</x:v>
      </x:c>
      <x:c r="C56" s="34" t="str">
        <x:v>Interview API</x:v>
      </x:c>
      <x:c r="D56" s="34" t="str">
        <x:v>FR-10</x:v>
      </x:c>
      <x:c r="E56" s="34" t="str">
        <x:v>High</x:v>
      </x:c>
      <x:c r="F56" s="34" t="str">
        <x:v>Unit</x:v>
      </x:c>
      <x:c r="G56" s="34" t="str">
        <x:v>Interview question request applies default count 5</x:v>
      </x:c>
      <x:c r="H56" s="34" t="str">
        <x:v>WBS 6.6 merged into feature/sprint-3.</x:v>
      </x:c>
      <x:c r="I56" s="34" t="str">
        <x:v>Validate request without question_count.</x:v>
      </x:c>
      <x:c r="J56" s="34" t="str">
        <x:v>Validated question_count equals 5.</x:v>
      </x:c>
      <x:c r="K56" s="34" t="str">
        <x:v>Jerald</x:v>
      </x:c>
      <x:c r="L56" s="34" t="str">
        <x:v>Pass</x:v>
      </x:c>
      <x:c r="M56" s="34"/>
      <x:c r="N56" s="34" t="str">
        <x:v>Verified by WBS 6.6 automated tests.</x:v>
      </x:c>
      <x:c r="O56" s="34" t="str">
        <x:v>S3-EV-002F</x:v>
      </x:c>
      <x:c r="P56" s="34"/>
      <x:c r="Q56" s="34" t="str">
        <x:v>Automated</x:v>
      </x:c>
      <x:c r="R56" s="34" t="str">
        <x:v>Component-level result verified after merge. WBS 6.8 end-to-end integration remains blocked until WBS 6.5 and 6.7 are ready.</x:v>
      </x:c>
    </x:row>
    <x:row r="57">
      <x:c r="A57" s="34" t="str">
        <x:v>S3-TC-052</x:v>
      </x:c>
      <x:c r="B57" s="34" t="str">
        <x:v>6.6</x:v>
      </x:c>
      <x:c r="C57" s="34" t="str">
        <x:v>Interview API</x:v>
      </x:c>
      <x:c r="D57" s="34" t="str">
        <x:v>FR-10</x:v>
      </x:c>
      <x:c r="E57" s="34" t="str">
        <x:v>High</x:v>
      </x:c>
      <x:c r="F57" s="34" t="str">
        <x:v>Unit</x:v>
      </x:c>
      <x:c r="G57" s="34" t="str">
        <x:v>Interview question count enforces 1 to 10</x:v>
      </x:c>
      <x:c r="H57" s="34" t="str">
        <x:v>WBS 6.6 merged into feature/sprint-3.</x:v>
      </x:c>
      <x:c r="I57" s="34" t="str">
        <x:v>Validate 0 and 11 counts.</x:v>
      </x:c>
      <x:c r="J57" s="34" t="str">
        <x:v>Out-of-range values are rejected.</x:v>
      </x:c>
      <x:c r="K57" s="34" t="str">
        <x:v>Jerald</x:v>
      </x:c>
      <x:c r="L57" s="34" t="str">
        <x:v>Pass</x:v>
      </x:c>
      <x:c r="M57" s="34"/>
      <x:c r="N57" s="34" t="str">
        <x:v>Verified by WBS 6.6 automated tests.</x:v>
      </x:c>
      <x:c r="O57" s="34" t="str">
        <x:v>S3-EV-002F</x:v>
      </x:c>
      <x:c r="P57" s="34"/>
      <x:c r="Q57" s="34" t="str">
        <x:v>Automated</x:v>
      </x:c>
      <x:c r="R57" s="34" t="str">
        <x:v>Component-level result verified after merge. WBS 6.8 end-to-end integration remains blocked until WBS 6.5 and 6.7 are ready.</x:v>
      </x:c>
    </x:row>
    <x:row r="58">
      <x:c r="A58" s="34" t="str">
        <x:v>S3-TC-053</x:v>
      </x:c>
      <x:c r="B58" s="34" t="str">
        <x:v>6.6</x:v>
      </x:c>
      <x:c r="C58" s="34" t="str">
        <x:v>Interview API</x:v>
      </x:c>
      <x:c r="D58" s="34" t="str">
        <x:v>FR-10</x:v>
      </x:c>
      <x:c r="E58" s="34" t="str">
        <x:v>High</x:v>
      </x:c>
      <x:c r="F58" s="34" t="str">
        <x:v>Unit</x:v>
      </x:c>
      <x:c r="G58" s="34" t="str">
        <x:v>Interview question count rejects string coercion</x:v>
      </x:c>
      <x:c r="H58" s="34" t="str">
        <x:v>WBS 6.6 merged into feature/sprint-3.</x:v>
      </x:c>
      <x:c r="I58" s="34" t="str">
        <x:v>Submit question_count as string '5'.</x:v>
      </x:c>
      <x:c r="J58" s="34" t="str">
        <x:v>Request is rejected as invalid integer.</x:v>
      </x:c>
      <x:c r="K58" s="34" t="str">
        <x:v>Jerald</x:v>
      </x:c>
      <x:c r="L58" s="34" t="str">
        <x:v>Pass</x:v>
      </x:c>
      <x:c r="M58" s="34"/>
      <x:c r="N58" s="34" t="str">
        <x:v>Verified by WBS 6.6 automated tests.</x:v>
      </x:c>
      <x:c r="O58" s="34" t="str">
        <x:v>S3-EV-002F</x:v>
      </x:c>
      <x:c r="P58" s="34"/>
      <x:c r="Q58" s="34" t="str">
        <x:v>Automated</x:v>
      </x:c>
      <x:c r="R58" s="34" t="str">
        <x:v>Component-level result verified after merge. WBS 6.8 end-to-end integration remains blocked until WBS 6.5 and 6.7 are ready.</x:v>
      </x:c>
    </x:row>
    <x:row r="59">
      <x:c r="A59" s="34" t="str">
        <x:v>S3-TC-054</x:v>
      </x:c>
      <x:c r="B59" s="34" t="str">
        <x:v>6.6</x:v>
      </x:c>
      <x:c r="C59" s="34" t="str">
        <x:v>Interview API</x:v>
      </x:c>
      <x:c r="D59" s="34" t="str">
        <x:v>FR-10,NFR-06,NFR-14</x:v>
      </x:c>
      <x:c r="E59" s="34" t="str">
        <x:v>Critical</x:v>
      </x:c>
      <x:c r="F59" s="34" t="str">
        <x:v>Security</x:v>
      </x:c>
      <x:c r="G59" s="34" t="str">
        <x:v>Interview endpoints reject unexpected ownership/prompt fields</x:v>
      </x:c>
      <x:c r="H59" s="34" t="str">
        <x:v>WBS 6.6 merged into feature/sprint-3.</x:v>
      </x:c>
      <x:c r="I59" s="34" t="str">
        <x:v>Submit user_id, student_profile_id, or prompt fields.</x:v>
      </x:c>
      <x:c r="J59" s="34" t="str">
        <x:v>400 validation error.</x:v>
      </x:c>
      <x:c r="K59" s="34" t="str">
        <x:v>Jerald</x:v>
      </x:c>
      <x:c r="L59" s="34" t="str">
        <x:v>Pass</x:v>
      </x:c>
      <x:c r="M59" s="34"/>
      <x:c r="N59" s="34" t="str">
        <x:v>Verified by WBS 6.6 automated tests.</x:v>
      </x:c>
      <x:c r="O59" s="34" t="str">
        <x:v>S3-EV-002F</x:v>
      </x:c>
      <x:c r="P59" s="34"/>
      <x:c r="Q59" s="34" t="str">
        <x:v>Hybrid</x:v>
      </x:c>
      <x:c r="R59" s="34" t="str">
        <x:v>Component-level result verified after merge. WBS 6.8 end-to-end integration remains blocked until WBS 6.5 and 6.7 are ready.</x:v>
      </x:c>
    </x:row>
    <x:row r="60">
      <x:c r="A60" s="34" t="str">
        <x:v>S3-TC-055</x:v>
      </x:c>
      <x:c r="B60" s="34" t="str">
        <x:v>6.6</x:v>
      </x:c>
      <x:c r="C60" s="34" t="str">
        <x:v>Interview API</x:v>
      </x:c>
      <x:c r="D60" s="34" t="str">
        <x:v>FR-10,NFR-14</x:v>
      </x:c>
      <x:c r="E60" s="34" t="str">
        <x:v>Critical</x:v>
      </x:c>
      <x:c r="F60" s="34" t="str">
        <x:v>Security</x:v>
      </x:c>
      <x:c r="G60" s="34" t="str">
        <x:v>Target role and job description remain untrusted</x:v>
      </x:c>
      <x:c r="H60" s="34" t="str">
        <x:v>WBS 6.6 merged into feature/sprint-3.</x:v>
      </x:c>
      <x:c r="I60" s="34" t="str">
        <x:v>Generate questions with role/job text.</x:v>
      </x:c>
      <x:c r="J60" s="34" t="str">
        <x:v>User text appears only in untrusted content.</x:v>
      </x:c>
      <x:c r="K60" s="34" t="str">
        <x:v>Jerald</x:v>
      </x:c>
      <x:c r="L60" s="34" t="str">
        <x:v>Pass</x:v>
      </x:c>
      <x:c r="M60" s="34"/>
      <x:c r="N60" s="34" t="str">
        <x:v>Verified by WBS 6.6 automated tests.</x:v>
      </x:c>
      <x:c r="O60" s="34" t="str">
        <x:v>S3-EV-002F</x:v>
      </x:c>
      <x:c r="P60" s="34"/>
      <x:c r="Q60" s="34" t="str">
        <x:v>Hybrid</x:v>
      </x:c>
      <x:c r="R60" s="34" t="str">
        <x:v>Component-level result verified after merge. WBS 6.8 end-to-end integration remains blocked until WBS 6.5 and 6.7 are ready.</x:v>
      </x:c>
    </x:row>
    <x:row r="61">
      <x:c r="A61" s="34" t="str">
        <x:v>S3-TC-056</x:v>
      </x:c>
      <x:c r="B61" s="34" t="str">
        <x:v>6.6</x:v>
      </x:c>
      <x:c r="C61" s="34" t="str">
        <x:v>Interview API</x:v>
      </x:c>
      <x:c r="D61" s="34" t="str">
        <x:v>FR-10,NFR-13</x:v>
      </x:c>
      <x:c r="E61" s="34" t="str">
        <x:v>High</x:v>
      </x:c>
      <x:c r="F61" s="34" t="str">
        <x:v>Integration</x:v>
      </x:c>
      <x:c r="G61" s="34" t="str">
        <x:v>Question generation uses approved WBS 6.2 operation/output contract</x:v>
      </x:c>
      <x:c r="H61" s="34" t="str">
        <x:v>WBS 6.6 merged into feature/sprint-3.</x:v>
      </x:c>
      <x:c r="I61" s="34" t="str">
        <x:v>Invoke service with fake provider.</x:v>
      </x:c>
      <x:c r="J61" s="34" t="str">
        <x:v>Provider receives INTERVIEW_QUESTION_GENERATION and InterviewQuestionSet.</x:v>
      </x:c>
      <x:c r="K61" s="34" t="str">
        <x:v>Jerald</x:v>
      </x:c>
      <x:c r="L61" s="34" t="str">
        <x:v>Pass</x:v>
      </x:c>
      <x:c r="M61" s="34"/>
      <x:c r="N61" s="34" t="str">
        <x:v>Verified by WBS 6.6 automated tests.</x:v>
      </x:c>
      <x:c r="O61" s="34" t="str">
        <x:v>S3-EV-002F</x:v>
      </x:c>
      <x:c r="P61" s="34"/>
      <x:c r="Q61" s="34" t="str">
        <x:v>Automated</x:v>
      </x:c>
      <x:c r="R61" s="34" t="str">
        <x:v>Component-level result verified after merge. WBS 6.8 end-to-end integration remains blocked until WBS 6.5 and 6.7 are ready.</x:v>
      </x:c>
    </x:row>
    <x:row r="62">
      <x:c r="A62" s="34" t="str">
        <x:v>S3-TC-057</x:v>
      </x:c>
      <x:c r="B62" s="34" t="str">
        <x:v>6.6</x:v>
      </x:c>
      <x:c r="C62" s="34" t="str">
        <x:v>Interview API</x:v>
      </x:c>
      <x:c r="D62" s="34" t="str">
        <x:v>FR-10,NFR-14</x:v>
      </x:c>
      <x:c r="E62" s="34" t="str">
        <x:v>Critical</x:v>
      </x:c>
      <x:c r="F62" s="34" t="str">
        <x:v>Security</x:v>
      </x:c>
      <x:c r="G62" s="34" t="str">
        <x:v>Interview feedback text remains untrusted</x:v>
      </x:c>
      <x:c r="H62" s="34" t="str">
        <x:v>WBS 6.6 merged into feature/sprint-3.</x:v>
      </x:c>
      <x:c r="I62" s="34" t="str">
        <x:v>Generate feedback with role/question/answer.</x:v>
      </x:c>
      <x:c r="J62" s="34" t="str">
        <x:v>All supplied text stays in untrusted content.</x:v>
      </x:c>
      <x:c r="K62" s="34" t="str">
        <x:v>Jerald</x:v>
      </x:c>
      <x:c r="L62" s="34" t="str">
        <x:v>Pass</x:v>
      </x:c>
      <x:c r="M62" s="34"/>
      <x:c r="N62" s="34" t="str">
        <x:v>Verified by WBS 6.6 automated tests.</x:v>
      </x:c>
      <x:c r="O62" s="34" t="str">
        <x:v>S3-EV-002F</x:v>
      </x:c>
      <x:c r="P62" s="34"/>
      <x:c r="Q62" s="34" t="str">
        <x:v>Hybrid</x:v>
      </x:c>
      <x:c r="R62" s="34" t="str">
        <x:v>Component-level result verified after merge. WBS 6.8 end-to-end integration remains blocked until WBS 6.5 and 6.7 are ready.</x:v>
      </x:c>
    </x:row>
    <x:row r="63">
      <x:c r="A63" s="34" t="str">
        <x:v>S3-TC-058</x:v>
      </x:c>
      <x:c r="B63" s="34" t="str">
        <x:v>6.6</x:v>
      </x:c>
      <x:c r="C63" s="34" t="str">
        <x:v>Interview API</x:v>
      </x:c>
      <x:c r="D63" s="34" t="str">
        <x:v>FR-10,NFR-13</x:v>
      </x:c>
      <x:c r="E63" s="34" t="str">
        <x:v>High</x:v>
      </x:c>
      <x:c r="F63" s="34" t="str">
        <x:v>Integration</x:v>
      </x:c>
      <x:c r="G63" s="34" t="str">
        <x:v>Feedback generation uses approved operation/output contract</x:v>
      </x:c>
      <x:c r="H63" s="34" t="str">
        <x:v>WBS 6.6 merged into feature/sprint-3.</x:v>
      </x:c>
      <x:c r="I63" s="34" t="str">
        <x:v>Invoke service with fake provider.</x:v>
      </x:c>
      <x:c r="J63" s="34" t="str">
        <x:v>Provider receives INTERVIEW_FEEDBACK and InterviewFeedback.</x:v>
      </x:c>
      <x:c r="K63" s="34" t="str">
        <x:v>Jerald</x:v>
      </x:c>
      <x:c r="L63" s="34" t="str">
        <x:v>Pass</x:v>
      </x:c>
      <x:c r="M63" s="34"/>
      <x:c r="N63" s="34" t="str">
        <x:v>Verified by WBS 6.6 automated tests.</x:v>
      </x:c>
      <x:c r="O63" s="34" t="str">
        <x:v>S3-EV-002F</x:v>
      </x:c>
      <x:c r="P63" s="34"/>
      <x:c r="Q63" s="34" t="str">
        <x:v>Automated</x:v>
      </x:c>
      <x:c r="R63" s="34" t="str">
        <x:v>Component-level result verified after merge. WBS 6.8 end-to-end integration remains blocked until WBS 6.5 and 6.7 are ready.</x:v>
      </x:c>
    </x:row>
    <x:row r="64">
      <x:c r="A64" s="34" t="str">
        <x:v>S3-TC-059</x:v>
      </x:c>
      <x:c r="B64" s="34" t="str">
        <x:v>6.6</x:v>
      </x:c>
      <x:c r="C64" s="34" t="str">
        <x:v>Interview API</x:v>
      </x:c>
      <x:c r="D64" s="34" t="str">
        <x:v>FR-10,NFR-14</x:v>
      </x:c>
      <x:c r="E64" s="34" t="str">
        <x:v>Critical</x:v>
      </x:c>
      <x:c r="F64" s="34" t="str">
        <x:v>Security</x:v>
      </x:c>
      <x:c r="G64" s="34" t="str">
        <x:v>Interview responses exclude hiring probability and pass/fail</x:v>
      </x:c>
      <x:c r="H64" s="34" t="str">
        <x:v>WBS 6.6 merged into feature/sprint-3.</x:v>
      </x:c>
      <x:c r="I64" s="34" t="str">
        <x:v>Inspect structured API responses.</x:v>
      </x:c>
      <x:c r="J64" s="34" t="str">
        <x:v>No hiring_probability or pass_fail fields.</x:v>
      </x:c>
      <x:c r="K64" s="34" t="str">
        <x:v>Jerald</x:v>
      </x:c>
      <x:c r="L64" s="34" t="str">
        <x:v>Pass</x:v>
      </x:c>
      <x:c r="M64" s="34"/>
      <x:c r="N64" s="34" t="str">
        <x:v>Verified by WBS 6.6 automated tests.</x:v>
      </x:c>
      <x:c r="O64" s="34" t="str">
        <x:v>S3-EV-002F</x:v>
      </x:c>
      <x:c r="P64" s="34"/>
      <x:c r="Q64" s="34" t="str">
        <x:v>Hybrid</x:v>
      </x:c>
      <x:c r="R64" s="34" t="str">
        <x:v>Component-level result verified after merge. WBS 6.8 end-to-end integration remains blocked until WBS 6.5 and 6.7 are ready.</x:v>
      </x:c>
    </x:row>
    <x:row r="65">
      <x:c r="A65" s="34" t="str">
        <x:v>S3-TC-060</x:v>
      </x:c>
      <x:c r="B65" s="34" t="str">
        <x:v>6.6</x:v>
      </x:c>
      <x:c r="C65" s="34" t="str">
        <x:v>Interview API</x:v>
      </x:c>
      <x:c r="D65" s="34" t="str">
        <x:v>FR-18</x:v>
      </x:c>
      <x:c r="E65" s="34" t="str">
        <x:v>High</x:v>
      </x:c>
      <x:c r="F65" s="34" t="str">
        <x:v>API</x:v>
      </x:c>
      <x:c r="G65" s="34" t="str">
        <x:v>Provider unavailable or timeout returns controlled 503</x:v>
      </x:c>
      <x:c r="H65" s="34" t="str">
        <x:v>WBS 6.6 merged into feature/sprint-3.</x:v>
      </x:c>
      <x:c r="I65" s="34" t="str">
        <x:v>Exercise default seam and timeout provider.</x:v>
      </x:c>
      <x:c r="J65" s="34" t="str">
        <x:v>503 external_service_unavailable.</x:v>
      </x:c>
      <x:c r="K65" s="34" t="str">
        <x:v>Jerald</x:v>
      </x:c>
      <x:c r="L65" s="34" t="str">
        <x:v>Pass</x:v>
      </x:c>
      <x:c r="M65" s="34"/>
      <x:c r="N65" s="34" t="str">
        <x:v>Verified by WBS 6.6 automated tests.</x:v>
      </x:c>
      <x:c r="O65" s="34" t="str">
        <x:v>S3-EV-002F</x:v>
      </x:c>
      <x:c r="P65" s="34"/>
      <x:c r="Q65" s="34" t="str">
        <x:v>Automated</x:v>
      </x:c>
      <x:c r="R65" s="34" t="str">
        <x:v>Component-level result verified after merge. WBS 6.8 end-to-end integration remains blocked until WBS 6.5 and 6.7 are ready.</x:v>
      </x:c>
    </x:row>
    <x:row r="66">
      <x:c r="A66" s="34" t="str">
        <x:v>S3-TC-061</x:v>
      </x:c>
      <x:c r="B66" s="34" t="str">
        <x:v>6.6</x:v>
      </x:c>
      <x:c r="C66" s="34" t="str">
        <x:v>Interview API</x:v>
      </x:c>
      <x:c r="D66" s="34" t="str">
        <x:v>NFR-12</x:v>
      </x:c>
      <x:c r="E66" s="34" t="str">
        <x:v>Critical</x:v>
      </x:c>
      <x:c r="F66" s="34" t="str">
        <x:v>Regression</x:v>
      </x:c>
      <x:c r="G66" s="34" t="str">
        <x:v>Focused WBS 6.6 tests and full backend regression pass</x:v>
      </x:c>
      <x:c r="H66" s="34" t="str">
        <x:v>WBS 6.6 merged into feature/sprint-3.</x:v>
      </x:c>
      <x:c r="I66" s="34" t="str">
        <x:v>Run interviews suite, then full backend suite.</x:v>
      </x:c>
      <x:c r="J66" s="34" t="str">
        <x:v>38/38 focused interview tests pass and the current full backend regression remains green.</x:v>
      </x:c>
      <x:c r="K66" s="34" t="str">
        <x:v>Jerald</x:v>
      </x:c>
      <x:c r="L66" s="34" t="str">
        <x:v>Pass</x:v>
      </x:c>
      <x:c r="M66" s="34"/>
      <x:c r="N66" s="34" t="str">
        <x:v>38/38 interview tests passed post-merge; current shared feature/sprint-3 full backend regression passed 410/410.</x:v>
      </x:c>
      <x:c r="O66" s="34" t="str">
        <x:v>S3-EV-002F; S3-EV-009A; S3-EV-009B</x:v>
      </x:c>
      <x:c r="P66" s="34"/>
      <x:c r="Q66" s="34" t="str">
        <x:v>Automated</x:v>
      </x:c>
      <x:c r="R66" s="34" t="str">
        <x:v>Component-level result verified after merge. WBS 6.8 end-to-end integration remains blocked until WBS 6.5 and 6.7 are ready.</x:v>
      </x:c>
    </x:row>
    <x:row r="67">
      <x:c r="A67" s="34" t="str">
        <x:v>S3-TC-062</x:v>
      </x:c>
      <x:c r="B67" s="34" t="str">
        <x:v>6.7</x:v>
      </x:c>
      <x:c r="C67" s="34" t="str">
        <x:v>Interview Interface</x:v>
      </x:c>
      <x:c r="D67" s="34" t="str">
        <x:v>FR-10,NFR-05</x:v>
      </x:c>
      <x:c r="E67" s="34" t="str">
        <x:v>Critical</x:v>
      </x:c>
      <x:c r="F67" s="34" t="str">
        <x:v>UI</x:v>
      </x:c>
      <x:c r="G67" s="34" t="str">
        <x:v>Interview preparation page loads for authenticated Student</x:v>
      </x:c>
      <x:c r="H67" s="34" t="str">
        <x:v>WBS 6.7 available; WBS 6.5 predecessor complete; WBS 6.6 API merged.</x:v>
      </x:c>
      <x:c r="I67" s="34" t="str">
        <x:v>Open interview preparation after login.</x:v>
      </x:c>
      <x:c r="J67" s="34" t="str">
        <x:v>Protected page loads.</x:v>
      </x:c>
      <x:c r="K67" s="34" t="str">
        <x:v>Joyee</x:v>
      </x:c>
      <x:c r="L67" s="34" t="str">
        <x:v>Pass</x:v>
      </x:c>
      <x:c r="M67" s="34"/>
      <x:c r="N67" s="34" t="str">
        <x:v>PASS at formal closeout. The protected Interview Preparation page was verified in the final integrated Student workflow.</x:v>
      </x:c>
      <x:c r="O67" s="34" t="str">
        <x:v>S3-EV-006</x:v>
      </x:c>
      <x:c r="P67" s="34"/>
      <x:c r="Q67" s="34" t="str">
        <x:v>Manual</x:v>
      </x:c>
      <x:c r="R67" s="34" t="str">
        <x:v>PR #63 is retained as the original WBS 6.7 contribution record. Its final implementation was superseded and integrated through PR #78, with Interview AI verification also recorded in PR #74.</x:v>
      </x:c>
    </x:row>
    <x:row r="68">
      <x:c r="A68" s="34" t="str">
        <x:v>S3-TC-063</x:v>
      </x:c>
      <x:c r="B68" s="34" t="str">
        <x:v>6.7</x:v>
      </x:c>
      <x:c r="C68" s="34" t="str">
        <x:v>Interview Interface</x:v>
      </x:c>
      <x:c r="D68" s="34" t="str">
        <x:v>FR-10</x:v>
      </x:c>
      <x:c r="E68" s="34" t="str">
        <x:v>Critical</x:v>
      </x:c>
      <x:c r="F68" s="34" t="str">
        <x:v>Integration</x:v>
      </x:c>
      <x:c r="G68" s="34" t="str">
        <x:v>Question generation UI sends target role and optional job description</x:v>
      </x:c>
      <x:c r="H68" s="34" t="str">
        <x:v>WBS 6.7 available; WBS 6.5 predecessor complete; WBS 6.6 API merged.</x:v>
      </x:c>
      <x:c r="I68" s="34" t="str">
        <x:v>Generate interview questions from UI.</x:v>
      </x:c>
      <x:c r="J68" s="34" t="str">
        <x:v>Request matches API contract.</x:v>
      </x:c>
      <x:c r="K68" s="34" t="str">
        <x:v>Joyee</x:v>
      </x:c>
      <x:c r="L68" s="34" t="str">
        <x:v>Pass</x:v>
      </x:c>
      <x:c r="M68" s="34"/>
      <x:c r="N68" s="34" t="str">
        <x:v>PASS at formal closeout. Interview question generation from the UI with target career context was verified in the final integrated workflow.</x:v>
      </x:c>
      <x:c r="O68" s="34" t="str">
        <x:v>S3-EV-006</x:v>
      </x:c>
      <x:c r="P68" s="34"/>
      <x:c r="Q68" s="34" t="str">
        <x:v>Manual</x:v>
      </x:c>
      <x:c r="R68" s="34" t="str">
        <x:v>PR #63 is retained as the original WBS 6.7 contribution record. Its final implementation was superseded and integrated through PR #78, with Interview AI verification also recorded in PR #74.</x:v>
      </x:c>
    </x:row>
    <x:row r="69">
      <x:c r="A69" s="34" t="str">
        <x:v>S3-TC-064</x:v>
      </x:c>
      <x:c r="B69" s="34" t="str">
        <x:v>6.7</x:v>
      </x:c>
      <x:c r="C69" s="34" t="str">
        <x:v>Interview Interface</x:v>
      </x:c>
      <x:c r="D69" s="34" t="str">
        <x:v>FR-10</x:v>
      </x:c>
      <x:c r="E69" s="34" t="str">
        <x:v>High</x:v>
      </x:c>
      <x:c r="F69" s="34" t="str">
        <x:v>UI</x:v>
      </x:c>
      <x:c r="G69" s="34" t="str">
        <x:v>Generated questions render in backend order</x:v>
      </x:c>
      <x:c r="H69" s="34" t="str">
        <x:v>WBS 6.7 available; WBS 6.5 predecessor complete; WBS 6.6 API merged.</x:v>
      </x:c>
      <x:c r="I69" s="34" t="str">
        <x:v>Generate multiple questions.</x:v>
      </x:c>
      <x:c r="J69" s="34" t="str">
        <x:v>Questions and focus areas render correctly.</x:v>
      </x:c>
      <x:c r="K69" s="34" t="str">
        <x:v>Joyee</x:v>
      </x:c>
      <x:c r="L69" s="34" t="str">
        <x:v>Pass</x:v>
      </x:c>
      <x:c r="M69" s="34"/>
      <x:c r="N69" s="34" t="str">
        <x:v>PASS at formal closeout. Generated interview questions and focus areas rendered through the integrated Interview Preparation flow.</x:v>
      </x:c>
      <x:c r="O69" s="34" t="str">
        <x:v>S3-EV-006</x:v>
      </x:c>
      <x:c r="P69" s="34"/>
      <x:c r="Q69" s="34" t="str">
        <x:v>Manual</x:v>
      </x:c>
      <x:c r="R69" s="34" t="str">
        <x:v>PR #63 is retained as the original WBS 6.7 contribution record. Its final implementation was superseded and integrated through PR #78, with Interview AI verification also recorded in PR #74.</x:v>
      </x:c>
    </x:row>
    <x:row r="70">
      <x:c r="A70" s="34" t="str">
        <x:v>S3-TC-065</x:v>
      </x:c>
      <x:c r="B70" s="34" t="str">
        <x:v>6.7</x:v>
      </x:c>
      <x:c r="C70" s="34" t="str">
        <x:v>Interview Interface</x:v>
      </x:c>
      <x:c r="D70" s="34" t="str">
        <x:v>FR-10</x:v>
      </x:c>
      <x:c r="E70" s="34" t="str">
        <x:v>Critical</x:v>
      </x:c>
      <x:c r="F70" s="34" t="str">
        <x:v>UI</x:v>
      </x:c>
      <x:c r="G70" s="34" t="str">
        <x:v>Student can type an answer for a selected question</x:v>
      </x:c>
      <x:c r="H70" s="34" t="str">
        <x:v>WBS 6.7 available; WBS 6.5 predecessor complete; WBS 6.6 API merged.</x:v>
      </x:c>
      <x:c r="I70" s="34" t="str">
        <x:v>Select question and type answer.</x:v>
      </x:c>
      <x:c r="J70" s="34" t="str">
        <x:v>Answer input is available and retains typed text during flow.</x:v>
      </x:c>
      <x:c r="K70" s="34" t="str">
        <x:v>Joyee</x:v>
      </x:c>
      <x:c r="L70" s="34" t="str">
        <x:v>Pass</x:v>
      </x:c>
      <x:c r="M70" s="34"/>
      <x:c r="N70" s="34" t="str">
        <x:v>PASS at formal closeout. The Student answer input retained typed answer content during the interview practice flow.</x:v>
      </x:c>
      <x:c r="O70" s="34" t="str">
        <x:v>S3-EV-006</x:v>
      </x:c>
      <x:c r="P70" s="34"/>
      <x:c r="Q70" s="34" t="str">
        <x:v>Manual</x:v>
      </x:c>
      <x:c r="R70" s="34" t="str">
        <x:v>PR #63 is retained as the original WBS 6.7 contribution record. Its final implementation was superseded and integrated through PR #78, with Interview AI verification also recorded in PR #74.</x:v>
      </x:c>
    </x:row>
    <x:row r="71">
      <x:c r="A71" s="34" t="str">
        <x:v>S3-TC-066</x:v>
      </x:c>
      <x:c r="B71" s="34" t="str">
        <x:v>6.7</x:v>
      </x:c>
      <x:c r="C71" s="34" t="str">
        <x:v>Interview Interface</x:v>
      </x:c>
      <x:c r="D71" s="34" t="str">
        <x:v>FR-10</x:v>
      </x:c>
      <x:c r="E71" s="34" t="str">
        <x:v>Critical</x:v>
      </x:c>
      <x:c r="F71" s="34" t="str">
        <x:v>Integration</x:v>
      </x:c>
      <x:c r="G71" s="34" t="str">
        <x:v>Feedback UI calls feedback endpoint with selected question and answer</x:v>
      </x:c>
      <x:c r="H71" s="34" t="str">
        <x:v>WBS 6.7 available; WBS 6.5 predecessor complete; WBS 6.6 API merged.</x:v>
      </x:c>
      <x:c r="I71" s="34" t="str">
        <x:v>Submit typed answer.</x:v>
      </x:c>
      <x:c r="J71" s="34" t="str">
        <x:v>Approved feedback API is called.</x:v>
      </x:c>
      <x:c r="K71" s="34" t="str">
        <x:v>Joyee</x:v>
      </x:c>
      <x:c r="L71" s="34" t="str">
        <x:v>Pass</x:v>
      </x:c>
      <x:c r="M71" s="34"/>
      <x:c r="N71" s="34" t="str">
        <x:v>PASS at formal closeout. The integrated Interview Preparation flow submitted the selected question and typed answer for feedback.</x:v>
      </x:c>
      <x:c r="O71" s="34" t="str">
        <x:v>S3-EV-006</x:v>
      </x:c>
      <x:c r="P71" s="34"/>
      <x:c r="Q71" s="34" t="str">
        <x:v>Manual</x:v>
      </x:c>
      <x:c r="R71" s="34" t="str">
        <x:v>PR #63 is retained as the original WBS 6.7 contribution record. Its final implementation was superseded and integrated through PR #78, with Interview AI verification also recorded in PR #74.</x:v>
      </x:c>
    </x:row>
    <x:row r="72">
      <x:c r="A72" s="34" t="str">
        <x:v>S3-TC-067</x:v>
      </x:c>
      <x:c r="B72" s="34" t="str">
        <x:v>6.7</x:v>
      </x:c>
      <x:c r="C72" s="34" t="str">
        <x:v>Interview Interface</x:v>
      </x:c>
      <x:c r="D72" s="34" t="str">
        <x:v>FR-10,NFR-01</x:v>
      </x:c>
      <x:c r="E72" s="34" t="str">
        <x:v>High</x:v>
      </x:c>
      <x:c r="F72" s="34" t="str">
        <x:v>UI</x:v>
      </x:c>
      <x:c r="G72" s="34" t="str">
        <x:v>Feedback strengths and improvements render clearly</x:v>
      </x:c>
      <x:c r="H72" s="34" t="str">
        <x:v>WBS 6.7 available; WBS 6.5 predecessor complete; WBS 6.6 API merged.</x:v>
      </x:c>
      <x:c r="I72" s="34" t="str">
        <x:v>Receive structured feedback.</x:v>
      </x:c>
      <x:c r="J72" s="34" t="str">
        <x:v>Strengths, improvements, summary, and suggested response display.</x:v>
      </x:c>
      <x:c r="K72" s="34" t="str">
        <x:v>Joyee</x:v>
      </x:c>
      <x:c r="L72" s="34" t="str">
        <x:v>Pass</x:v>
      </x:c>
      <x:c r="M72" s="34"/>
      <x:c r="N72" s="34" t="str">
        <x:v>PASS at formal closeout. Structured interview feedback rendered successfully in the final integrated flow.</x:v>
      </x:c>
      <x:c r="O72" s="34" t="str">
        <x:v>S3-EV-006</x:v>
      </x:c>
      <x:c r="P72" s="34"/>
      <x:c r="Q72" s="34" t="str">
        <x:v>Manual</x:v>
      </x:c>
      <x:c r="R72" s="34" t="str">
        <x:v>PR #63 is retained as the original WBS 6.7 contribution record. Its final implementation was superseded and integrated through PR #78, with Interview AI verification also recorded in PR #74.</x:v>
      </x:c>
    </x:row>
    <x:row r="73">
      <x:c r="A73" s="34" t="str">
        <x:v>S3-TC-068</x:v>
      </x:c>
      <x:c r="B73" s="34" t="str">
        <x:v>6.7</x:v>
      </x:c>
      <x:c r="C73" s="34" t="str">
        <x:v>Interview Interface</x:v>
      </x:c>
      <x:c r="D73" s="34" t="str">
        <x:v>FR-16,NFR-14</x:v>
      </x:c>
      <x:c r="E73" s="34" t="str">
        <x:v>High</x:v>
      </x:c>
      <x:c r="F73" s="34" t="str">
        <x:v>UI</x:v>
      </x:c>
      <x:c r="G73" s="34" t="str">
        <x:v>Interview UI shows AI limitation/review state</x:v>
      </x:c>
      <x:c r="H73" s="34" t="str">
        <x:v>WBS 6.7 available; WBS 6.5 predecessor complete; WBS 6.6 API merged.</x:v>
      </x:c>
      <x:c r="I73" s="34" t="str">
        <x:v>Inspect generated questions and feedback.</x:v>
      </x:c>
      <x:c r="J73" s="34" t="str">
        <x:v>AI-generated/review-required state is visible.</x:v>
      </x:c>
      <x:c r="K73" s="34" t="str">
        <x:v>Joyee</x:v>
      </x:c>
      <x:c r="L73" s="34" t="str">
        <x:v>Pass</x:v>
      </x:c>
      <x:c r="M73" s="34"/>
      <x:c r="N73" s="34" t="str">
        <x:v>PASS at formal closeout. Interview AI review and limitation messaging was preserved in the integrated flow.</x:v>
      </x:c>
      <x:c r="O73" s="34" t="str">
        <x:v>S3-EV-006</x:v>
      </x:c>
      <x:c r="P73" s="34"/>
      <x:c r="Q73" s="34" t="str">
        <x:v>Manual</x:v>
      </x:c>
      <x:c r="R73" s="34" t="str">
        <x:v>PR #63 is retained as the original WBS 6.7 contribution record. Its final implementation was superseded and integrated through PR #78, with Interview AI verification also recorded in PR #74.</x:v>
      </x:c>
    </x:row>
    <x:row r="74">
      <x:c r="A74" s="34" t="str">
        <x:v>S3-TC-069</x:v>
      </x:c>
      <x:c r="B74" s="34" t="str">
        <x:v>6.7</x:v>
      </x:c>
      <x:c r="C74" s="34" t="str">
        <x:v>Interview Interface</x:v>
      </x:c>
      <x:c r="D74" s="34" t="str">
        <x:v>FR-18,NFR-01</x:v>
      </x:c>
      <x:c r="E74" s="34" t="str">
        <x:v>High</x:v>
      </x:c>
      <x:c r="F74" s="34" t="str">
        <x:v>UI</x:v>
      </x:c>
      <x:c r="G74" s="34" t="str">
        <x:v>Interview UI handles loading, validation, and provider errors</x:v>
      </x:c>
      <x:c r="H74" s="34" t="str">
        <x:v>WBS 6.7 available; WBS 6.5 predecessor complete; WBS 6.6 API merged.</x:v>
      </x:c>
      <x:c r="I74" s="34" t="str">
        <x:v>Trigger blank answer, loading, and 503.</x:v>
      </x:c>
      <x:c r="J74" s="34" t="str">
        <x:v>Controlled useful UI states appear.</x:v>
      </x:c>
      <x:c r="K74" s="34" t="str">
        <x:v>Joyee</x:v>
      </x:c>
      <x:c r="L74" s="34" t="str">
        <x:v>Pass</x:v>
      </x:c>
      <x:c r="M74" s="34"/>
      <x:c r="N74" s="34" t="str">
        <x:v>PASS at formal closeout. Interview loading, validation, controlled provider-error, retry, and feedback states were verified across the later integrated implementation and Interview AI remediation.</x:v>
      </x:c>
      <x:c r="O74" s="34" t="str">
        <x:v>S3-EV-006</x:v>
      </x:c>
      <x:c r="P74" s="34"/>
      <x:c r="Q74" s="34" t="str">
        <x:v>Manual</x:v>
      </x:c>
      <x:c r="R74" s="34" t="str">
        <x:v>PR #63 is retained as the original WBS 6.7 contribution record. Its final implementation was superseded and integrated through PR #78, with Interview AI verification also recorded in PR #74.</x:v>
      </x:c>
    </x:row>
    <x:row r="75">
      <x:c r="A75" s="34" t="str">
        <x:v>S3-TC-070</x:v>
      </x:c>
      <x:c r="B75" s="34" t="str">
        <x:v>6.7</x:v>
      </x:c>
      <x:c r="C75" s="34" t="str">
        <x:v>Interview Interface</x:v>
      </x:c>
      <x:c r="D75" s="34" t="str">
        <x:v>NFR-02</x:v>
      </x:c>
      <x:c r="E75" s="34" t="str">
        <x:v>High</x:v>
      </x:c>
      <x:c r="F75" s="34" t="str">
        <x:v>UI</x:v>
      </x:c>
      <x:c r="G75" s="34" t="str">
        <x:v>Interview UI works responsively</x:v>
      </x:c>
      <x:c r="H75" s="34" t="str">
        <x:v>WBS 6.7 available; WBS 6.5 predecessor complete; WBS 6.6 API merged.</x:v>
      </x:c>
      <x:c r="I75" s="34" t="str">
        <x:v>Test desktop/tablet/mobile widths.</x:v>
      </x:c>
      <x:c r="J75" s="34" t="str">
        <x:v>Core controls remain usable.</x:v>
      </x:c>
      <x:c r="K75" s="34" t="str">
        <x:v>Joyee</x:v>
      </x:c>
      <x:c r="L75" s="34" t="str">
        <x:v>Pass</x:v>
      </x:c>
      <x:c r="M75" s="34"/>
      <x:c r="N75" s="34" t="str">
        <x:v>PASS at formal closeout. Interview Preparation was verified across desktop, tablet, and mobile layouts in the later integrated workflow.</x:v>
      </x:c>
      <x:c r="O75" s="34" t="str">
        <x:v>S3-EV-006</x:v>
      </x:c>
      <x:c r="P75" s="34"/>
      <x:c r="Q75" s="34" t="str">
        <x:v>Manual</x:v>
      </x:c>
      <x:c r="R75" s="34" t="str">
        <x:v>PR #63 is retained as the original WBS 6.7 contribution record. Its final implementation was superseded and integrated through PR #78, with Interview AI verification also recorded in PR #74.</x:v>
      </x:c>
    </x:row>
    <x:row r="76">
      <x:c r="A76" s="34" t="str">
        <x:v>S3-TC-071</x:v>
      </x:c>
      <x:c r="B76" s="34" t="str">
        <x:v>6.7</x:v>
      </x:c>
      <x:c r="C76" s="34" t="str">
        <x:v>Interview Interface</x:v>
      </x:c>
      <x:c r="D76" s="34" t="str">
        <x:v>NFR-10,NFR-11</x:v>
      </x:c>
      <x:c r="E76" s="34" t="str">
        <x:v>High</x:v>
      </x:c>
      <x:c r="F76" s="34" t="str">
        <x:v>UI</x:v>
      </x:c>
      <x:c r="G76" s="34" t="str">
        <x:v>Interview UI supports keyboard and current browsers</x:v>
      </x:c>
      <x:c r="H76" s="34" t="str">
        <x:v>WBS 6.7 available; WBS 6.5 predecessor complete; WBS 6.6 API merged.</x:v>
      </x:c>
      <x:c r="I76" s="34" t="str">
        <x:v>Test keyboard, Chrome, Edge, Firefox.</x:v>
      </x:c>
      <x:c r="J76" s="34" t="str">
        <x:v>Core flow remains usable and compatible.</x:v>
      </x:c>
      <x:c r="K76" s="34" t="str">
        <x:v>Joyee</x:v>
      </x:c>
      <x:c r="L76" s="34" t="str">
        <x:v>Pass</x:v>
      </x:c>
      <x:c r="M76" s="34"/>
      <x:c r="N76" s="34" t="str">
        <x:v>PASS at formal closeout. Interview keyboard and current-browser compatibility are accepted from the final Sprint 4 WBS 7.9 compatibility closeout.</x:v>
      </x:c>
      <x:c r="O76" s="34" t="str">
        <x:v>S3-EV-006</x:v>
      </x:c>
      <x:c r="P76" s="34"/>
      <x:c r="Q76" s="34" t="str">
        <x:v>Manual</x:v>
      </x:c>
      <x:c r="R76" s="34" t="str">
        <x:v>PR #63 is retained as the original WBS 6.7 contribution record. Its final implementation was superseded and integrated through PR #78, with Interview AI verification also recorded in PR #74.</x:v>
      </x:c>
    </x:row>
    <x:row r="77">
      <x:c r="A77" s="34" t="str">
        <x:v>S3-TC-072</x:v>
      </x:c>
      <x:c r="B77" s="34" t="str">
        <x:v>6.8</x:v>
      </x:c>
      <x:c r="C77" s="34" t="str">
        <x:v>Document &amp; Interview Integration</x:v>
      </x:c>
      <x:c r="D77" s="34" t="str">
        <x:v>NFR-07,NFR-12</x:v>
      </x:c>
      <x:c r="E77" s="34" t="str">
        <x:v>Critical</x:v>
      </x:c>
      <x:c r="F77" s="34" t="str">
        <x:v>Baseline</x:v>
      </x:c>
      <x:c r="G77" s="34" t="str">
        <x:v>Integrated branch contains WBS 6.3 to 6.7 deliverables</x:v>
      </x:c>
      <x:c r="H77" s="34" t="str">
        <x:v>WBS 6.3, 6.4, and 6.6 are merged into feature/sprint-3. WBS 6.5 and 6.7 must be merged before full WBS 6.8 integration.</x:v>
      </x:c>
      <x:c r="I77" s="34" t="str">
        <x:v>Review feature/sprint-3 history and paths.</x:v>
      </x:c>
      <x:c r="J77" s="34" t="str">
        <x:v>All required predecessor work is present.</x:v>
      </x:c>
      <x:c r="K77" s="34" t="str">
        <x:v>All Members</x:v>
      </x:c>
      <x:c r="L77" s="34" t="str">
        <x:v>Pass</x:v>
      </x:c>
      <x:c r="M77" s="34"/>
      <x:c r="N77" s="34" t="str">
        <x:v>PASS at formal closeout. WBS 6.3, 6.4, 6.5, and 6.6 were present in the Sprint 3 history. The final WBS 6.7 implementation was later superseded and integrated through PR #78 on feature/sprint-4. Formal Sprint 3 closeout accepts that verified successor integration evidence.</x:v>
      </x:c>
      <x:c r="O77" s="34" t="str">
        <x:v>S3-EV-007</x:v>
      </x:c>
      <x:c r="P77" s="34"/>
      <x:c r="Q77" s="34" t="str">
        <x:v>Hybrid</x:v>
      </x:c>
      <x:c r="R77" s="34" t="str">
        <x:v>Formal Sprint 3 closeout uses verified successor-baseline integration evidence from PR #78 and final WBS 7.9 where the original Sprint 3 integration gate was completed later.</x:v>
      </x:c>
    </x:row>
    <x:row r="78">
      <x:c r="A78" s="34" t="str">
        <x:v>S3-TC-073</x:v>
      </x:c>
      <x:c r="B78" s="34" t="str">
        <x:v>6.8</x:v>
      </x:c>
      <x:c r="C78" s="34" t="str">
        <x:v>Document &amp; Interview Integration</x:v>
      </x:c>
      <x:c r="D78" s="34" t="str">
        <x:v>FR-08,FR-16</x:v>
      </x:c>
      <x:c r="E78" s="34" t="str">
        <x:v>Critical</x:v>
      </x:c>
      <x:c r="F78" s="34" t="str">
        <x:v>E2E</x:v>
      </x:c>
      <x:c r="G78" s="34" t="str">
        <x:v>Resume UI to API flow works end to end</x:v>
      </x:c>
      <x:c r="H78" s="34" t="str">
        <x:v>WBS 6.3, 6.4, and 6.6 are merged into feature/sprint-3. WBS 6.5 and 6.7 must be merged before full WBS 6.8 integration.</x:v>
      </x:c>
      <x:c r="I78" s="34" t="str">
        <x:v>Login; open Resume Builder; generate; review/edit.</x:v>
      </x:c>
      <x:c r="J78" s="34" t="str">
        <x:v>Resume draft returns and is editable.</x:v>
      </x:c>
      <x:c r="K78" s="34" t="str">
        <x:v>All Members</x:v>
      </x:c>
      <x:c r="L78" s="34" t="str">
        <x:v>Pass</x:v>
      </x:c>
      <x:c r="M78" s="34"/>
      <x:c r="N78" s="34" t="str">
        <x:v>PASS at formal closeout. Resume UI to API generation and review flow was verified in the later integrated Student workflow and final Sprint 4 end-to-end smoke.</x:v>
      </x:c>
      <x:c r="O78" s="34" t="str">
        <x:v>S3-EV-007</x:v>
      </x:c>
      <x:c r="P78" s="34"/>
      <x:c r="Q78" s="34" t="str">
        <x:v>Hybrid</x:v>
      </x:c>
      <x:c r="R78" s="34" t="str">
        <x:v>Formal Sprint 3 closeout uses verified successor-baseline integration evidence from PR #78 and final WBS 7.9 where the original Sprint 3 integration gate was completed later.</x:v>
      </x:c>
    </x:row>
    <x:row r="79">
      <x:c r="A79" s="34" t="str">
        <x:v>S3-TC-074</x:v>
      </x:c>
      <x:c r="B79" s="34" t="str">
        <x:v>6.8</x:v>
      </x:c>
      <x:c r="C79" s="34" t="str">
        <x:v>Document &amp; Interview Integration</x:v>
      </x:c>
      <x:c r="D79" s="34" t="str">
        <x:v>FR-09,FR-16</x:v>
      </x:c>
      <x:c r="E79" s="34" t="str">
        <x:v>Critical</x:v>
      </x:c>
      <x:c r="F79" s="34" t="str">
        <x:v>E2E</x:v>
      </x:c>
      <x:c r="G79" s="34" t="str">
        <x:v>Cover letter UI to API flow works end to end</x:v>
      </x:c>
      <x:c r="H79" s="34" t="str">
        <x:v>WBS 6.3, 6.4, and 6.6 are merged into feature/sprint-3. WBS 6.5 and 6.7 must be merged before full WBS 6.8 integration.</x:v>
      </x:c>
      <x:c r="I79" s="34" t="str">
        <x:v>Login; provide one job description; generate; review/edit.</x:v>
      </x:c>
      <x:c r="J79" s="34" t="str">
        <x:v>Tailored cover-letter draft returns and is editable.</x:v>
      </x:c>
      <x:c r="K79" s="34" t="str">
        <x:v>All Members</x:v>
      </x:c>
      <x:c r="L79" s="34" t="str">
        <x:v>Pass</x:v>
      </x:c>
      <x:c r="M79" s="34"/>
      <x:c r="N79" s="34" t="str">
        <x:v>PASS at formal closeout. Cover Letter UI to API generation and review flow was verified in the later integrated Student workflow and final Sprint 4 end-to-end smoke.</x:v>
      </x:c>
      <x:c r="O79" s="34" t="str">
        <x:v>S3-EV-007</x:v>
      </x:c>
      <x:c r="P79" s="34"/>
      <x:c r="Q79" s="34" t="str">
        <x:v>Hybrid</x:v>
      </x:c>
      <x:c r="R79" s="34" t="str">
        <x:v>Formal Sprint 3 closeout uses verified successor-baseline integration evidence from PR #78 and final WBS 7.9 where the original Sprint 3 integration gate was completed later.</x:v>
      </x:c>
    </x:row>
    <x:row r="80">
      <x:c r="A80" s="34" t="str">
        <x:v>S3-TC-075</x:v>
      </x:c>
      <x:c r="B80" s="34" t="str">
        <x:v>6.8</x:v>
      </x:c>
      <x:c r="C80" s="34" t="str">
        <x:v>Document &amp; Interview Integration</x:v>
      </x:c>
      <x:c r="D80" s="34" t="str">
        <x:v>FR-10</x:v>
      </x:c>
      <x:c r="E80" s="34" t="str">
        <x:v>Critical</x:v>
      </x:c>
      <x:c r="F80" s="34" t="str">
        <x:v>E2E</x:v>
      </x:c>
      <x:c r="G80" s="34" t="str">
        <x:v>Interview question UI to API flow works end to end</x:v>
      </x:c>
      <x:c r="H80" s="34" t="str">
        <x:v>WBS 6.3, 6.4, and 6.6 are merged into feature/sprint-3. WBS 6.5 and 6.7 must be merged before full WBS 6.8 integration.</x:v>
      </x:c>
      <x:c r="I80" s="34" t="str">
        <x:v>Login; open interview prep; generate questions.</x:v>
      </x:c>
      <x:c r="J80" s="34" t="str">
        <x:v>Question set returns and renders.</x:v>
      </x:c>
      <x:c r="K80" s="34" t="str">
        <x:v>All Members</x:v>
      </x:c>
      <x:c r="L80" s="34" t="str">
        <x:v>Pass</x:v>
      </x:c>
      <x:c r="M80" s="34"/>
      <x:c r="N80" s="34" t="str">
        <x:v>PASS at formal closeout. Interview question UI to API flow was verified in PR #78 and final Sprint 4 Interview regression.</x:v>
      </x:c>
      <x:c r="O80" s="34" t="str">
        <x:v>S3-EV-007</x:v>
      </x:c>
      <x:c r="P80" s="34"/>
      <x:c r="Q80" s="34" t="str">
        <x:v>Hybrid</x:v>
      </x:c>
      <x:c r="R80" s="34" t="str">
        <x:v>Formal Sprint 3 closeout uses verified successor-baseline integration evidence from PR #78 and final WBS 7.9 where the original Sprint 3 integration gate was completed later.</x:v>
      </x:c>
    </x:row>
    <x:row r="81">
      <x:c r="A81" s="34" t="str">
        <x:v>S3-TC-076</x:v>
      </x:c>
      <x:c r="B81" s="34" t="str">
        <x:v>6.8</x:v>
      </x:c>
      <x:c r="C81" s="34" t="str">
        <x:v>Document &amp; Interview Integration</x:v>
      </x:c>
      <x:c r="D81" s="34" t="str">
        <x:v>FR-10</x:v>
      </x:c>
      <x:c r="E81" s="34" t="str">
        <x:v>Critical</x:v>
      </x:c>
      <x:c r="F81" s="34" t="str">
        <x:v>E2E</x:v>
      </x:c>
      <x:c r="G81" s="34" t="str">
        <x:v>Interview feedback UI to API flow works end to end</x:v>
      </x:c>
      <x:c r="H81" s="34" t="str">
        <x:v>WBS 6.3, 6.4, and 6.6 are merged into feature/sprint-3. WBS 6.5 and 6.7 must be merged before full WBS 6.8 integration.</x:v>
      </x:c>
      <x:c r="I81" s="34" t="str">
        <x:v>Answer generated question and request feedback.</x:v>
      </x:c>
      <x:c r="J81" s="34" t="str">
        <x:v>Structured feedback returns and renders.</x:v>
      </x:c>
      <x:c r="K81" s="34" t="str">
        <x:v>All Members</x:v>
      </x:c>
      <x:c r="L81" s="34" t="str">
        <x:v>Pass</x:v>
      </x:c>
      <x:c r="M81" s="34"/>
      <x:c r="N81" s="34" t="str">
        <x:v>PASS at formal closeout. Interview feedback UI to API flow was verified in PR #78, PR #74, and final Sprint 4 Interview regression.</x:v>
      </x:c>
      <x:c r="O81" s="34" t="str">
        <x:v>S3-EV-007</x:v>
      </x:c>
      <x:c r="P81" s="34"/>
      <x:c r="Q81" s="34" t="str">
        <x:v>Hybrid</x:v>
      </x:c>
      <x:c r="R81" s="34" t="str">
        <x:v>Formal Sprint 3 closeout uses verified successor-baseline integration evidence from PR #78 and final WBS 7.9 where the original Sprint 3 integration gate was completed later.</x:v>
      </x:c>
    </x:row>
    <x:row r="82">
      <x:c r="A82" s="34" t="str">
        <x:v>S3-TC-077</x:v>
      </x:c>
      <x:c r="B82" s="34" t="str">
        <x:v>6.8</x:v>
      </x:c>
      <x:c r="C82" s="34" t="str">
        <x:v>Document &amp; Interview Integration</x:v>
      </x:c>
      <x:c r="D82" s="34" t="str">
        <x:v>NFR-05,NFR-06</x:v>
      </x:c>
      <x:c r="E82" s="34" t="str">
        <x:v>Critical</x:v>
      </x:c>
      <x:c r="F82" s="34" t="str">
        <x:v>Security</x:v>
      </x:c>
      <x:c r="G82" s="34" t="str">
        <x:v>Document and interview flows preserve authenticated Student context</x:v>
      </x:c>
      <x:c r="H82" s="34" t="str">
        <x:v>WBS 6.3, 6.4, and 6.6 are merged into feature/sprint-3. WBS 6.5 and 6.7 must be merged before full WBS 6.8 integration.</x:v>
      </x:c>
      <x:c r="I82" s="34" t="str">
        <x:v>Run flows with Student A and Student B.</x:v>
      </x:c>
      <x:c r="J82" s="34" t="str">
        <x:v>No cross-student protected profile data appears.</x:v>
      </x:c>
      <x:c r="K82" s="34" t="str">
        <x:v>All Members</x:v>
      </x:c>
      <x:c r="L82" s="34" t="str">
        <x:v>Pass</x:v>
      </x:c>
      <x:c r="M82" s="34"/>
      <x:c r="N82" s="34" t="str">
        <x:v>PASS at formal closeout. Student-context privacy and ownership controls are accepted from the integrated Student workflow privacy verification and final Sprint 4 security/privacy regression coverage.</x:v>
      </x:c>
      <x:c r="O82" s="34" t="str">
        <x:v>S3-EV-007</x:v>
      </x:c>
      <x:c r="P82" s="34"/>
      <x:c r="Q82" s="34" t="str">
        <x:v>Hybrid</x:v>
      </x:c>
      <x:c r="R82" s="34" t="str">
        <x:v>Formal Sprint 3 closeout uses verified successor-baseline integration evidence from PR #78 and final WBS 7.9 where the original Sprint 3 integration gate was completed later.</x:v>
      </x:c>
    </x:row>
    <x:row r="83">
      <x:c r="A83" s="34" t="str">
        <x:v>S3-TC-078</x:v>
      </x:c>
      <x:c r="B83" s="34" t="str">
        <x:v>6.8</x:v>
      </x:c>
      <x:c r="C83" s="34" t="str">
        <x:v>Document &amp; Interview Integration</x:v>
      </x:c>
      <x:c r="D83" s="34" t="str">
        <x:v>FR-08,NFR-06,NFR-14</x:v>
      </x:c>
      <x:c r="E83" s="34" t="str">
        <x:v>Critical</x:v>
      </x:c>
      <x:c r="F83" s="34" t="str">
        <x:v>Security</x:v>
      </x:c>
      <x:c r="G83" s="34" t="str">
        <x:v>Resume flow rejects client profile/prompt manipulation</x:v>
      </x:c>
      <x:c r="H83" s="34" t="str">
        <x:v>WBS 6.3, 6.4, and 6.6 are merged into feature/sprint-3. WBS 6.5 and 6.7 must be merged before full WBS 6.8 integration.</x:v>
      </x:c>
      <x:c r="I83" s="34" t="str">
        <x:v>Attempt UI/API manipulation with ownership/prompt fields.</x:v>
      </x:c>
      <x:c r="J83" s="34" t="str">
        <x:v>Request is rejected; service not invoked with attacker-supplied ownership.</x:v>
      </x:c>
      <x:c r="K83" s="34" t="str">
        <x:v>All Members</x:v>
      </x:c>
      <x:c r="L83" s="34" t="str">
        <x:v>Pass</x:v>
      </x:c>
      <x:c r="M83" s="34"/>
      <x:c r="N83" s="34" t="str">
        <x:v>PASS at formal closeout. Resume ownership and prompt-manipulation protections are accepted from Sprint 3 backend safety tests plus final successor security and integration verification.</x:v>
      </x:c>
      <x:c r="O83" s="34" t="str">
        <x:v>S3-EV-007</x:v>
      </x:c>
      <x:c r="P83" s="34"/>
      <x:c r="Q83" s="34" t="str">
        <x:v>Hybrid</x:v>
      </x:c>
      <x:c r="R83" s="34" t="str">
        <x:v>Formal Sprint 3 closeout uses verified successor-baseline integration evidence from PR #78 and final WBS 7.9 where the original Sprint 3 integration gate was completed later.</x:v>
      </x:c>
    </x:row>
    <x:row r="84">
      <x:c r="A84" s="34" t="str">
        <x:v>S3-TC-079</x:v>
      </x:c>
      <x:c r="B84" s="34" t="str">
        <x:v>6.8</x:v>
      </x:c>
      <x:c r="C84" s="34" t="str">
        <x:v>Document &amp; Interview Integration</x:v>
      </x:c>
      <x:c r="D84" s="34" t="str">
        <x:v>FR-09,NFR-14</x:v>
      </x:c>
      <x:c r="E84" s="34" t="str">
        <x:v>Critical</x:v>
      </x:c>
      <x:c r="F84" s="34" t="str">
        <x:v>Security</x:v>
      </x:c>
      <x:c r="G84" s="34" t="str">
        <x:v>Cover letter flow rejects prompt injection as instruction</x:v>
      </x:c>
      <x:c r="H84" s="34" t="str">
        <x:v>WBS 6.3, 6.4, and 6.6 are merged into feature/sprint-3. WBS 6.5 and 6.7 must be merged before full WBS 6.8 integration.</x:v>
      </x:c>
      <x:c r="I84" s="34" t="str">
        <x:v>Use instruction-like text inside job description.</x:v>
      </x:c>
      <x:c r="J84" s="34" t="str">
        <x:v>Text stays untrusted and cannot override system rules.</x:v>
      </x:c>
      <x:c r="K84" s="34" t="str">
        <x:v>All Members</x:v>
      </x:c>
      <x:c r="L84" s="34" t="str">
        <x:v>Pass</x:v>
      </x:c>
      <x:c r="M84" s="34"/>
      <x:c r="N84" s="34" t="str">
        <x:v>PASS at formal closeout. Cover Letter job-description trust boundaries and prompt-injection protections are accepted from Sprint 3 safety tests plus later integrated validation.</x:v>
      </x:c>
      <x:c r="O84" s="34" t="str">
        <x:v>S3-EV-007</x:v>
      </x:c>
      <x:c r="P84" s="34"/>
      <x:c r="Q84" s="34" t="str">
        <x:v>Hybrid</x:v>
      </x:c>
      <x:c r="R84" s="34" t="str">
        <x:v>Formal Sprint 3 closeout uses verified successor-baseline integration evidence from PR #78 and final WBS 7.9 where the original Sprint 3 integration gate was completed later.</x:v>
      </x:c>
    </x:row>
    <x:row r="85">
      <x:c r="A85" s="34" t="str">
        <x:v>S3-TC-080</x:v>
      </x:c>
      <x:c r="B85" s="34" t="str">
        <x:v>6.8</x:v>
      </x:c>
      <x:c r="C85" s="34" t="str">
        <x:v>Document &amp; Interview Integration</x:v>
      </x:c>
      <x:c r="D85" s="34" t="str">
        <x:v>FR-10,NFR-14</x:v>
      </x:c>
      <x:c r="E85" s="34" t="str">
        <x:v>Critical</x:v>
      </x:c>
      <x:c r="F85" s="34" t="str">
        <x:v>Security</x:v>
      </x:c>
      <x:c r="G85" s="34" t="str">
        <x:v>Interview flow rejects prompt injection as instruction</x:v>
      </x:c>
      <x:c r="H85" s="34" t="str">
        <x:v>WBS 6.3, 6.4, and 6.6 are merged into feature/sprint-3. WBS 6.5 and 6.7 must be merged before full WBS 6.8 integration.</x:v>
      </x:c>
      <x:c r="I85" s="34" t="str">
        <x:v>Use instruction-like role/job/answer text.</x:v>
      </x:c>
      <x:c r="J85" s="34" t="str">
        <x:v>Text stays untrusted and safety contract holds.</x:v>
      </x:c>
      <x:c r="K85" s="34" t="str">
        <x:v>All Members</x:v>
      </x:c>
      <x:c r="L85" s="34" t="str">
        <x:v>Pass</x:v>
      </x:c>
      <x:c r="M85" s="34"/>
      <x:c r="N85" s="34" t="str">
        <x:v>PASS at formal closeout. Interview untrusted-input and safety-contract behaviour is accepted from Sprint 3 API safety tests and later Interview AI validation.</x:v>
      </x:c>
      <x:c r="O85" s="34" t="str">
        <x:v>S3-EV-007</x:v>
      </x:c>
      <x:c r="P85" s="34"/>
      <x:c r="Q85" s="34" t="str">
        <x:v>Hybrid</x:v>
      </x:c>
      <x:c r="R85" s="34" t="str">
        <x:v>Formal Sprint 3 closeout uses verified successor-baseline integration evidence from PR #78 and final WBS 7.9 where the original Sprint 3 integration gate was completed later.</x:v>
      </x:c>
    </x:row>
    <x:row r="86">
      <x:c r="A86" s="34" t="str">
        <x:v>S3-TC-081</x:v>
      </x:c>
      <x:c r="B86" s="34" t="str">
        <x:v>6.8</x:v>
      </x:c>
      <x:c r="C86" s="34" t="str">
        <x:v>Document &amp; Interview Integration</x:v>
      </x:c>
      <x:c r="D86" s="34" t="str">
        <x:v>FR-16,NFR-14</x:v>
      </x:c>
      <x:c r="E86" s="34" t="str">
        <x:v>High</x:v>
      </x:c>
      <x:c r="F86" s="34" t="str">
        <x:v>Integration</x:v>
      </x:c>
      <x:c r="G86" s="34" t="str">
        <x:v>Generated content consistently shows review-required state</x:v>
      </x:c>
      <x:c r="H86" s="34" t="str">
        <x:v>WBS 6.3, 6.4, and 6.6 are merged into feature/sprint-3. WBS 6.5 and 6.7 must be merged before full WBS 6.8 integration.</x:v>
      </x:c>
      <x:c r="I86" s="34" t="str">
        <x:v>Generate resume, cover letter, interview content.</x:v>
      </x:c>
      <x:c r="J86" s="34" t="str">
        <x:v>All AI outputs communicate limitations/review requirement.</x:v>
      </x:c>
      <x:c r="K86" s="34" t="str">
        <x:v>All Members</x:v>
      </x:c>
      <x:c r="L86" s="34" t="str">
        <x:v>Pass</x:v>
      </x:c>
      <x:c r="M86" s="34"/>
      <x:c r="N86" s="34" t="str">
        <x:v>PASS at formal closeout. Review-required and AI limitation states are accepted from the verified Resume, Cover Letter, and Interview integrated workflows.</x:v>
      </x:c>
      <x:c r="O86" s="34" t="str">
        <x:v>S3-EV-007</x:v>
      </x:c>
      <x:c r="P86" s="34"/>
      <x:c r="Q86" s="34" t="str">
        <x:v>Hybrid</x:v>
      </x:c>
      <x:c r="R86" s="34" t="str">
        <x:v>Formal Sprint 3 closeout uses verified successor-baseline integration evidence from PR #78 and final WBS 7.9 where the original Sprint 3 integration gate was completed later.</x:v>
      </x:c>
    </x:row>
    <x:row r="87">
      <x:c r="A87" s="34" t="str">
        <x:v>S3-TC-082</x:v>
      </x:c>
      <x:c r="B87" s="34" t="str">
        <x:v>6.8</x:v>
      </x:c>
      <x:c r="C87" s="34" t="str">
        <x:v>Document &amp; Interview Integration</x:v>
      </x:c>
      <x:c r="D87" s="34" t="str">
        <x:v>FR-18</x:v>
      </x:c>
      <x:c r="E87" s="34" t="str">
        <x:v>High</x:v>
      </x:c>
      <x:c r="F87" s="34" t="str">
        <x:v>Integration</x:v>
      </x:c>
      <x:c r="G87" s="34" t="str">
        <x:v>Provider unavailable state is consistent across Sprint 3 features</x:v>
      </x:c>
      <x:c r="H87" s="34" t="str">
        <x:v>WBS 6.3, 6.4, and 6.6 are merged into feature/sprint-3. WBS 6.5 and 6.7 must be merged before full WBS 6.8 integration.</x:v>
      </x:c>
      <x:c r="I87" s="34" t="str">
        <x:v>Trigger default/unavailable provider across features.</x:v>
      </x:c>
      <x:c r="J87" s="34" t="str">
        <x:v>Controlled error response and useful frontend state.</x:v>
      </x:c>
      <x:c r="K87" s="34" t="str">
        <x:v>All Members</x:v>
      </x:c>
      <x:c r="L87" s="34" t="str">
        <x:v>Pass</x:v>
      </x:c>
      <x:c r="M87" s="34"/>
      <x:c r="N87" s="34" t="str">
        <x:v>PASS at formal closeout. Controlled provider-unavailable and validation-error handling was verified across the document and Interview service boundaries and later Sprint 4 AI integration.</x:v>
      </x:c>
      <x:c r="O87" s="34" t="str">
        <x:v>S3-EV-007</x:v>
      </x:c>
      <x:c r="P87" s="34"/>
      <x:c r="Q87" s="34" t="str">
        <x:v>Hybrid</x:v>
      </x:c>
      <x:c r="R87" s="34" t="str">
        <x:v>Formal Sprint 3 closeout uses verified successor-baseline integration evidence from PR #78 and final WBS 7.9 where the original Sprint 3 integration gate was completed later.</x:v>
      </x:c>
    </x:row>
    <x:row r="88">
      <x:c r="A88" s="34" t="str">
        <x:v>S3-TC-083</x:v>
      </x:c>
      <x:c r="B88" s="34" t="str">
        <x:v>6.8</x:v>
      </x:c>
      <x:c r="C88" s="34" t="str">
        <x:v>Document &amp; Interview Integration</x:v>
      </x:c>
      <x:c r="D88" s="34" t="str">
        <x:v>NFR-05</x:v>
      </x:c>
      <x:c r="E88" s="34" t="str">
        <x:v>Critical</x:v>
      </x:c>
      <x:c r="F88" s="34" t="str">
        <x:v>Integration</x:v>
      </x:c>
      <x:c r="G88" s="34" t="str">
        <x:v>Invalid/expired authentication is handled consistently</x:v>
      </x:c>
      <x:c r="H88" s="34" t="str">
        <x:v>WBS 6.3, 6.4, and 6.6 are merged into feature/sprint-3. WBS 6.5 and 6.7 must be merged before full WBS 6.8 integration.</x:v>
      </x:c>
      <x:c r="I88" s="34" t="str">
        <x:v>Run document/interview requests with invalid or expired token.</x:v>
      </x:c>
      <x:c r="J88" s="34" t="str">
        <x:v>Protected flows reject access consistently.</x:v>
      </x:c>
      <x:c r="K88" s="34" t="str">
        <x:v>All Members</x:v>
      </x:c>
      <x:c r="L88" s="34" t="str">
        <x:v>Pass</x:v>
      </x:c>
      <x:c r="M88" s="34"/>
      <x:c r="N88" s="34" t="str">
        <x:v>PASS at formal closeout. Protected document and Interview flows and invalid-authentication handling are accepted from Sprint 3 API checks and final authentication/security regression.</x:v>
      </x:c>
      <x:c r="O88" s="34" t="str">
        <x:v>S3-EV-007</x:v>
      </x:c>
      <x:c r="P88" s="34"/>
      <x:c r="Q88" s="34" t="str">
        <x:v>Hybrid</x:v>
      </x:c>
      <x:c r="R88" s="34" t="str">
        <x:v>Formal Sprint 3 closeout uses verified successor-baseline integration evidence from PR #78 and final WBS 7.9 where the original Sprint 3 integration gate was completed later.</x:v>
      </x:c>
    </x:row>
    <x:row r="89">
      <x:c r="A89" s="34" t="str">
        <x:v>S3-TC-084</x:v>
      </x:c>
      <x:c r="B89" s="34" t="str">
        <x:v>6.8</x:v>
      </x:c>
      <x:c r="C89" s="34" t="str">
        <x:v>Document &amp; Interview Integration</x:v>
      </x:c>
      <x:c r="D89" s="34" t="str">
        <x:v>FR-08,FR-09,FR-10</x:v>
      </x:c>
      <x:c r="E89" s="34" t="str">
        <x:v>High</x:v>
      </x:c>
      <x:c r="F89" s="34" t="str">
        <x:v>UI</x:v>
      </x:c>
      <x:c r="G89" s="34" t="str">
        <x:v>Navigation preserves intended document/interview context</x:v>
      </x:c>
      <x:c r="H89" s="34" t="str">
        <x:v>WBS 6.3, 6.4, and 6.6 are merged into feature/sprint-3. WBS 6.5 and 6.7 must be merged before full WBS 6.8 integration.</x:v>
      </x:c>
      <x:c r="I89" s="34" t="str">
        <x:v>Navigate between Sprint 3 pages during normal flow.</x:v>
      </x:c>
      <x:c r="J89" s="34" t="str">
        <x:v>User context required by each flow is preserved or safely re-entered.</x:v>
      </x:c>
      <x:c r="K89" s="34" t="str">
        <x:v>All Members</x:v>
      </x:c>
      <x:c r="L89" s="34" t="str">
        <x:v>Pass</x:v>
      </x:c>
      <x:c r="M89" s="34"/>
      <x:c r="N89" s="34" t="str">
        <x:v>PASS at formal closeout. Student navigation and context handling across Resume, Cover Letter, Job Matching, and Interview Preparation were verified in the later integrated Student workflow.</x:v>
      </x:c>
      <x:c r="O89" s="34" t="str">
        <x:v>S3-EV-007</x:v>
      </x:c>
      <x:c r="P89" s="34"/>
      <x:c r="Q89" s="34" t="str">
        <x:v>Hybrid</x:v>
      </x:c>
      <x:c r="R89" s="34" t="str">
        <x:v>Formal Sprint 3 closeout uses verified successor-baseline integration evidence from PR #78 and final WBS 7.9 where the original Sprint 3 integration gate was completed later.</x:v>
      </x:c>
    </x:row>
    <x:row r="90">
      <x:c r="A90" s="34" t="str">
        <x:v>S3-TC-085</x:v>
      </x:c>
      <x:c r="B90" s="34" t="str">
        <x:v>6.8</x:v>
      </x:c>
      <x:c r="C90" s="34" t="str">
        <x:v>Document &amp; Interview Integration</x:v>
      </x:c>
      <x:c r="D90" s="34" t="str">
        <x:v>FR-08,FR-09,FR-10</x:v>
      </x:c>
      <x:c r="E90" s="34" t="str">
        <x:v>Critical</x:v>
      </x:c>
      <x:c r="F90" s="34" t="str">
        <x:v>E2E</x:v>
      </x:c>
      <x:c r="G90" s="34" t="str">
        <x:v>Full Sprint 3 happy-path journey completes without blocking defect</x:v>
      </x:c>
      <x:c r="H90" s="34" t="str">
        <x:v>WBS 6.3, 6.4, and 6.6 are merged into feature/sprint-3. WBS 6.5 and 6.7 must be merged before full WBS 6.8 integration.</x:v>
      </x:c>
      <x:c r="I90" s="34" t="str">
        <x:v>Login -&gt; profile -&gt; resume -&gt; cover letter -&gt; interview questions -&gt; feedback.</x:v>
      </x:c>
      <x:c r="J90" s="34" t="str">
        <x:v>Core Sprint 3 user journey completes.</x:v>
      </x:c>
      <x:c r="K90" s="34" t="str">
        <x:v>All Members</x:v>
      </x:c>
      <x:c r="L90" s="34" t="str">
        <x:v>Pass</x:v>
      </x:c>
      <x:c r="M90" s="34"/>
      <x:c r="N90" s="34" t="str">
        <x:v>PASS at formal closeout. The core Student journey covering authentication, Resume, Cover Letter, and Interview functions was verified through PR #78 and the final Sprint 4 feature-complete smoke.</x:v>
      </x:c>
      <x:c r="O90" s="34" t="str">
        <x:v>S3-EV-007</x:v>
      </x:c>
      <x:c r="P90" s="34"/>
      <x:c r="Q90" s="34" t="str">
        <x:v>Hybrid</x:v>
      </x:c>
      <x:c r="R90" s="34" t="str">
        <x:v>Formal Sprint 3 closeout uses verified successor-baseline integration evidence from PR #78 and final WBS 7.9 where the original Sprint 3 integration gate was completed later.</x:v>
      </x:c>
    </x:row>
    <x:row r="91">
      <x:c r="A91" s="34" t="str">
        <x:v>S3-TC-086</x:v>
      </x:c>
      <x:c r="B91" s="34" t="str">
        <x:v>6.9</x:v>
      </x:c>
      <x:c r="C91" s="34" t="str">
        <x:v>Sprint 3 Testing</x:v>
      </x:c>
      <x:c r="D91" s="34" t="str">
        <x:v>NFR-12</x:v>
      </x:c>
      <x:c r="E91" s="34" t="str">
        <x:v>Critical</x:v>
      </x:c>
      <x:c r="F91" s="34" t="str">
        <x:v>Regression</x:v>
      </x:c>
      <x:c r="G91" s="34" t="str">
        <x:v>Run complete backend regression on integrated Sprint 3 branch</x:v>
      </x:c>
      <x:c r="H91" s="34" t="str">
        <x:v>WBS 6.8 integration complete.</x:v>
      </x:c>
      <x:c r="I91" s="34" t="str">
        <x:v>Run python manage.py test -v 2.</x:v>
      </x:c>
      <x:c r="J91" s="34" t="str">
        <x:v>All backend tests pass.</x:v>
      </x:c>
      <x:c r="K91" s="34" t="str">
        <x:v>Jerald</x:v>
      </x:c>
      <x:c r="L91" s="34" t="str">
        <x:v>Pass</x:v>
      </x:c>
      <x:c r="M91" s="34"/>
      <x:c r="N91" s="34" t="str">
        <x:v>PASS at formal closeout. PR #78 reports a full backend regression of 1058 tests passed.</x:v>
      </x:c>
      <x:c r="O91" s="34" t="str">
        <x:v>S3-EV-008</x:v>
      </x:c>
      <x:c r="P91" s="34"/>
      <x:c r="Q91" s="34" t="str">
        <x:v>Automated</x:v>
      </x:c>
      <x:c r="R91" s="34" t="str">
        <x:v>Formal closeout regression and evidence reconciliation. Later verified successor evidence is used where final Sprint 3 integration occurred during Sprint 4.</x:v>
      </x:c>
    </x:row>
    <x:row r="92">
      <x:c r="A92" s="34" t="str">
        <x:v>S3-TC-087</x:v>
      </x:c>
      <x:c r="B92" s="34" t="str">
        <x:v>6.9</x:v>
      </x:c>
      <x:c r="C92" s="34" t="str">
        <x:v>Sprint 3 Testing</x:v>
      </x:c>
      <x:c r="D92" s="34" t="str">
        <x:v>NFR-12</x:v>
      </x:c>
      <x:c r="E92" s="34" t="str">
        <x:v>Critical</x:v>
      </x:c>
      <x:c r="F92" s="34" t="str">
        <x:v>Regression</x:v>
      </x:c>
      <x:c r="G92" s="34" t="str">
        <x:v>Run Django system check after all Sprint 3 merges</x:v>
      </x:c>
      <x:c r="H92" s="34" t="str">
        <x:v>WBS 6.8 integration complete.</x:v>
      </x:c>
      <x:c r="I92" s="34" t="str">
        <x:v>Run python manage.py check.</x:v>
      </x:c>
      <x:c r="J92" s="34" t="str">
        <x:v>No system issues.</x:v>
      </x:c>
      <x:c r="K92" s="34" t="str">
        <x:v>Jerald</x:v>
      </x:c>
      <x:c r="L92" s="34" t="str">
        <x:v>Pass</x:v>
      </x:c>
      <x:c r="M92" s="34"/>
      <x:c r="N92" s="34" t="str">
        <x:v>PASS at formal closeout. PR #74 records Django system check PASS on the later integrated baseline.</x:v>
      </x:c>
      <x:c r="O92" s="34" t="str">
        <x:v>S3-EV-008</x:v>
      </x:c>
      <x:c r="P92" s="34"/>
      <x:c r="Q92" s="34" t="str">
        <x:v>Automated</x:v>
      </x:c>
      <x:c r="R92" s="34" t="str">
        <x:v>Formal closeout regression and evidence reconciliation. Later verified successor evidence is used where final Sprint 3 integration occurred during Sprint 4.</x:v>
      </x:c>
    </x:row>
    <x:row r="93">
      <x:c r="A93" s="34" t="str">
        <x:v>S3-TC-088</x:v>
      </x:c>
      <x:c r="B93" s="34" t="str">
        <x:v>6.9</x:v>
      </x:c>
      <x:c r="C93" s="34" t="str">
        <x:v>Sprint 3 Testing</x:v>
      </x:c>
      <x:c r="D93" s="34" t="str">
        <x:v>NFR-07,NFR-12</x:v>
      </x:c>
      <x:c r="E93" s="34" t="str">
        <x:v>High</x:v>
      </x:c>
      <x:c r="F93" s="34" t="str">
        <x:v>Database</x:v>
      </x:c>
      <x:c r="G93" s="34" t="str">
        <x:v>Verify no unintended migration changes</x:v>
      </x:c>
      <x:c r="H93" s="34" t="str">
        <x:v>WBS 6.8 integration complete.</x:v>
      </x:c>
      <x:c r="I93" s="34" t="str">
        <x:v>Run makemigrations --check and review migration history.</x:v>
      </x:c>
      <x:c r="J93" s="34" t="str">
        <x:v>No unintended migration drift.</x:v>
      </x:c>
      <x:c r="K93" s="34" t="str">
        <x:v>MD</x:v>
      </x:c>
      <x:c r="L93" s="34" t="str">
        <x:v>Pass</x:v>
      </x:c>
      <x:c r="M93" s="34"/>
      <x:c r="N93" s="34" t="str">
        <x:v>PASS at formal closeout. PR #74 records migration state PASS and migration drift with no changes detected.</x:v>
      </x:c>
      <x:c r="O93" s="34" t="str">
        <x:v>S3-EV-008</x:v>
      </x:c>
      <x:c r="P93" s="34"/>
      <x:c r="Q93" s="34" t="str">
        <x:v>Hybrid</x:v>
      </x:c>
      <x:c r="R93" s="34" t="str">
        <x:v>Formal closeout regression and evidence reconciliation. Later verified successor evidence is used where final Sprint 3 integration occurred during Sprint 4.</x:v>
      </x:c>
    </x:row>
    <x:row r="94">
      <x:c r="A94" s="34" t="str">
        <x:v>S3-TC-089</x:v>
      </x:c>
      <x:c r="B94" s="34" t="str">
        <x:v>6.9</x:v>
      </x:c>
      <x:c r="C94" s="34" t="str">
        <x:v>Sprint 3 Testing</x:v>
      </x:c>
      <x:c r="D94" s="34" t="str">
        <x:v>NFR-07,NFR-12</x:v>
      </x:c>
      <x:c r="E94" s="34" t="str">
        <x:v>High</x:v>
      </x:c>
      <x:c r="F94" s="34" t="str">
        <x:v>Regression</x:v>
      </x:c>
      <x:c r="G94" s="34" t="str">
        <x:v>Run frontend lint on integrated Sprint 3 branch</x:v>
      </x:c>
      <x:c r="H94" s="34" t="str">
        <x:v>WBS 6.8 integration complete.</x:v>
      </x:c>
      <x:c r="I94" s="34" t="str">
        <x:v>Run frontend lint.</x:v>
      </x:c>
      <x:c r="J94" s="34" t="str">
        <x:v>No blocking lint errors.</x:v>
      </x:c>
      <x:c r="K94" s="34" t="str">
        <x:v>Joyee</x:v>
      </x:c>
      <x:c r="L94" s="34" t="str">
        <x:v>Pass</x:v>
      </x:c>
      <x:c r="M94" s="34"/>
      <x:c r="N94" s="34" t="str">
        <x:v>PASS at formal closeout. PR #78 records frontend lint with 0 warnings and 0 errors.</x:v>
      </x:c>
      <x:c r="O94" s="34" t="str">
        <x:v>S3-EV-008</x:v>
      </x:c>
      <x:c r="P94" s="34"/>
      <x:c r="Q94" s="34" t="str">
        <x:v>Automated</x:v>
      </x:c>
      <x:c r="R94" s="34" t="str">
        <x:v>Formal closeout regression and evidence reconciliation. Later verified successor evidence is used where final Sprint 3 integration occurred during Sprint 4.</x:v>
      </x:c>
    </x:row>
    <x:row r="95">
      <x:c r="A95" s="34" t="str">
        <x:v>S3-TC-090</x:v>
      </x:c>
      <x:c r="B95" s="34" t="str">
        <x:v>6.9</x:v>
      </x:c>
      <x:c r="C95" s="34" t="str">
        <x:v>Sprint 3 Testing</x:v>
      </x:c>
      <x:c r="D95" s="34" t="str">
        <x:v>NFR-07,NFR-11,NFR-12</x:v>
      </x:c>
      <x:c r="E95" s="34" t="str">
        <x:v>Critical</x:v>
      </x:c>
      <x:c r="F95" s="34" t="str">
        <x:v>Regression</x:v>
      </x:c>
      <x:c r="G95" s="34" t="str">
        <x:v>Run frontend production build</x:v>
      </x:c>
      <x:c r="H95" s="34" t="str">
        <x:v>WBS 6.8 integration complete.</x:v>
      </x:c>
      <x:c r="I95" s="34" t="str">
        <x:v>Run frontend build.</x:v>
      </x:c>
      <x:c r="J95" s="34" t="str">
        <x:v>Build succeeds.</x:v>
      </x:c>
      <x:c r="K95" s="34" t="str">
        <x:v>Joyee</x:v>
      </x:c>
      <x:c r="L95" s="34" t="str">
        <x:v>Pass</x:v>
      </x:c>
      <x:c r="M95" s="34"/>
      <x:c r="N95" s="34" t="str">
        <x:v>PASS at formal closeout. PR #78 records a successful frontend production build.</x:v>
      </x:c>
      <x:c r="O95" s="34" t="str">
        <x:v>S3-EV-008</x:v>
      </x:c>
      <x:c r="P95" s="34"/>
      <x:c r="Q95" s="34" t="str">
        <x:v>Automated</x:v>
      </x:c>
      <x:c r="R95" s="34" t="str">
        <x:v>Formal closeout regression and evidence reconciliation. Later verified successor evidence is used where final Sprint 3 integration occurred during Sprint 4.</x:v>
      </x:c>
    </x:row>
    <x:row r="96">
      <x:c r="A96" s="34" t="str">
        <x:v>S3-TC-091</x:v>
      </x:c>
      <x:c r="B96" s="34" t="str">
        <x:v>6.9</x:v>
      </x:c>
      <x:c r="C96" s="34" t="str">
        <x:v>Sprint 3 Testing</x:v>
      </x:c>
      <x:c r="D96" s="34" t="str">
        <x:v>FR-01,NFR-05,NFR-12</x:v>
      </x:c>
      <x:c r="E96" s="34" t="str">
        <x:v>Critical</x:v>
      </x:c>
      <x:c r="F96" s="34" t="str">
        <x:v>Regression</x:v>
      </x:c>
      <x:c r="G96" s="34" t="str">
        <x:v>Test Sprint 1 authentication regression</x:v>
      </x:c>
      <x:c r="H96" s="34" t="str">
        <x:v>WBS 6.8 integration complete.</x:v>
      </x:c>
      <x:c r="I96" s="34" t="str">
        <x:v>Register/login/token/me/logout smoke test.</x:v>
      </x:c>
      <x:c r="J96" s="34" t="str">
        <x:v>Sprint 1 authentication remains working.</x:v>
      </x:c>
      <x:c r="K96" s="34" t="str">
        <x:v>All Members</x:v>
      </x:c>
      <x:c r="L96" s="34" t="str">
        <x:v>Pass</x:v>
      </x:c>
      <x:c r="M96" s="34"/>
      <x:c r="N96" s="34" t="str">
        <x:v>PASS at formal closeout. Final Sprint 4 S4-REG-01 authentication regression passed.</x:v>
      </x:c>
      <x:c r="O96" s="34" t="str">
        <x:v>S3-EV-008</x:v>
      </x:c>
      <x:c r="P96" s="34"/>
      <x:c r="Q96" s="34" t="str">
        <x:v>Hybrid</x:v>
      </x:c>
      <x:c r="R96" s="34" t="str">
        <x:v>Formal closeout regression and evidence reconciliation. Later verified successor evidence is used where final Sprint 3 integration occurred during Sprint 4.</x:v>
      </x:c>
    </x:row>
    <x:row r="97">
      <x:c r="A97" s="34" t="str">
        <x:v>S3-TC-092</x:v>
      </x:c>
      <x:c r="B97" s="34" t="str">
        <x:v>6.9</x:v>
      </x:c>
      <x:c r="C97" s="34" t="str">
        <x:v>Sprint 3 Testing</x:v>
      </x:c>
      <x:c r="D97" s="34" t="str">
        <x:v>FR-02,NFR-06,NFR-12</x:v>
      </x:c>
      <x:c r="E97" s="34" t="str">
        <x:v>Critical</x:v>
      </x:c>
      <x:c r="F97" s="34" t="str">
        <x:v>Regression</x:v>
      </x:c>
      <x:c r="G97" s="34" t="str">
        <x:v>Test Student Profile regression</x:v>
      </x:c>
      <x:c r="H97" s="34" t="str">
        <x:v>WBS 6.8 integration complete.</x:v>
      </x:c>
      <x:c r="I97" s="34" t="str">
        <x:v>Load/update profile and verify persistence/ownership.</x:v>
      </x:c>
      <x:c r="J97" s="34" t="str">
        <x:v>Profile flow remains working and private.</x:v>
      </x:c>
      <x:c r="K97" s="34" t="str">
        <x:v>All Members</x:v>
      </x:c>
      <x:c r="L97" s="34" t="str">
        <x:v>Pass</x:v>
      </x:c>
      <x:c r="M97" s="34"/>
      <x:c r="N97" s="34" t="str">
        <x:v>PASS at formal closeout. Student Profile regression, persistence, and privacy were included in later integrated manual regression and final WBS 7.9 verification.</x:v>
      </x:c>
      <x:c r="O97" s="34" t="str">
        <x:v>S3-EV-008</x:v>
      </x:c>
      <x:c r="P97" s="34"/>
      <x:c r="Q97" s="34" t="str">
        <x:v>Hybrid</x:v>
      </x:c>
      <x:c r="R97" s="34" t="str">
        <x:v>Formal closeout regression and evidence reconciliation. Later verified successor evidence is used where final Sprint 3 integration occurred during Sprint 4.</x:v>
      </x:c>
    </x:row>
    <x:row r="98">
      <x:c r="A98" s="34" t="str">
        <x:v>S3-TC-093</x:v>
      </x:c>
      <x:c r="B98" s="34" t="str">
        <x:v>6.9</x:v>
      </x:c>
      <x:c r="C98" s="34" t="str">
        <x:v>Sprint 3 Testing</x:v>
      </x:c>
      <x:c r="D98" s="34" t="str">
        <x:v>FR-03,FR-04,FR-05,FR-06,FR-11,FR-12</x:v>
      </x:c>
      <x:c r="E98" s="34" t="str">
        <x:v>Critical</x:v>
      </x:c>
      <x:c r="F98" s="34" t="str">
        <x:v>Regression</x:v>
      </x:c>
      <x:c r="G98" s="34" t="str">
        <x:v>Test Sprint 2 career-analysis regression</x:v>
      </x:c>
      <x:c r="H98" s="34" t="str">
        <x:v>WBS 6.8 integration complete.</x:v>
      </x:c>
      <x:c r="I98" s="34" t="str">
        <x:v>Run key recommendation/readiness/roadmap smoke flow.</x:v>
      </x:c>
      <x:c r="J98" s="34" t="str">
        <x:v>Sprint 2 core flow remains working.</x:v>
      </x:c>
      <x:c r="K98" s="34" t="str">
        <x:v>All Members</x:v>
      </x:c>
      <x:c r="L98" s="34" t="str">
        <x:v>Pass</x:v>
      </x:c>
      <x:c r="M98" s="34"/>
      <x:c r="N98" s="34" t="str">
        <x:v>PASS at formal closeout. Final Sprint 4 S4-REG-03 career-analysis regression passed.</x:v>
      </x:c>
      <x:c r="O98" s="34" t="str">
        <x:v>S3-EV-008</x:v>
      </x:c>
      <x:c r="P98" s="34"/>
      <x:c r="Q98" s="34" t="str">
        <x:v>Hybrid</x:v>
      </x:c>
      <x:c r="R98" s="34" t="str">
        <x:v>Formal closeout regression and evidence reconciliation. Later verified successor evidence is used where final Sprint 3 integration occurred during Sprint 4.</x:v>
      </x:c>
    </x:row>
    <x:row r="99">
      <x:c r="A99" s="34" t="str">
        <x:v>S3-TC-094</x:v>
      </x:c>
      <x:c r="B99" s="34" t="str">
        <x:v>6.9</x:v>
      </x:c>
      <x:c r="C99" s="34" t="str">
        <x:v>Sprint 3 Testing</x:v>
      </x:c>
      <x:c r="D99" s="34" t="str">
        <x:v>NFR-11</x:v>
      </x:c>
      <x:c r="E99" s="34" t="str">
        <x:v>High</x:v>
      </x:c>
      <x:c r="F99" s="34" t="str">
        <x:v>Compatibility</x:v>
      </x:c>
      <x:c r="G99" s="34" t="str">
        <x:v>Browser compatibility: Chrome</x:v>
      </x:c>
      <x:c r="H99" s="34" t="str">
        <x:v>WBS 6.8 integration complete.</x:v>
      </x:c>
      <x:c r="I99" s="34" t="str">
        <x:v>Run Sprint 3 happy path in current Chrome.</x:v>
      </x:c>
      <x:c r="J99" s="34" t="str">
        <x:v>Core Sprint 3 flow works.</x:v>
      </x:c>
      <x:c r="K99" s="34" t="str">
        <x:v>Joyee</x:v>
      </x:c>
      <x:c r="L99" s="34" t="str">
        <x:v>Pass</x:v>
      </x:c>
      <x:c r="M99" s="34"/>
      <x:c r="N99" s="34" t="str">
        <x:v>PASS at formal closeout. Chrome compatibility is accepted from final Sprint 4 WBS 7.9 compatibility testing, where all 129 planned Sprint 4 cases passed.</x:v>
      </x:c>
      <x:c r="O99" s="34" t="str">
        <x:v>S3-EV-008</x:v>
      </x:c>
      <x:c r="P99" s="34"/>
      <x:c r="Q99" s="34" t="str">
        <x:v>Manual</x:v>
      </x:c>
      <x:c r="R99" s="34" t="str">
        <x:v>Formal closeout regression and evidence reconciliation. Later verified successor evidence is used where final Sprint 3 integration occurred during Sprint 4.</x:v>
      </x:c>
    </x:row>
    <x:row r="100">
      <x:c r="A100" s="34" t="str">
        <x:v>S3-TC-095</x:v>
      </x:c>
      <x:c r="B100" s="34" t="str">
        <x:v>6.9</x:v>
      </x:c>
      <x:c r="C100" s="34" t="str">
        <x:v>Sprint 3 Testing</x:v>
      </x:c>
      <x:c r="D100" s="34" t="str">
        <x:v>NFR-11</x:v>
      </x:c>
      <x:c r="E100" s="34" t="str">
        <x:v>High</x:v>
      </x:c>
      <x:c r="F100" s="34" t="str">
        <x:v>Compatibility</x:v>
      </x:c>
      <x:c r="G100" s="34" t="str">
        <x:v>Browser compatibility: Edge</x:v>
      </x:c>
      <x:c r="H100" s="34" t="str">
        <x:v>WBS 6.8 integration complete.</x:v>
      </x:c>
      <x:c r="I100" s="34" t="str">
        <x:v>Run Sprint 3 happy path in current Edge.</x:v>
      </x:c>
      <x:c r="J100" s="34" t="str">
        <x:v>Core Sprint 3 flow works.</x:v>
      </x:c>
      <x:c r="K100" s="34" t="str">
        <x:v>Joyee</x:v>
      </x:c>
      <x:c r="L100" s="34" t="str">
        <x:v>Pass</x:v>
      </x:c>
      <x:c r="M100" s="34"/>
      <x:c r="N100" s="34" t="str">
        <x:v>PASS at formal closeout. Edge compatibility is accepted from final Sprint 4 WBS 7.9 compatibility testing, where all 129 planned Sprint 4 cases passed.</x:v>
      </x:c>
      <x:c r="O100" s="34" t="str">
        <x:v>S3-EV-008</x:v>
      </x:c>
      <x:c r="P100" s="34"/>
      <x:c r="Q100" s="34" t="str">
        <x:v>Manual</x:v>
      </x:c>
      <x:c r="R100" s="34" t="str">
        <x:v>Formal closeout regression and evidence reconciliation. Later verified successor evidence is used where final Sprint 3 integration occurred during Sprint 4.</x:v>
      </x:c>
    </x:row>
    <x:row r="101">
      <x:c r="A101" s="34" t="str">
        <x:v>S3-TC-096</x:v>
      </x:c>
      <x:c r="B101" s="34" t="str">
        <x:v>6.9</x:v>
      </x:c>
      <x:c r="C101" s="34" t="str">
        <x:v>Sprint 3 Testing</x:v>
      </x:c>
      <x:c r="D101" s="34" t="str">
        <x:v>NFR-11</x:v>
      </x:c>
      <x:c r="E101" s="34" t="str">
        <x:v>High</x:v>
      </x:c>
      <x:c r="F101" s="34" t="str">
        <x:v>Compatibility</x:v>
      </x:c>
      <x:c r="G101" s="34" t="str">
        <x:v>Browser compatibility: Firefox</x:v>
      </x:c>
      <x:c r="H101" s="34" t="str">
        <x:v>WBS 6.8 integration complete.</x:v>
      </x:c>
      <x:c r="I101" s="34" t="str">
        <x:v>Run Sprint 3 happy path in current Firefox.</x:v>
      </x:c>
      <x:c r="J101" s="34" t="str">
        <x:v>Core Sprint 3 flow works.</x:v>
      </x:c>
      <x:c r="K101" s="34" t="str">
        <x:v>Joyee</x:v>
      </x:c>
      <x:c r="L101" s="34" t="str">
        <x:v>Pass</x:v>
      </x:c>
      <x:c r="M101" s="34"/>
      <x:c r="N101" s="34" t="str">
        <x:v>PASS at formal closeout. Firefox compatibility is accepted from final Sprint 4 WBS 7.9 compatibility testing, where all 129 planned Sprint 4 cases passed.</x:v>
      </x:c>
      <x:c r="O101" s="34" t="str">
        <x:v>S3-EV-008</x:v>
      </x:c>
      <x:c r="P101" s="34"/>
      <x:c r="Q101" s="34" t="str">
        <x:v>Manual</x:v>
      </x:c>
      <x:c r="R101" s="34" t="str">
        <x:v>Formal closeout regression and evidence reconciliation. Later verified successor evidence is used where final Sprint 3 integration occurred during Sprint 4.</x:v>
      </x:c>
    </x:row>
    <x:row r="102">
      <x:c r="A102" s="34" t="str">
        <x:v>S3-TC-097</x:v>
      </x:c>
      <x:c r="B102" s="34" t="str">
        <x:v>6.9</x:v>
      </x:c>
      <x:c r="C102" s="34" t="str">
        <x:v>Sprint 3 Testing</x:v>
      </x:c>
      <x:c r="D102" s="34" t="str">
        <x:v>NFR-02</x:v>
      </x:c>
      <x:c r="E102" s="34" t="str">
        <x:v>High</x:v>
      </x:c>
      <x:c r="F102" s="34" t="str">
        <x:v>UI</x:v>
      </x:c>
      <x:c r="G102" s="34" t="str">
        <x:v>Responsive layout review</x:v>
      </x:c>
      <x:c r="H102" s="34" t="str">
        <x:v>WBS 6.8 integration complete.</x:v>
      </x:c>
      <x:c r="I102" s="34" t="str">
        <x:v>Check core Sprint 3 pages at desktop/tablet/mobile widths.</x:v>
      </x:c>
      <x:c r="J102" s="34" t="str">
        <x:v>Pages remain usable.</x:v>
      </x:c>
      <x:c r="K102" s="34" t="str">
        <x:v>Joyee</x:v>
      </x:c>
      <x:c r="L102" s="34" t="str">
        <x:v>Pass</x:v>
      </x:c>
      <x:c r="M102" s="34"/>
      <x:c r="N102" s="34" t="str">
        <x:v>PASS at formal closeout. PR #78 records manual verification at desktop, tablet, and mobile layouts, with final WBS 7.9 responsive checks completed.</x:v>
      </x:c>
      <x:c r="O102" s="34" t="str">
        <x:v>S3-EV-008</x:v>
      </x:c>
      <x:c r="P102" s="34"/>
      <x:c r="Q102" s="34" t="str">
        <x:v>Manual</x:v>
      </x:c>
      <x:c r="R102" s="34" t="str">
        <x:v>Formal closeout regression and evidence reconciliation. Later verified successor evidence is used where final Sprint 3 integration occurred during Sprint 4.</x:v>
      </x:c>
    </x:row>
    <x:row r="103">
      <x:c r="A103" s="34" t="str">
        <x:v>S3-TC-098</x:v>
      </x:c>
      <x:c r="B103" s="34" t="str">
        <x:v>6.9</x:v>
      </x:c>
      <x:c r="C103" s="34" t="str">
        <x:v>Sprint 3 Testing</x:v>
      </x:c>
      <x:c r="D103" s="34" t="str">
        <x:v>NFR-10</x:v>
      </x:c>
      <x:c r="E103" s="34" t="str">
        <x:v>High</x:v>
      </x:c>
      <x:c r="F103" s="34" t="str">
        <x:v>UI</x:v>
      </x:c>
      <x:c r="G103" s="34" t="str">
        <x:v>Accessibility basics review</x:v>
      </x:c>
      <x:c r="H103" s="34" t="str">
        <x:v>WBS 6.8 integration complete.</x:v>
      </x:c>
      <x:c r="I103" s="34" t="str">
        <x:v>Check labels, keyboard flow, focus, contrast, validation.</x:v>
      </x:c>
      <x:c r="J103" s="34" t="str">
        <x:v>Core interactions satisfy planned accessibility basics.</x:v>
      </x:c>
      <x:c r="K103" s="34" t="str">
        <x:v>Joyee</x:v>
      </x:c>
      <x:c r="L103" s="34" t="str">
        <x:v>Pass</x:v>
      </x:c>
      <x:c r="M103" s="34"/>
      <x:c r="N103" s="34" t="str">
        <x:v>PASS at formal closeout. Accessibility basics are accepted from the final WBS 7.9 closeout, which completed all planned Sprint 4 test cases as Pass.</x:v>
      </x:c>
      <x:c r="O103" s="34" t="str">
        <x:v>S3-EV-008</x:v>
      </x:c>
      <x:c r="P103" s="34"/>
      <x:c r="Q103" s="34" t="str">
        <x:v>Manual</x:v>
      </x:c>
      <x:c r="R103" s="34" t="str">
        <x:v>Formal closeout regression and evidence reconciliation. Later verified successor evidence is used where final Sprint 3 integration occurred during Sprint 4.</x:v>
      </x:c>
    </x:row>
    <x:row r="104">
      <x:c r="A104" s="34" t="str">
        <x:v>S3-TC-099</x:v>
      </x:c>
      <x:c r="B104" s="34" t="str">
        <x:v>6.9</x:v>
      </x:c>
      <x:c r="C104" s="34" t="str">
        <x:v>Sprint 3 Testing</x:v>
      </x:c>
      <x:c r="D104" s="34" t="str">
        <x:v>NFR-03,FR-18</x:v>
      </x:c>
      <x:c r="E104" s="34" t="str">
        <x:v>High</x:v>
      </x:c>
      <x:c r="F104" s="34" t="str">
        <x:v>Reliability</x:v>
      </x:c>
      <x:c r="G104" s="34" t="str">
        <x:v>AI timeout/loading behaviour is controlled</x:v>
      </x:c>
      <x:c r="H104" s="34" t="str">
        <x:v>WBS 6.8 integration complete.</x:v>
      </x:c>
      <x:c r="I104" s="34" t="str">
        <x:v>Observe AI loading state and configured timeout/error handling.</x:v>
      </x:c>
      <x:c r="J104" s="34" t="str">
        <x:v>User sees loading and controlled timeout failure.</x:v>
      </x:c>
      <x:c r="K104" s="34" t="str">
        <x:v>All Members</x:v>
      </x:c>
      <x:c r="L104" s="34" t="str">
        <x:v>Pass</x:v>
      </x:c>
      <x:c r="M104" s="34"/>
      <x:c r="N104" s="34" t="str">
        <x:v>PASS at formal closeout. PR #74 verified controlled provider failure and timeout handling, PR #78 verified user-facing AI workflow states, and final WBS 7.9 provider-failure coverage passed.</x:v>
      </x:c>
      <x:c r="O104" s="34" t="str">
        <x:v>S3-EV-008</x:v>
      </x:c>
      <x:c r="P104" s="34"/>
      <x:c r="Q104" s="34" t="str">
        <x:v>Hybrid</x:v>
      </x:c>
      <x:c r="R104" s="34" t="str">
        <x:v>Formal closeout regression and evidence reconciliation. Later verified successor evidence is used where final Sprint 3 integration occurred during Sprint 4.</x:v>
      </x:c>
    </x:row>
    <x:row r="105">
      <x:c r="A105" s="34" t="str">
        <x:v>S3-TC-100</x:v>
      </x:c>
      <x:c r="B105" s="34" t="str">
        <x:v>6.9</x:v>
      </x:c>
      <x:c r="C105" s="34" t="str">
        <x:v>Sprint 3 Testing</x:v>
      </x:c>
      <x:c r="D105" s="34" t="str">
        <x:v>NFR-12</x:v>
      </x:c>
      <x:c r="E105" s="34" t="str">
        <x:v>Critical</x:v>
      </x:c>
      <x:c r="F105" s="34" t="str">
        <x:v>Test Management</x:v>
      </x:c>
      <x:c r="G105" s="34" t="str">
        <x:v>Sprint 3 evidence and defect tracker are complete</x:v>
      </x:c>
      <x:c r="H105" s="34" t="str">
        <x:v>WBS 6.8 integration complete.</x:v>
      </x:c>
      <x:c r="I105" s="34" t="str">
        <x:v>Review tracker, evidence index, failures, retests, and deferred defects.</x:v>
      </x:c>
      <x:c r="J105" s="34" t="str">
        <x:v>Every executed case has status; failures have defect/retest trace; exit decision is auditable.</x:v>
      </x:c>
      <x:c r="K105" s="34" t="str">
        <x:v>Jerald</x:v>
      </x:c>
      <x:c r="L105" s="34" t="str">
        <x:v>Pass</x:v>
      </x:c>
      <x:c r="M105" s="34"/>
      <x:c r="N105" s="34" t="str">
        <x:v>PASS. Formal Sprint 3 closeout reconciled all 100 test cases, updated S3-EV-005 through S3-EV-008, recorded successor verification references, and left no Fail, Blocked, Not Run, or Retest cases.</x:v>
      </x:c>
      <x:c r="O105" s="34" t="str">
        <x:v>S3-EV-008</x:v>
      </x:c>
      <x:c r="P105" s="34"/>
      <x:c r="Q105" s="34" t="str">
        <x:v>Manual</x:v>
      </x:c>
      <x:c r="R105" s="34" t="str">
        <x:v>Formal closeout regression and evidence reconciliation. Later verified successor evidence is used where final Sprint 3 integration occurred during Sprint 4.</x:v>
      </x:c>
    </x:row>
  </x:sheetData>
  <x:mergeCells>
    <x:mergeCell ref="A1:R1"/>
    <x:mergeCell ref="A2:R2"/>
    <x:mergeCell ref="A3:R3"/>
  </x:mergeCells>
  <x:conditionalFormatting sqref="L6:L105">
    <x:cfRule type="expression" dxfId="0" priority="1">
      <x:formula>L6="Pass"</x:formula>
    </x:cfRule>
    <x:cfRule type="expression" dxfId="1" priority="2">
      <x:formula>L6="Fail"</x:formula>
    </x:cfRule>
    <x:cfRule type="expression" dxfId="2" priority="3">
      <x:formula>L6="Blocked"</x:formula>
    </x:cfRule>
    <x:cfRule type="expression" dxfId="3" priority="4">
      <x:formula>L6="Not Run"</x:formula>
    </x:cfRule>
    <x:cfRule type="expression" dxfId="4" priority="5">
      <x:formula>L6="Retest"</x:formula>
    </x:cfRule>
  </x:conditionalFormatting>
  <x:dataValidations count="4">
    <x:dataValidation type="list" sqref="E6:E105">
      <x:formula1>"Critical,High,Medium,Low"</x:formula1>
    </x:dataValidation>
    <x:dataValidation type="list" sqref="K6:K105">
      <x:formula1>"Jerald,MD,Joyee,All Members"</x:formula1>
    </x:dataValidation>
    <x:dataValidation type="list" sqref="L6:L105">
      <x:formula1>"Pass,Fail,Blocked,Not Run,Retest"</x:formula1>
    </x:dataValidation>
    <x:dataValidation type="list" sqref="Q6:Q105">
      <x:formula1>"Automated,Manual,Hybrid"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8bcfffad094c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6" hidden="0" customWidth="1"/>
    <x:col min="5" max="5" width="40" hidden="0" customWidth="1"/>
    <x:col min="6" max="6" width="58" hidden="0" customWidth="1"/>
    <x:col min="7" max="7" width="15" hidden="0" customWidth="1"/>
    <x:col min="8" max="8" width="12" hidden="0" customWidth="1"/>
    <x:col min="9" max="9" width="16" hidden="0" customWidth="1"/>
    <x:col min="10" max="10" width="34" hidden="0" customWidth="1"/>
  </x:cols>
  <x:sheetData>
    <x:row r="1">
      <x:c r="A1" s="5" t="str">
        <x:v>GradNavi Sprint 3 Evidence Index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Evidence repository: docs/testing/evidence/sprint-3/ | Add one row per evidence item or evidence group.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5">
      <x:c r="A5" s="28" t="str">
        <x:v>Evidence ID</x:v>
      </x:c>
      <x:c r="B5" s="28" t="str">
        <x:v>Related Test IDs</x:v>
      </x:c>
      <x:c r="C5" s="28" t="str">
        <x:v>WBS</x:v>
      </x:c>
      <x:c r="D5" s="28" t="str">
        <x:v>Evidence Type</x:v>
      </x:c>
      <x:c r="E5" s="28" t="str">
        <x:v>Description</x:v>
      </x:c>
      <x:c r="F5" s="28" t="str">
        <x:v>Repository Path / Planned File</x:v>
      </x:c>
      <x:c r="G5" s="28" t="str">
        <x:v>Owner</x:v>
      </x:c>
      <x:c r="H5" s="28" t="str">
        <x:v>Status</x:v>
      </x:c>
      <x:c r="I5" s="28" t="str">
        <x:v>Captured Date</x:v>
      </x:c>
      <x:c r="J5" s="28" t="str">
        <x:v>Notes</x:v>
      </x:c>
    </x:row>
    <x:row r="6">
      <x:c r="A6" s="34" t="str">
        <x:v>S3-EV-001A</x:v>
      </x:c>
      <x:c r="B6" s="34" t="str">
        <x:v>S3-TC-006:S3-TC-017</x:v>
      </x:c>
      <x:c r="C6" s="34" t="str">
        <x:v>6.2</x:v>
      </x:c>
      <x:c r="D6" s="34" t="str">
        <x:v>Screenshot</x:v>
      </x:c>
      <x:c r="E6" s="34" t="str">
        <x:v>WBS 6.2 AI focused test-suite count</x:v>
      </x:c>
      <x:c r="F6" s="34" t="str">
        <x:v>docs/testing/evidence/sprint-3/S3-EV-001A-wbs-6.2-ai-test-suite-count.png</x:v>
      </x:c>
      <x:c r="G6" s="34" t="str">
        <x:v>Jerald</x:v>
      </x:c>
      <x:c r="H6" s="34" t="str">
        <x:v>Captured</x:v>
      </x:c>
      <x:c r="I6" s="34" t="str"/>
      <x:c r="J6" s="34" t="str">
        <x:v>Existing repository evidence</x:v>
      </x:c>
    </x:row>
    <x:row r="7">
      <x:c r="A7" s="34" t="str">
        <x:v>S3-EV-001B</x:v>
      </x:c>
      <x:c r="B7" s="34" t="str">
        <x:v>S3-TC-006:S3-TC-017</x:v>
      </x:c>
      <x:c r="C7" s="34" t="str">
        <x:v>6.2</x:v>
      </x:c>
      <x:c r="D7" s="34" t="str">
        <x:v>Screenshot</x:v>
      </x:c>
      <x:c r="E7" s="34" t="str">
        <x:v>WBS 6.2 AI focused test-suite pass</x:v>
      </x:c>
      <x:c r="F7" s="34" t="str">
        <x:v>docs/testing/evidence/sprint-3/S3-EV-001B-wbs-6.2-ai-test-suite-pass.png</x:v>
      </x:c>
      <x:c r="G7" s="34" t="str">
        <x:v>Jerald</x:v>
      </x:c>
      <x:c r="H7" s="34" t="str">
        <x:v>Captured</x:v>
      </x:c>
      <x:c r="I7" s="34" t="str"/>
      <x:c r="J7" s="34" t="str">
        <x:v>Existing repository evidence</x:v>
      </x:c>
    </x:row>
    <x:row r="8">
      <x:c r="A8" s="34" t="str">
        <x:v>S3-EV-001C</x:v>
      </x:c>
      <x:c r="B8" s="34" t="str">
        <x:v>S3-TC-016</x:v>
      </x:c>
      <x:c r="C8" s="34" t="str">
        <x:v>6.2</x:v>
      </x:c>
      <x:c r="D8" s="34" t="str">
        <x:v>Screenshot</x:v>
      </x:c>
      <x:c r="E8" s="34" t="str">
        <x:v>WBS 6.2 full backend regression count</x:v>
      </x:c>
      <x:c r="F8" s="34" t="str">
        <x:v>docs/testing/evidence/sprint-3/S3-EV-001C-full-backend-regression-count.png</x:v>
      </x:c>
      <x:c r="G8" s="34" t="str">
        <x:v>Jerald</x:v>
      </x:c>
      <x:c r="H8" s="34" t="str">
        <x:v>Captured</x:v>
      </x:c>
      <x:c r="I8" s="34" t="str"/>
      <x:c r="J8" s="34" t="str">
        <x:v>Existing repository evidence</x:v>
      </x:c>
    </x:row>
    <x:row r="9">
      <x:c r="A9" s="34" t="str">
        <x:v>S3-EV-001D</x:v>
      </x:c>
      <x:c r="B9" s="34" t="str">
        <x:v>S3-TC-016</x:v>
      </x:c>
      <x:c r="C9" s="34" t="str">
        <x:v>6.2</x:v>
      </x:c>
      <x:c r="D9" s="34" t="str">
        <x:v>Screenshot</x:v>
      </x:c>
      <x:c r="E9" s="34" t="str">
        <x:v>WBS 6.2 backend regression pass and Django check</x:v>
      </x:c>
      <x:c r="F9" s="34" t="str">
        <x:v>docs/testing/evidence/sprint-3/S3-EV-001D-full-backend-regression-pass-and-django-check.png</x:v>
      </x:c>
      <x:c r="G9" s="34" t="str">
        <x:v>Jerald</x:v>
      </x:c>
      <x:c r="H9" s="34" t="str">
        <x:v>Captured</x:v>
      </x:c>
      <x:c r="I9" s="34" t="str"/>
      <x:c r="J9" s="34" t="str">
        <x:v>Existing repository evidence</x:v>
      </x:c>
    </x:row>
    <x:row r="10">
      <x:c r="A10" s="34" t="str">
        <x:v>S3-EV-001E</x:v>
      </x:c>
      <x:c r="B10" s="34" t="str">
        <x:v>S3-TC-017</x:v>
      </x:c>
      <x:c r="C10" s="34" t="str">
        <x:v>6.2</x:v>
      </x:c>
      <x:c r="D10" s="34" t="str">
        <x:v>Screenshot</x:v>
      </x:c>
      <x:c r="E10" s="34" t="str">
        <x:v>WBS 6.2 branch status and commits</x:v>
      </x:c>
      <x:c r="F10" s="34" t="str">
        <x:v>docs/testing/evidence/sprint-3/S3-EV-001E-wbs-6.2-branch-status-and-commits.png</x:v>
      </x:c>
      <x:c r="G10" s="34" t="str">
        <x:v>Jerald</x:v>
      </x:c>
      <x:c r="H10" s="34" t="str">
        <x:v>Captured</x:v>
      </x:c>
      <x:c r="I10" s="34" t="str"/>
      <x:c r="J10" s="34" t="str">
        <x:v>Existing repository evidence</x:v>
      </x:c>
    </x:row>
    <x:row r="11">
      <x:c r="A11" s="34" t="str">
        <x:v>S3-EV-002A</x:v>
      </x:c>
      <x:c r="B11" s="34" t="str">
        <x:v>S3-TC-048:S3-TC-061</x:v>
      </x:c>
      <x:c r="C11" s="34" t="str">
        <x:v>6.6</x:v>
      </x:c>
      <x:c r="D11" s="34" t="str">
        <x:v>Screenshot</x:v>
      </x:c>
      <x:c r="E11" s="34" t="str">
        <x:v>WBS 6.6 focused interview test-suite count</x:v>
      </x:c>
      <x:c r="F11" s="34" t="str">
        <x:v>docs/testing/evidence/sprint-3/S3-EV-002A-wbs-6.6-focused-test-suite-count.png</x:v>
      </x:c>
      <x:c r="G11" s="34" t="str">
        <x:v>Jerald</x:v>
      </x:c>
      <x:c r="H11" s="34" t="str">
        <x:v>Captured</x:v>
      </x:c>
      <x:c r="I11" s="34" t="str"/>
      <x:c r="J11" s="34" t="str">
        <x:v>WBS 6.6 component evidence captured before merge; PR #38 is now merged into feature/sprint-3.</x:v>
      </x:c>
    </x:row>
    <x:row r="12">
      <x:c r="A12" s="34" t="str">
        <x:v>S3-EV-002B</x:v>
      </x:c>
      <x:c r="B12" s="34" t="str">
        <x:v>S3-TC-048:S3-TC-061</x:v>
      </x:c>
      <x:c r="C12" s="34" t="str">
        <x:v>6.6</x:v>
      </x:c>
      <x:c r="D12" s="34" t="str">
        <x:v>Screenshot</x:v>
      </x:c>
      <x:c r="E12" s="34" t="str">
        <x:v>WBS 6.6 focused interview test-suite pass</x:v>
      </x:c>
      <x:c r="F12" s="34" t="str">
        <x:v>docs/testing/evidence/sprint-3/S3-EV-002B-wbs-6.6-focused-test-suite-pass.png</x:v>
      </x:c>
      <x:c r="G12" s="34" t="str">
        <x:v>Jerald</x:v>
      </x:c>
      <x:c r="H12" s="34" t="str">
        <x:v>Captured</x:v>
      </x:c>
      <x:c r="I12" s="34" t="str"/>
      <x:c r="J12" s="34" t="str">
        <x:v>WBS 6.6 component evidence captured before merge; PR #38 is now merged into feature/sprint-3.</x:v>
      </x:c>
    </x:row>
    <x:row r="13">
      <x:c r="A13" s="34" t="str">
        <x:v>S3-EV-002C</x:v>
      </x:c>
      <x:c r="B13" s="34" t="str">
        <x:v>S3-TC-061</x:v>
      </x:c>
      <x:c r="C13" s="34" t="str">
        <x:v>6.6</x:v>
      </x:c>
      <x:c r="D13" s="34" t="str">
        <x:v>Screenshot</x:v>
      </x:c>
      <x:c r="E13" s="34" t="str">
        <x:v>WBS 6.6 full backend regression count</x:v>
      </x:c>
      <x:c r="F13" s="34" t="str">
        <x:v>docs/testing/evidence/sprint-3/S3-EV-002C-wbs-6.6-full-backend-regression-count.png</x:v>
      </x:c>
      <x:c r="G13" s="34" t="str">
        <x:v>Jerald</x:v>
      </x:c>
      <x:c r="H13" s="34" t="str">
        <x:v>Captured</x:v>
      </x:c>
      <x:c r="I13" s="34" t="str"/>
      <x:c r="J13" s="34" t="str">
        <x:v>WBS 6.6 component evidence captured before merge; latest shared regression is recorded in S3-EV-009.</x:v>
      </x:c>
    </x:row>
    <x:row r="14">
      <x:c r="A14" s="34" t="str">
        <x:v>S3-EV-002D</x:v>
      </x:c>
      <x:c r="B14" s="34" t="str">
        <x:v>S3-TC-061</x:v>
      </x:c>
      <x:c r="C14" s="34" t="str">
        <x:v>6.6</x:v>
      </x:c>
      <x:c r="D14" s="34" t="str">
        <x:v>Screenshot</x:v>
      </x:c>
      <x:c r="E14" s="34" t="str">
        <x:v>WBS 6.6 full backend regression pass</x:v>
      </x:c>
      <x:c r="F14" s="34" t="str">
        <x:v>docs/testing/evidence/sprint-3/S3-EV-002D-wbs-6.6-full-backend-regression-pass.png</x:v>
      </x:c>
      <x:c r="G14" s="34" t="str">
        <x:v>Jerald</x:v>
      </x:c>
      <x:c r="H14" s="34" t="str">
        <x:v>Captured</x:v>
      </x:c>
      <x:c r="I14" s="34" t="str"/>
      <x:c r="J14" s="34" t="str">
        <x:v>WBS 6.6 component evidence captured before merge; latest shared regression is recorded in S3-EV-009.</x:v>
      </x:c>
    </x:row>
    <x:row r="15">
      <x:c r="A15" s="34" t="str">
        <x:v>S3-EV-002E</x:v>
      </x:c>
      <x:c r="B15" s="34" t="str">
        <x:v>S3-TC-061</x:v>
      </x:c>
      <x:c r="C15" s="34" t="str">
        <x:v>6.6</x:v>
      </x:c>
      <x:c r="D15" s="34" t="str">
        <x:v>Screenshot</x:v>
      </x:c>
      <x:c r="E15" s="34" t="str">
        <x:v>WBS 6.6 Django check, branch status, and commits</x:v>
      </x:c>
      <x:c r="F15" s="34" t="str">
        <x:v>docs/testing/evidence/sprint-3/S3-EV-002E-wbs-6.6-django-check-branch-status-commits.png</x:v>
      </x:c>
      <x:c r="G15" s="34" t="str">
        <x:v>Jerald</x:v>
      </x:c>
      <x:c r="H15" s="34" t="str">
        <x:v>Captured</x:v>
      </x:c>
      <x:c r="I15" s="34" t="str"/>
      <x:c r="J15" s="34" t="str">
        <x:v>WBS 6.6 branch evidence captured; PR #38 is now merged into feature/sprint-3.</x:v>
      </x:c>
    </x:row>
    <x:row r="16">
      <x:c r="A16" s="34" t="str">
        <x:v>S3-EV-003</x:v>
      </x:c>
      <x:c r="B16" s="34" t="str">
        <x:v>S3-TC-018:S3-TC-027</x:v>
      </x:c>
      <x:c r="C16" s="34" t="str">
        <x:v>6.3</x:v>
      </x:c>
      <x:c r="D16" s="34" t="str">
        <x:v>Screenshot</x:v>
      </x:c>
      <x:c r="E16" s="34" t="str">
        <x:v>Resume backend verification within current shared Sprint 3 backend regression</x:v>
      </x:c>
      <x:c r="F16" s="34" t="str">
        <x:v>docs/testing/evidence/sprint-3/S3-EV-009A-shared-backend-regression.png</x:v>
      </x:c>
      <x:c r="G16" s="34" t="str">
        <x:v>MD</x:v>
      </x:c>
      <x:c r="H16" s="34" t="str">
        <x:v>Captured</x:v>
      </x:c>
      <x:c r="I16" s="79" t="n">
        <x:v>46278</x:v>
      </x:c>
      <x:c r="J16" s="34" t="str">
        <x:v>Resume-generation tests are included in the verified 410-test shared backend run. Dedicated focused WBS 6.3 evidence can still be added.</x:v>
      </x:c>
    </x:row>
    <x:row r="17">
      <x:c r="A17" s="34" t="str">
        <x:v>S3-EV-004A</x:v>
      </x:c>
      <x:c r="B17" s="34" t="str">
        <x:v>S3-TC-028:S3-TC-037</x:v>
      </x:c>
      <x:c r="C17" s="34" t="str">
        <x:v>6.4</x:v>
      </x:c>
      <x:c r="D17" s="34" t="str">
        <x:v>Screenshot</x:v>
      </x:c>
      <x:c r="E17" s="34" t="str">
        <x:v>WBS 6.4 documents focused test suite</x:v>
      </x:c>
      <x:c r="F17" s="34" t="str">
        <x:v>docs/testing/evidence/sprint-3/S3-EV-004A-wbs-6.4-documents-tests.png</x:v>
      </x:c>
      <x:c r="G17" s="34" t="str">
        <x:v>Jerald</x:v>
      </x:c>
      <x:c r="H17" s="34" t="str">
        <x:v>Captured</x:v>
      </x:c>
      <x:c r="I17" s="79" t="n">
        <x:v>46278</x:v>
      </x:c>
      <x:c r="J17" s="34" t="str">
        <x:v>Fresh post-merge evidence: 48/48 documents tests passed in 31.948s; exit code 0.</x:v>
      </x:c>
    </x:row>
    <x:row r="18" ht="54" customHeight="1">
      <x:c r="A18" s="34" t="str">
        <x:v>S3-EV-005</x:v>
      </x:c>
      <x:c r="B18" s="34" t="str">
        <x:v>S3-TC-004:S3-TC-005; S3-TC-038:S3-TC-047</x:v>
      </x:c>
      <x:c r="C18" s="34" t="str">
        <x:v>6.5/6.9</x:v>
      </x:c>
      <x:c r="D18" s="34" t="str">
        <x:v>Closeout traceability</x:v>
      </x:c>
      <x:c r="E18" s="34" t="str">
        <x:v>Document interface, frontend lint/build, responsive and accessibility verification accepted from verified implementation and later integrated workflow evidence</x:v>
      </x:c>
      <x:c r="F18" s="34" t="str">
        <x:v>PR #59: https://github.com/JeraldBucud/GradNavi/pull/59 | PR #78: https://github.com/JeraldBucud/GradNavi/pull/78</x:v>
      </x:c>
      <x:c r="G18" s="34" t="str">
        <x:v>Joyee</x:v>
      </x:c>
      <x:c r="H18" s="34" t="str">
        <x:v>Captured</x:v>
      </x:c>
      <x:c r="I18" s="84" t="n">
        <x:v>46304</x:v>
      </x:c>
      <x:c r="J18" s="34" t="str">
        <x:v>Formal Sprint 3 closeout accepts verified later integration evidence. No rerun was requested during closeout.</x:v>
      </x:c>
    </x:row>
    <x:row r="19" ht="54" customHeight="1">
      <x:c r="A19" s="34" t="str">
        <x:v>S3-EV-006</x:v>
      </x:c>
      <x:c r="B19" s="34" t="str">
        <x:v>S3-TC-062:S3-TC-071</x:v>
      </x:c>
      <x:c r="C19" s="34" t="str">
        <x:v>6.7</x:v>
      </x:c>
      <x:c r="D19" s="34" t="str">
        <x:v>Closeout traceability</x:v>
      </x:c>
      <x:c r="E19" s="34" t="str">
        <x:v>Interview Preparation interface, question/answer flow, feedback, error handling, responsive behaviour and compatibility accepted from later integrated implementation</x:v>
      </x:c>
      <x:c r="F19" s="34" t="str">
        <x:v>PR #63: https://github.com/JeraldBucud/GradNavi/pull/63 | PR #74: https://github.com/JeraldBucud/GradNavi/pull/74 | PR #78: https://github.com/JeraldBucud/GradNavi/pull/78</x:v>
      </x:c>
      <x:c r="G19" s="34" t="str">
        <x:v>Joyee</x:v>
      </x:c>
      <x:c r="H19" s="34" t="str">
        <x:v>Captured</x:v>
      </x:c>
      <x:c r="I19" s="84" t="n">
        <x:v>46304</x:v>
      </x:c>
      <x:c r="J19" s="34" t="str">
        <x:v>PR #63 closed without merge to feature/sprint-3. The final WBS 6.7 implementation was superseded and integrated through PR #78; PR #74 records later Interview AI validation.</x:v>
      </x:c>
    </x:row>
    <x:row r="20" ht="54" customHeight="1">
      <x:c r="A20" s="34" t="str">
        <x:v>S3-EV-007</x:v>
      </x:c>
      <x:c r="B20" s="34" t="str">
        <x:v>S3-TC-001; S3-TC-072:S3-TC-085</x:v>
      </x:c>
      <x:c r="C20" s="34" t="str">
        <x:v>6.8</x:v>
      </x:c>
      <x:c r="D20" s="34" t="str">
        <x:v>Integration closeout</x:v>
      </x:c>
      <x:c r="E20" s="34" t="str">
        <x:v>Sprint 3 end-to-end integration, Student context, security, review-state and core-flow verification accepted from the verified successor integration baseline</x:v>
      </x:c>
      <x:c r="F20" s="34" t="str">
        <x:v>PR #78: https://github.com/JeraldBucud/GradNavi/pull/78 | PR #67: https://github.com/JeraldBucud/GradNavi/pull/67</x:v>
      </x:c>
      <x:c r="G20" s="34" t="str">
        <x:v>All Members</x:v>
      </x:c>
      <x:c r="H20" s="34" t="str">
        <x:v>Captured</x:v>
      </x:c>
      <x:c r="I20" s="84" t="n">
        <x:v>46304</x:v>
      </x:c>
      <x:c r="J20" s="34" t="str">
        <x:v>WBS 6.5 merged to feature/sprint-3 through PR #59. Final WBS 6.7 integration occurred later through PR #78 on feature/sprint-4. Formal Sprint 3 closeout accepts the verified successor baseline.</x:v>
      </x:c>
    </x:row>
    <x:row r="21" ht="54" customHeight="1">
      <x:c r="A21" s="34" t="str">
        <x:v>S3-EV-008</x:v>
      </x:c>
      <x:c r="B21" s="34" t="str">
        <x:v>S3-TC-086:S3-TC-100</x:v>
      </x:c>
      <x:c r="C21" s="34" t="str">
        <x:v>6.9</x:v>
      </x:c>
      <x:c r="D21" s="34" t="str">
        <x:v>Regression closeout</x:v>
      </x:c>
      <x:c r="E21" s="34" t="str">
        <x:v>Final backend, Django, migration, frontend, regression, browser/responsive/accessibility and evidence closeout accepted from verified successor testing</x:v>
      </x:c>
      <x:c r="F21" s="34" t="str">
        <x:v>PR #74: https://github.com/JeraldBucud/GradNavi/pull/74 | PR #78: https://github.com/JeraldBucud/GradNavi/pull/78 | PR #67: https://github.com/JeraldBucud/GradNavi/pull/67 | docs/testing/sprint-4-test-cases.xlsx</x:v>
      </x:c>
      <x:c r="G21" s="34" t="str">
        <x:v>All Members</x:v>
      </x:c>
      <x:c r="H21" s="34" t="str">
        <x:v>Captured</x:v>
      </x:c>
      <x:c r="I21" s="84" t="n">
        <x:v>46304</x:v>
      </x:c>
      <x:c r="J21" s="34" t="str">
        <x:v>Successor Sprint 4 verification finished with 129/129 planned cases Pass. Formal Sprint 3 evidence reconciliation is complete.</x:v>
      </x:c>
    </x:row>
    <x:row r="22">
      <x:c r="A22" s="34" t="str">
        <x:v>S3-EV-009A</x:v>
      </x:c>
      <x:c r="B22" s="34" t="str">
        <x:v>S3-TC-001:S3-TC-003; S3-TC-018:S3-TC-027; S3-TC-037; S3-TC-061; S3-TC-086</x:v>
      </x:c>
      <x:c r="C22" s="34" t="str">
        <x:v>6.3/6.4/6.6/6.8/6.9</x:v>
      </x:c>
      <x:c r="D22" s="34" t="str">
        <x:v>Screenshot</x:v>
      </x:c>
      <x:c r="E22" s="34" t="str">
        <x:v>Shared feature/sprint-3 full backend regression</x:v>
      </x:c>
      <x:c r="F22" s="34" t="str">
        <x:v>docs/testing/evidence/sprint-3/S3-EV-009A-shared-backend-regression.png</x:v>
      </x:c>
      <x:c r="G22" s="34" t="str">
        <x:v>Jerald</x:v>
      </x:c>
      <x:c r="H22" s="34" t="str">
        <x:v>Captured</x:v>
      </x:c>
      <x:c r="I22" s="79" t="n">
        <x:v>46278</x:v>
      </x:c>
      <x:c r="J22" s="34" t="str">
        <x:v>Fresh shared-branch evidence: 410/410 backend tests passed in 172.904s; exit code 0.</x:v>
      </x:c>
    </x:row>
    <x:row r="23">
      <x:c r="A23" t="str">
        <x:v>S3-EV-009B</x:v>
      </x:c>
      <x:c r="B23" t="str">
        <x:v>S3-TC-087:S3-TC-088</x:v>
      </x:c>
      <x:c r="C23" t="str">
        <x:v>6.9</x:v>
      </x:c>
      <x:c r="D23" t="str">
        <x:v>Screenshot</x:v>
      </x:c>
      <x:c r="E23" s="34" t="str">
        <x:v>Shared feature/sprint-3 Django, migration, and Git baseline checks</x:v>
      </x:c>
      <x:c r="F23" s="34" t="str">
        <x:v>docs/testing/evidence/sprint-3/S3-EV-009B-shared-backend-checks-and-status.png</x:v>
      </x:c>
      <x:c r="G23" s="34" t="str">
        <x:v>Jerald</x:v>
      </x:c>
      <x:c r="H23" s="34" t="str">
        <x:v>Captured</x:v>
      </x:c>
      <x:c r="I23" s="79" t="n">
        <x:v>46278</x:v>
      </x:c>
      <x:c r="J23" s="34" t="str">
        <x:v>Django system check passed; makemigrations --check reported no changes; feature/sprint-3 was up to date and working tree clean.</x:v>
      </x:c>
    </x:row>
    <x:row r="24">
      <x:c r="A24" t="str">
        <x:v>S3-EV-002F</x:v>
      </x:c>
      <x:c r="B24" t="str">
        <x:v>S3-TC-048:S3-TC-061</x:v>
      </x:c>
      <x:c r="C24" t="str">
        <x:v>6.6</x:v>
      </x:c>
      <x:c r="D24" t="str">
        <x:v>Screenshot</x:v>
      </x:c>
      <x:c r="E24" s="34" t="str">
        <x:v>WBS 6.6 post-merge focused interview test suite</x:v>
      </x:c>
      <x:c r="F24" s="34" t="str">
        <x:v>docs/testing/evidence/sprint-3/S3-EV-002F-wbs-6.6-post-merge-interview-tests.png</x:v>
      </x:c>
      <x:c r="G24" s="34" t="str">
        <x:v>Jerald</x:v>
      </x:c>
      <x:c r="H24" s="34" t="str">
        <x:v>Captured</x:v>
      </x:c>
      <x:c r="I24" s="79" t="n">
        <x:v>46278</x:v>
      </x:c>
      <x:c r="J24" s="34" t="str">
        <x:v>Fresh post-merge evidence: 38/38 interview tests passed in 9.057s; exit code 0.</x:v>
      </x:c>
    </x:row>
  </x:sheetData>
  <x:mergeCells>
    <x:mergeCell ref="A1:J1"/>
    <x:mergeCell ref="A2:J2"/>
  </x:mergeCells>
  <x:dataValidations count="1">
    <x:dataValidation type="list" sqref="H6:H21">
      <x:formula1>"Captured,Planned,Blocked,Superseded"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dbc9da31ed48a9"/>
  </x:tableParts>
</x:worksheet>
</file>