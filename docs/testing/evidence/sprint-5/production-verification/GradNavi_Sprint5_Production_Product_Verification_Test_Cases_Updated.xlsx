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01_Downloads\"/>
    </mc:Choice>
  </mc:AlternateContent>
  <xr:revisionPtr revIDLastSave="0" documentId="13_ncr:1_{DD9073CC-7F33-47B1-8E30-0D275F8A72B8}" xr6:coauthVersionLast="47" xr6:coauthVersionMax="47" xr10:uidLastSave="{00000000-0000-0000-0000-000000000000}"/>
  <bookViews>
    <workbookView xWindow="-120" yWindow="16080" windowWidth="29040" windowHeight="15720" xr2:uid="{00000000-000D-0000-FFFF-FFFF00000000}"/>
  </bookViews>
  <sheets>
    <sheet name="Summary" sheetId="1" r:id="rId1"/>
    <sheet name="Test Cases" sheetId="2" r:id="rId2"/>
    <sheet name="Evidence Registe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 l="1"/>
  <c r="B9" i="1"/>
  <c r="B8" i="1"/>
  <c r="B7" i="1"/>
  <c r="B10" i="1" s="1"/>
  <c r="B6" i="1"/>
</calcChain>
</file>

<file path=xl/sharedStrings.xml><?xml version="1.0" encoding="utf-8"?>
<sst xmlns="http://schemas.openxmlformats.org/spreadsheetml/2006/main" count="564" uniqueCount="346">
  <si>
    <t>GradNavi | Production Product Verification</t>
  </si>
  <si>
    <t>WBS 8.9  •  13 October 2026  •  Live site: https://gradnavi.site</t>
  </si>
  <si>
    <t>METRIC</t>
  </si>
  <si>
    <t>RESULT</t>
  </si>
  <si>
    <t>Cases documented</t>
  </si>
  <si>
    <t>PASS (user-confirmed)</t>
  </si>
  <si>
    <t>FAIL</t>
  </si>
  <si>
    <t>Not Run</t>
  </si>
  <si>
    <t>Pass rate (reported)</t>
  </si>
  <si>
    <t>Screenshots linked</t>
  </si>
  <si>
    <t>Distinct roles</t>
  </si>
  <si>
    <t>Open observations</t>
  </si>
  <si>
    <t>EVIDENCE AND RESULT INTERPRETATION</t>
  </si>
  <si>
    <t>The project lead confirmed on 13 October 2026 that all 21 Production product screens passed, that relevant buttons were clicked, and that the complete Student Profile was built. Interaction PASS results are tester-reported. Screenshots corroborate visible states and populated workflows, but do not independently document each click or prove every underlying write/export/security result.</t>
  </si>
  <si>
    <t>OBSERVATIONS REQUIRING SEPARATE DISPOSITION</t>
  </si>
  <si>
    <t>Evidence ID</t>
  </si>
  <si>
    <t>Observation</t>
  </si>
  <si>
    <t>S5-PROD-EV-016</t>
  </si>
  <si>
    <t>User Management displays Last Login = Never on visible user rows. Behaviour not resolved by screenshot.</t>
  </si>
  <si>
    <t>S5-PROD-EV-020</t>
  </si>
  <si>
    <t>Resource Reports shows one open broken-link report, pending an administrator decision.</t>
  </si>
  <si>
    <t>RELEASE RECORD</t>
  </si>
  <si>
    <t>Website</t>
  </si>
  <si>
    <t>https://gradnavi.site</t>
  </si>
  <si>
    <t>Frontend</t>
  </si>
  <si>
    <t>Vercel Production</t>
  </si>
  <si>
    <t>Backend</t>
  </si>
  <si>
    <t>Railway Production</t>
  </si>
  <si>
    <t>Test date</t>
  </si>
  <si>
    <t>2026-10-13</t>
  </si>
  <si>
    <t>Source</t>
  </si>
  <si>
    <t>Project lead's screen-level PASS and button-interaction confirmation; 21 production screenshots</t>
  </si>
  <si>
    <t>Production Product Verification | Test Cases</t>
  </si>
  <si>
    <t>Scope: WBS 8.9 Production PRODUCT screen verification only. No WBS 8.6 independent UAT, automated security cases or full CRUD/export proofs included.</t>
  </si>
  <si>
    <t>Test Case ID</t>
  </si>
  <si>
    <t>Requirement</t>
  </si>
  <si>
    <t>Role</t>
  </si>
  <si>
    <t>Page / Feature</t>
  </si>
  <si>
    <t>Scenario</t>
  </si>
  <si>
    <t>Execution Steps</t>
  </si>
  <si>
    <t>Expected Result</t>
  </si>
  <si>
    <t>Actual Visible Result</t>
  </si>
  <si>
    <t>Status</t>
  </si>
  <si>
    <t>Screenshot File</t>
  </si>
  <si>
    <t>Test Date</t>
  </si>
  <si>
    <t>Environment</t>
  </si>
  <si>
    <t>Result Source</t>
  </si>
  <si>
    <t>Limitations / Notes</t>
  </si>
  <si>
    <t>Interaction Verification (tester-reported)</t>
  </si>
  <si>
    <t>S5-PROD-01</t>
  </si>
  <si>
    <t>NFR-01 / NFR-02</t>
  </si>
  <si>
    <t>Public</t>
  </si>
  <si>
    <t>Landing Page</t>
  </si>
  <si>
    <t>Verify live Production page and interactive controls for Landing Page.</t>
  </si>
  <si>
    <t>Open https://gradnavi.site/ and review public navigation, hero and feature sections.</t>
  </si>
  <si>
    <t>Public homepage renders with navigation and career-guidance content.</t>
  </si>
  <si>
    <t>Landing page shows the hero, feature summaries, product screens and sign-up links.</t>
  </si>
  <si>
    <t>PASS</t>
  </si>
  <si>
    <t>S5-PROD-EV-001</t>
  </si>
  <si>
    <t>S5-PROD-EV-001-Landing-Page.png</t>
  </si>
  <si>
    <t>Production | gradnavi.site</t>
  </si>
  <si>
    <t>Tester confirmation: page controls exercised; PASS. Screenshot of resulting state.</t>
  </si>
  <si>
    <t>Visual screenshot does not record individual navigation clicks; tester confirms controls worked.</t>
  </si>
  <si>
    <t>Homepage navigation and buttons exercised; PASS reported.</t>
  </si>
  <si>
    <t>S5-PROD-02</t>
  </si>
  <si>
    <t>FR-01</t>
  </si>
  <si>
    <t>Login Page</t>
  </si>
  <si>
    <t>Verify live Production page and interactive controls for Login Page.</t>
  </si>
  <si>
    <t>Open the Production login page and inspect the authentication form.</t>
  </si>
  <si>
    <t>Email/password fields and authentication navigation render without a visible page error.</t>
  </si>
  <si>
    <t>Login page shows email, password, login and password-recovery controls.</t>
  </si>
  <si>
    <t>S5-PROD-EV-002</t>
  </si>
  <si>
    <t>S5-PROD-EV-002-Login-Page.png</t>
  </si>
  <si>
    <t>Signed-in Student/Admin pages corroborate successful authentication. No raw network trace attached.</t>
  </si>
  <si>
    <t>Login page controls exercised; successful authentication evidenced by subsequent signed-in pages; PASS reported.</t>
  </si>
  <si>
    <t>S5-PROD-03</t>
  </si>
  <si>
    <t>FR-13</t>
  </si>
  <si>
    <t>Student</t>
  </si>
  <si>
    <t>Student Dashboard</t>
  </si>
  <si>
    <t>Verify live Production page and interactive controls for Student Dashboard.</t>
  </si>
  <si>
    <t>Sign in as a Student and open Dashboard.</t>
  </si>
  <si>
    <t>Primary career, readiness, progress, next action and preparation tools render with student context.</t>
  </si>
  <si>
    <t>Data Analyst appears as primary career, 68% readiness and 12 unresolved gaps; tool links visible.</t>
  </si>
  <si>
    <t>S5-PROD-EV-003</t>
  </si>
  <si>
    <t>S5-PROD-EV-003-Student-Dashboard.png</t>
  </si>
  <si>
    <t>Dashboard renders populated live profile. Button use confirmed by tester.</t>
  </si>
  <si>
    <t>Dashboard action buttons and navigation exercised; PASS reported.</t>
  </si>
  <si>
    <t>S5-PROD-04</t>
  </si>
  <si>
    <t>FR-02</t>
  </si>
  <si>
    <t>Student Profile</t>
  </si>
  <si>
    <t>Verify live Production page and interactive controls for Student Profile.</t>
  </si>
  <si>
    <t>Open Student Profile with populated account.</t>
  </si>
  <si>
    <t>Saved skills, primary career, interests, structured records and personality questions render.</t>
  </si>
  <si>
    <t>26 skills, Data Analyst primary career, other career goals, interests and 0/16 personality progress visible.</t>
  </si>
  <si>
    <t>S5-PROD-EV-004</t>
  </si>
  <si>
    <t>S5-PROD-EV-004-Student-Profile.png</t>
  </si>
  <si>
    <t>Tester confirms profile was built and saved. Screenshot and downstream results show populated profile.</t>
  </si>
  <si>
    <t>Student Profile built and populated. Skills, career goals and interests saved; profile buttons exercised; PASS reported.</t>
  </si>
  <si>
    <t>S5-PROD-05</t>
  </si>
  <si>
    <t>FR-03 / FR-04</t>
  </si>
  <si>
    <t>Career Recommendations</t>
  </si>
  <si>
    <t>Verify live Production page and interactive controls for Career Recommendations.</t>
  </si>
  <si>
    <t>Open Career Recommendations for the prepared Student profile.</t>
  </si>
  <si>
    <t>Ranked careers, match/readiness measures and top-match explanation appear.</t>
  </si>
  <si>
    <t>Data Analyst ranked first with 92% match and 68% readiness; six further careers visible.</t>
  </si>
  <si>
    <t>S5-PROD-EV-005</t>
  </si>
  <si>
    <t>S5-PROD-EV-005-Career-Recommendations.png</t>
  </si>
  <si>
    <t>Score shown for recorded profile; career suitability not independently validated.</t>
  </si>
  <si>
    <t>Career recommendation controls and navigation exercised using completed profile; PASS reported.</t>
  </si>
  <si>
    <t>S5-PROD-06</t>
  </si>
  <si>
    <t>FR-03</t>
  </si>
  <si>
    <t>Explore Careers</t>
  </si>
  <si>
    <t>Verify live Production page and interactive controls for Explore Careers.</t>
  </si>
  <si>
    <t>Open Explore Careers and inspect catalogue filters/cards.</t>
  </si>
  <si>
    <t>Available career records, search/filter controls and paging are displayed.</t>
  </si>
  <si>
    <t>Catalogue reports 36 careers and displays categories and page-one cards.</t>
  </si>
  <si>
    <t>S5-PROD-EV-006</t>
  </si>
  <si>
    <t>S5-PROD-EV-006-Explore-Careers.png</t>
  </si>
  <si>
    <t>Filters/buttons exercised per tester, without click-by-click capture.</t>
  </si>
  <si>
    <t>Career catalogue controls and buttons exercised; PASS reported.</t>
  </si>
  <si>
    <t>S5-PROD-07</t>
  </si>
  <si>
    <t>FR-05 / FR-06</t>
  </si>
  <si>
    <t>Skill Gap Analysis</t>
  </si>
  <si>
    <t>Verify live Production page and interactive controls for Skill Gap Analysis.</t>
  </si>
  <si>
    <t>Open Skill Gap Analysis for primary Data Analyst career.</t>
  </si>
  <si>
    <t>Readiness, matched/partial/missing requirement counts, detailed gaps and learning suggestions render.</t>
  </si>
  <si>
    <t>68% readiness, 10 matched, 5 partially matched, 7 missing of 22, with requirement table.</t>
  </si>
  <si>
    <t>S5-PROD-EV-007</t>
  </si>
  <si>
    <t>S5-PROD-EV-007-Skill-Gap-Analysis.png</t>
  </si>
  <si>
    <t>Computed output for recorded profile/dataset; not independent score accuracy verification.</t>
  </si>
  <si>
    <t>Skill Gap Analysis controls and guidance links exercised; PASS reported.</t>
  </si>
  <si>
    <t>S5-PROD-08</t>
  </si>
  <si>
    <t>FR-12</t>
  </si>
  <si>
    <t>Career Roadmap</t>
  </si>
  <si>
    <t>Verify live Production page and interactive controls for Career Roadmap.</t>
  </si>
  <si>
    <t>Open Career Roadmap for Data Analyst.</t>
  </si>
  <si>
    <t>Career, readiness, ordered tasks, progress and action controls render.</t>
  </si>
  <si>
    <t>12 roadmap steps visible; 0 completed and Step 01 Writing is next.</t>
  </si>
  <si>
    <t>S5-PROD-EV-008</t>
  </si>
  <si>
    <t>S5-PROD-EV-008-Career-Roadmap.png</t>
  </si>
  <si>
    <t>Controls exercised per tester; change history not separately captured.</t>
  </si>
  <si>
    <t>Career Roadmap controls and buttons exercised; PASS reported.</t>
  </si>
  <si>
    <t>S5-PROD-09</t>
  </si>
  <si>
    <t>FR-11</t>
  </si>
  <si>
    <t>Learning Resources</t>
  </si>
  <si>
    <t>Verify live Production page and interactive controls for Learning Resources.</t>
  </si>
  <si>
    <t>Open Learning Resources for primary career and learning focus.</t>
  </si>
  <si>
    <t>Relevant resource cards, selection controls and feedback/report actions render.</t>
  </si>
  <si>
    <t>Data Analyst focus on Writing, six recommended resources, report/helpful actions visible.</t>
  </si>
  <si>
    <t>S5-PROD-EV-009</t>
  </si>
  <si>
    <t>S5-PROD-EV-009-Learning-Resources.png</t>
  </si>
  <si>
    <t>Resource actions exercised per tester. External link health not independently audited.</t>
  </si>
  <si>
    <t>Learning Resource controls and buttons exercised; PASS reported.</t>
  </si>
  <si>
    <t>S5-PROD-10</t>
  </si>
  <si>
    <t>FR-07</t>
  </si>
  <si>
    <t>Job Matching Results</t>
  </si>
  <si>
    <t>Verify live Production page and interactive controls for Job Matching Results.</t>
  </si>
  <si>
    <t>Run a pasted job description analysis and open results.</t>
  </si>
  <si>
    <t>Recognised job requirements split into profile matches and review items.</t>
  </si>
  <si>
    <t>31 recognised requirements, 6 in profile and 25 to review, with named skill rows.</t>
  </si>
  <si>
    <t>S5-PROD-EV-010</t>
  </si>
  <si>
    <t>S5-PROD-EV-010-Job-Matching-Results.png</t>
  </si>
  <si>
    <t>Recognised requirements and matching results generated on Production.</t>
  </si>
  <si>
    <t>Job description submitted and matching results generated; page buttons exercised; PASS reported.</t>
  </si>
  <si>
    <t>S5-PROD-11</t>
  </si>
  <si>
    <t>FR-08 / FR-16</t>
  </si>
  <si>
    <t>Resume Builder</t>
  </si>
  <si>
    <t>Verify live Production page and interactive controls for Resume Builder.</t>
  </si>
  <si>
    <t>Open Resume Builder with prepared Data Analyst context.</t>
  </si>
  <si>
    <t>Job target form, generated editable resume draft and export actions render.</t>
  </si>
  <si>
    <t>Profile-backed draft sections, improvement notices, Save Draft, Word and PDF actions visible.</t>
  </si>
  <si>
    <t>S5-PROD-EV-011</t>
  </si>
  <si>
    <t>S5-PROD-EV-011-Resume-Builder.png</t>
  </si>
  <si>
    <t>Draft generated; buttons exercised per tester. Export contents were not separately inspected for this workbook.</t>
  </si>
  <si>
    <t>Resume draft generated from completed profile; page buttons exercised; PASS reported.</t>
  </si>
  <si>
    <t>S5-PROD-12</t>
  </si>
  <si>
    <t>FR-09 / FR-16</t>
  </si>
  <si>
    <t>Cover Letter Builder</t>
  </si>
  <si>
    <t>Verify live Production page and interactive controls for Cover Letter Builder.</t>
  </si>
  <si>
    <t>Open Cover Letter Builder with a target job and generate a draft.</t>
  </si>
  <si>
    <t>Generated cover letter sections, evidence review panel and editing/export controls display.</t>
  </si>
  <si>
    <t>Generated opening/body/closing sections and evidence checks displayed.</t>
  </si>
  <si>
    <t>S5-PROD-EV-012</t>
  </si>
  <si>
    <t>S5-PROD-EV-012-Cover-Letter-Builder.png</t>
  </si>
  <si>
    <t>Cover letter draft generated from completed profile/job context; page buttons exercised; PASS reported.</t>
  </si>
  <si>
    <t>S5-PROD-13</t>
  </si>
  <si>
    <t>FR-10</t>
  </si>
  <si>
    <t>Interview Preparation</t>
  </si>
  <si>
    <t>Verify live Production page and interactive controls for Interview Preparation.</t>
  </si>
  <si>
    <t>Open interview session and view a question and feedback.</t>
  </si>
  <si>
    <t>Generated question, response entry and structured AI feedback render.</t>
  </si>
  <si>
    <t>Data Analyst session with question 1 of 5, typed answer, feedback and suggested answer.</t>
  </si>
  <si>
    <t>S5-PROD-EV-013</t>
  </si>
  <si>
    <t>S5-PROD-EV-013-Interview-Preparation.png</t>
  </si>
  <si>
    <t>Question and feedback recorded in screenshot. Entire five-question completion not separately captured.</t>
  </si>
  <si>
    <t>Interview question and AI feedback generated; session buttons exercised; PASS reported.</t>
  </si>
  <si>
    <t>S5-PROD-14</t>
  </si>
  <si>
    <t>Account Settings</t>
  </si>
  <si>
    <t>Verify live Production page and interactive controls for Account Settings.</t>
  </si>
  <si>
    <t>Open Settings of a signed-in Student.</t>
  </si>
  <si>
    <t>Account name/photo controls and password-change form display.</t>
  </si>
  <si>
    <t>Profile picture and Replace/Remove controls, account fields and password form visible.</t>
  </si>
  <si>
    <t>S5-PROD-EV-014</t>
  </si>
  <si>
    <t>S5-PROD-EV-014-Account-Settings.png</t>
  </si>
  <si>
    <t>Profile picture displayed and controls exercised per tester. Cross-deployment persistence not tested here.</t>
  </si>
  <si>
    <t>Account Settings buttons, including profile-photo controls, exercised; PASS reported.</t>
  </si>
  <si>
    <t>S5-PROD-15</t>
  </si>
  <si>
    <t>FR-14 / FR-15</t>
  </si>
  <si>
    <t>Administrator</t>
  </si>
  <si>
    <t>Admin Dashboard</t>
  </si>
  <si>
    <t>Verify live Production page and interactive controls for Admin Dashboard.</t>
  </si>
  <si>
    <t>Sign in as Administrator and open dashboard.</t>
  </si>
  <si>
    <t>Summary counts, analytics, activity and attention panels render.</t>
  </si>
  <si>
    <t>3 students, 36 careers, 2,873 skills, 30 resources; popular careers and gaps present.</t>
  </si>
  <si>
    <t>S5-PROD-EV-015</t>
  </si>
  <si>
    <t>S5-PROD-EV-015-Admin-Dashboard.png</t>
  </si>
  <si>
    <t>Admin analytics populated. 'Data health unavailable' is a stated product limitation.</t>
  </si>
  <si>
    <t>Admin dashboard buttons/navigation exercised; PASS reported.</t>
  </si>
  <si>
    <t>S5-PROD-16</t>
  </si>
  <si>
    <t>FR-14</t>
  </si>
  <si>
    <t>Admin User Management</t>
  </si>
  <si>
    <t>Verify live Production page and interactive controls for Admin User Management.</t>
  </si>
  <si>
    <t>Open Administrator Users page.</t>
  </si>
  <si>
    <t>User list, role/status data and management controls are displayed.</t>
  </si>
  <si>
    <t>Five users, roles, joined dates and role action buttons visible.</t>
  </si>
  <si>
    <t>S5-PROD-EV-016-Admin-User-Management.png</t>
  </si>
  <si>
    <t>All visible Last Login values show Never; retain as unresolved observation.</t>
  </si>
  <si>
    <t>User Management buttons and controls exercised; page-level PASS reported; Last Login observation remains open.</t>
  </si>
  <si>
    <t>S5-PROD-17</t>
  </si>
  <si>
    <t>Admin Career Management</t>
  </si>
  <si>
    <t>Verify live Production page and interactive controls for Admin Career Management.</t>
  </si>
  <si>
    <t>Open Administrator Careers page.</t>
  </si>
  <si>
    <t>Career catalogue and available management actions display.</t>
  </si>
  <si>
    <t>36 of 36 career records shown with category, status and Edit/Deactivate controls.</t>
  </si>
  <si>
    <t>S5-PROD-EV-017</t>
  </si>
  <si>
    <t>S5-PROD-EV-017-Admin-Career-Management.png</t>
  </si>
  <si>
    <t>Controls exercised per tester. Individual database change assertions not attached.</t>
  </si>
  <si>
    <t>Career Management buttons and controls exercised; PASS reported.</t>
  </si>
  <si>
    <t>S5-PROD-18</t>
  </si>
  <si>
    <t>Admin Skill Management</t>
  </si>
  <si>
    <t>Verify live Production page and interactive controls for Admin Skill Management.</t>
  </si>
  <si>
    <t>Open Administrator Skills page.</t>
  </si>
  <si>
    <t>Canonical skills list, category/type and management controls render.</t>
  </si>
  <si>
    <t>2,873 matching skills reported, including named sample rows.</t>
  </si>
  <si>
    <t>S5-PROD-EV-018</t>
  </si>
  <si>
    <t>S5-PROD-EV-018-Admin-Skill-Management.png</t>
  </si>
  <si>
    <t>Skill Management buttons and controls exercised; PASS reported.</t>
  </si>
  <si>
    <t>S5-PROD-19</t>
  </si>
  <si>
    <t>Admin Learning Resource Management</t>
  </si>
  <si>
    <t>Verify live Production page and interactive controls for Admin Learning Resource Management.</t>
  </si>
  <si>
    <t>Open Administrator Learning Resources page.</t>
  </si>
  <si>
    <t>Resource list, provider, health, visibility and management actions display.</t>
  </si>
  <si>
    <t>30 resources listed with health/visibility indicators and controls.</t>
  </si>
  <si>
    <t>S5-PROD-EV-019</t>
  </si>
  <si>
    <t>S5-PROD-EV-019-Admin-Learning-Resource-Management.png</t>
  </si>
  <si>
    <t>Controls exercised per tester. Individual external-link checks not attached.</t>
  </si>
  <si>
    <t>Learning Resource Management buttons and controls exercised; PASS reported.</t>
  </si>
  <si>
    <t>S5-PROD-20</t>
  </si>
  <si>
    <t>Admin Resource Reports</t>
  </si>
  <si>
    <t>Verify live Production page and interactive controls for Admin Resource Reports.</t>
  </si>
  <si>
    <t>Open Administrator Reports page and inspect open reports.</t>
  </si>
  <si>
    <t>Reported issues, status, reason and disposition actions render.</t>
  </si>
  <si>
    <t>One open broken-link report appears with Resolve and Dismiss actions.</t>
  </si>
  <si>
    <t>S5-PROD-EV-020-Admin-Resource-Reports.png</t>
  </si>
  <si>
    <t>Broken-link report was open at capture; disposition remains outstanding despite page-level PASS.</t>
  </si>
  <si>
    <t>Resource Reports controls exercised; page-level PASS reported; open broken-link report requires disposition.</t>
  </si>
  <si>
    <t>S5-PROD-21</t>
  </si>
  <si>
    <t>FR-18</t>
  </si>
  <si>
    <t>Admin Audit Records</t>
  </si>
  <si>
    <t>Verify live Production page and interactive controls for Admin Audit Records.</t>
  </si>
  <si>
    <t>Open Administrator Audit Records page.</t>
  </si>
  <si>
    <t>Read-only change history with date, actor, action and target appears.</t>
  </si>
  <si>
    <t>Two administrative events visible with timestamps and View actions.</t>
  </si>
  <si>
    <t>S5-PROD-EV-021</t>
  </si>
  <si>
    <t>S5-PROD-EV-021-Admin-Audit-Records.png</t>
  </si>
  <si>
    <t>Admin audit records displayed and buttons exercised; full event completeness not independently audited.</t>
  </si>
  <si>
    <t>Audit Records actions and controls exercised; PASS reported.</t>
  </si>
  <si>
    <t>Production Evidence Register</t>
  </si>
  <si>
    <t>21 unique screenshots preserved under docs/testing/evidence/sprint-5/production-verification/</t>
  </si>
  <si>
    <t>Screen</t>
  </si>
  <si>
    <t>Captured (AEST)</t>
  </si>
  <si>
    <t>Screenshot filename</t>
  </si>
  <si>
    <t>Dimensions (px)</t>
  </si>
  <si>
    <t>Evidence Type</t>
  </si>
  <si>
    <t>Observation / Caveat</t>
  </si>
  <si>
    <t>2026-10-13 10:15:05</t>
  </si>
  <si>
    <t>1101 x 2048</t>
  </si>
  <si>
    <t>Production screenshot</t>
  </si>
  <si>
    <t>Public landing page rendered with product overview</t>
  </si>
  <si>
    <t>2026-10-13 10:14:57</t>
  </si>
  <si>
    <t>1920 x 945</t>
  </si>
  <si>
    <t>Login form and navigation visible; credentials not validated by screenshot</t>
  </si>
  <si>
    <t>2026-10-13 10:10:58</t>
  </si>
  <si>
    <t>1920 x 1543</t>
  </si>
  <si>
    <t>Career readiness, guidance, and progress cards visible</t>
  </si>
  <si>
    <t>2026-10-13 10:11:07</t>
  </si>
  <si>
    <t>1920 x 1800</t>
  </si>
  <si>
    <t>Skills, career goals, interests, structured evidence, and questionnaire visible</t>
  </si>
  <si>
    <t>2026-10-13 10:11:17</t>
  </si>
  <si>
    <t>1709 x 2048</t>
  </si>
  <si>
    <t>Ranked recommendations, score and readiness display visible</t>
  </si>
  <si>
    <t>2026-10-13 10:11:27</t>
  </si>
  <si>
    <t>1860 x 2048</t>
  </si>
  <si>
    <t>Career catalogue, filters, result count and cards visible</t>
  </si>
  <si>
    <t>2026-10-13 10:11:36</t>
  </si>
  <si>
    <t>1054 x 2048</t>
  </si>
  <si>
    <t>Readiness, requirement statuses and learning suggestions visible</t>
  </si>
  <si>
    <t>2026-10-13 10:11:43</t>
  </si>
  <si>
    <t>1607 x 2048</t>
  </si>
  <si>
    <t>Selected career roadmap steps and progress actions visible</t>
  </si>
  <si>
    <t>2026-10-13 10:11:50</t>
  </si>
  <si>
    <t>1482 x 2048</t>
  </si>
  <si>
    <t>Recommended resource cards, filters and feedback/report actions visible</t>
  </si>
  <si>
    <t>2026-10-13 10:12:50</t>
  </si>
  <si>
    <t>920 x 2048</t>
  </si>
  <si>
    <t>Extracted job requirements and profile matches visible</t>
  </si>
  <si>
    <t>2026-10-13 10:13:15</t>
  </si>
  <si>
    <t>1243 x 2048</t>
  </si>
  <si>
    <t>Resume-generation inputs, draft preview, and export controls visible</t>
  </si>
  <si>
    <t>2026-10-13 10:13:57</t>
  </si>
  <si>
    <t>1424 x 2048</t>
  </si>
  <si>
    <t>Cover letter inputs, generated draft sections and export controls visible</t>
  </si>
  <si>
    <t>2026-10-13 10:14:36</t>
  </si>
  <si>
    <t>1920 x 1793</t>
  </si>
  <si>
    <t>Interview question, typed answer, AI feedback and next-step controls visible</t>
  </si>
  <si>
    <t>2026-10-13 10:14:49</t>
  </si>
  <si>
    <t>1920 x 1213</t>
  </si>
  <si>
    <t>Account details, profile picture controls and password form visible; persistence not tested by capture</t>
  </si>
  <si>
    <t>2026-10-13 10:15:20</t>
  </si>
  <si>
    <t>1920 x 1162</t>
  </si>
  <si>
    <t>Dashboard shows 3 students, 36 careers, 2873 skills, 30 resources; data health unavailable; one open resource report</t>
  </si>
  <si>
    <t>2026-10-13 10:15:26</t>
  </si>
  <si>
    <t>User/role/status table visible; all displayed Last Login values say Never; issue requires investigation</t>
  </si>
  <si>
    <t>2026-10-13 10:15:32</t>
  </si>
  <si>
    <t>1531 x 2048</t>
  </si>
  <si>
    <t>Career management table visible with 36 displayed career records</t>
  </si>
  <si>
    <t>2026-10-13 10:15:39</t>
  </si>
  <si>
    <t>1141 x 2048</t>
  </si>
  <si>
    <t>Skill management table shows 2873 matching records</t>
  </si>
  <si>
    <t>2026-10-13 10:15:45</t>
  </si>
  <si>
    <t>1642 x 2048</t>
  </si>
  <si>
    <t>Learning resource management lists 30 records with edit/deactivate controls</t>
  </si>
  <si>
    <t>2026-10-13 10:15:51</t>
  </si>
  <si>
    <t>One open broken-link report shown; remediation unverified</t>
  </si>
  <si>
    <t>2026-10-13 10:15:57</t>
  </si>
  <si>
    <t>Two administrative change records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</si>
</sst>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name val="Carlito"/>
    </font>
    <font>
      <b/>
      <sz val="18"/>
      <color rgb="FFFFFFFF"/>
      <name val="Carlito"/>
    </font>
    <font>
      <sz val="10"/>
      <color rgb="FF12345A"/>
      <name val="Carlito"/>
    </font>
    <font>
      <b/>
      <sz val="11"/>
      <color rgb="FFFFFFFF"/>
      <name val="Carlito"/>
    </font>
    <font>
      <sz val="11"/>
      <color rgb="FF082645"/>
      <name val="Carlito"/>
    </font>
    <font>
      <b/>
      <sz val="11"/>
      <color rgb="FF12345A"/>
      <name val="Carlito"/>
    </font>
    <font>
      <b/>
      <sz val="10"/>
      <color rgb="FFFFFFFF"/>
      <name val="Carlito"/>
    </font>
    <font>
      <sz val="10"/>
      <color rgb="FF082645"/>
      <name val="Carlito"/>
    </font>
    <font>
      <b/>
      <sz val="10"/>
      <color rgb="FF157347"/>
      <name val="Carlito"/>
    </font>
  </fonts>
  <fills count="8">
    <fill>
      <patternFill patternType="none"/>
    </fill>
    <fill>
      <patternFill patternType="gray125"/>
    </fill>
    <fill>
      <patternFill patternType="solid">
        <fgColor rgb="FF12345A"/>
      </patternFill>
    </fill>
    <fill>
      <patternFill patternType="solid">
        <fgColor rgb="FFE9F3FA"/>
      </patternFill>
    </fill>
    <fill>
      <patternFill patternType="solid">
        <fgColor rgb="FF145DA0"/>
      </patternFill>
    </fill>
    <fill>
      <patternFill patternType="solid">
        <fgColor rgb="FFF6FAFD"/>
      </patternFill>
    </fill>
    <fill>
      <patternFill patternType="solid">
        <fgColor rgb="FFDCFCE7"/>
      </patternFill>
    </fill>
    <fill>
      <patternFill patternType="solid">
        <fgColor rgb="FF12365B"/>
      </patternFill>
    </fill>
  </fills>
  <borders count="1">
    <border>
      <left/>
      <right/>
      <top/>
      <bottom/>
      <diagonal/>
    </border>
  </borders>
  <cellStyleXfs count="1">
    <xf numFmtId="0" fontId="0" fillId="0" borderId="0"/>
  </cellStyleXfs>
  <cellXfs count="13">
    <xf numFmtId="0" fontId="0" fillId="0" borderId="0" xfId="0"/>
    <xf numFmtId="0" fontId="3" fillId="4" borderId="0" xfId="0" applyFont="1" applyFill="1"/>
    <xf numFmtId="9" fontId="0" fillId="0" borderId="0" xfId="0" applyNumberFormat="1"/>
    <xf numFmtId="0" fontId="5" fillId="3" borderId="0" xfId="0" applyFont="1" applyFill="1"/>
    <xf numFmtId="0" fontId="0" fillId="0" borderId="0" xfId="0" applyAlignment="1">
      <alignment wrapText="1"/>
    </xf>
    <xf numFmtId="0" fontId="6" fillId="4" borderId="0" xfId="0" applyFont="1" applyFill="1" applyAlignment="1">
      <alignment vertical="center" wrapText="1"/>
    </xf>
    <xf numFmtId="0" fontId="7" fillId="0" borderId="0" xfId="0" applyFont="1" applyAlignment="1">
      <alignment vertical="center" wrapText="1"/>
    </xf>
    <xf numFmtId="0" fontId="8" fillId="6" borderId="0" xfId="0" applyFont="1" applyFill="1" applyAlignment="1">
      <alignment vertical="center" wrapText="1"/>
    </xf>
    <xf numFmtId="0" fontId="3" fillId="7" borderId="0" xfId="0" applyFont="1" applyFill="1" applyAlignment="1">
      <alignment wrapText="1"/>
    </xf>
    <xf numFmtId="0" fontId="1" fillId="2" borderId="0" xfId="0" applyFont="1" applyFill="1" applyAlignment="1">
      <alignment vertical="center"/>
    </xf>
    <xf numFmtId="0" fontId="2" fillId="3" borderId="0" xfId="0" applyFont="1" applyFill="1" applyAlignment="1">
      <alignment vertical="center"/>
    </xf>
    <xf numFmtId="0" fontId="3" fillId="4" borderId="0" xfId="0" applyFont="1" applyFill="1"/>
    <xf numFmtId="0" fontId="4" fillId="5"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tabSelected="1" topLeftCell="A2" workbookViewId="0">
      <selection activeCell="K25" sqref="K25"/>
    </sheetView>
  </sheetViews>
  <sheetFormatPr defaultRowHeight="14.25"/>
  <cols>
    <col min="1" max="1" width="25" customWidth="1"/>
    <col min="2" max="2" width="55" customWidth="1"/>
    <col min="3" max="8" width="12" customWidth="1"/>
  </cols>
  <sheetData>
    <row r="1" spans="1:8" ht="24" customHeight="1">
      <c r="A1" s="9" t="s">
        <v>0</v>
      </c>
      <c r="B1" s="9"/>
      <c r="C1" s="9"/>
      <c r="D1" s="9"/>
      <c r="E1" s="9"/>
      <c r="F1" s="9"/>
      <c r="G1" s="9"/>
      <c r="H1" s="9"/>
    </row>
    <row r="2" spans="1:8" ht="24" customHeight="1">
      <c r="A2" s="9"/>
      <c r="B2" s="9"/>
      <c r="C2" s="9"/>
      <c r="D2" s="9"/>
      <c r="E2" s="9"/>
      <c r="F2" s="9"/>
      <c r="G2" s="9"/>
      <c r="H2" s="9"/>
    </row>
    <row r="3" spans="1:8" ht="24" customHeight="1">
      <c r="A3" s="10" t="s">
        <v>1</v>
      </c>
      <c r="B3" s="10"/>
      <c r="C3" s="10"/>
      <c r="D3" s="10"/>
      <c r="E3" s="10"/>
      <c r="F3" s="10"/>
      <c r="G3" s="10"/>
      <c r="H3" s="10"/>
    </row>
    <row r="5" spans="1:8" ht="26.1" customHeight="1">
      <c r="A5" s="1" t="s">
        <v>2</v>
      </c>
      <c r="B5" s="1" t="s">
        <v>3</v>
      </c>
    </row>
    <row r="6" spans="1:8" ht="24.95" customHeight="1">
      <c r="A6" t="s">
        <v>4</v>
      </c>
      <c r="B6">
        <f>COUNTA('Test Cases'!A7:A27)</f>
        <v>21</v>
      </c>
    </row>
    <row r="7" spans="1:8" ht="24.95" customHeight="1">
      <c r="A7" t="s">
        <v>5</v>
      </c>
      <c r="B7">
        <f>COUNTIF('Test Cases'!I7:I27,"PASS")</f>
        <v>21</v>
      </c>
    </row>
    <row r="8" spans="1:8" ht="24.95" customHeight="1">
      <c r="A8" t="s">
        <v>6</v>
      </c>
      <c r="B8">
        <f>COUNTIF('Test Cases'!I7:I27,"FAIL")</f>
        <v>0</v>
      </c>
    </row>
    <row r="9" spans="1:8" ht="24.95" customHeight="1">
      <c r="A9" t="s">
        <v>7</v>
      </c>
      <c r="B9">
        <f>COUNTIF('Test Cases'!I7:I27,"NOT RUN")</f>
        <v>0</v>
      </c>
    </row>
    <row r="10" spans="1:8" ht="24.95" customHeight="1">
      <c r="A10" t="s">
        <v>8</v>
      </c>
      <c r="B10" s="2">
        <f>IFERROR(B7/B6,0)</f>
        <v>1</v>
      </c>
    </row>
    <row r="11" spans="1:8" ht="24.95" customHeight="1">
      <c r="A11" t="s">
        <v>9</v>
      </c>
      <c r="B11">
        <f>COUNTA('Evidence Register'!A7:A27)</f>
        <v>21</v>
      </c>
    </row>
    <row r="12" spans="1:8" ht="24.95" customHeight="1">
      <c r="A12" t="s">
        <v>10</v>
      </c>
      <c r="B12">
        <v>3</v>
      </c>
    </row>
    <row r="13" spans="1:8" ht="24.95" customHeight="1">
      <c r="A13" t="s">
        <v>11</v>
      </c>
      <c r="B13">
        <v>2</v>
      </c>
    </row>
    <row r="15" spans="1:8" ht="24.95" customHeight="1">
      <c r="A15" s="11" t="s">
        <v>12</v>
      </c>
      <c r="B15" s="11"/>
      <c r="C15" s="11"/>
      <c r="D15" s="11"/>
      <c r="E15" s="11"/>
      <c r="F15" s="11"/>
      <c r="G15" s="11"/>
      <c r="H15" s="11"/>
    </row>
    <row r="16" spans="1:8" ht="68.099999999999994" customHeight="1">
      <c r="A16" s="12" t="s">
        <v>13</v>
      </c>
      <c r="B16" s="12"/>
      <c r="C16" s="12"/>
      <c r="D16" s="12"/>
      <c r="E16" s="12"/>
      <c r="F16" s="12"/>
      <c r="G16" s="12"/>
      <c r="H16" s="12"/>
    </row>
    <row r="17" spans="1:8" ht="27.95" customHeight="1">
      <c r="A17" s="12"/>
      <c r="B17" s="12"/>
      <c r="C17" s="12"/>
      <c r="D17" s="12"/>
      <c r="E17" s="12"/>
      <c r="F17" s="12"/>
      <c r="G17" s="12"/>
      <c r="H17" s="12"/>
    </row>
    <row r="19" spans="1:8" ht="24.95" customHeight="1">
      <c r="A19" s="11" t="s">
        <v>14</v>
      </c>
      <c r="B19" s="11"/>
      <c r="C19" s="11"/>
      <c r="D19" s="11"/>
      <c r="E19" s="11"/>
      <c r="F19" s="11"/>
      <c r="G19" s="11"/>
      <c r="H19" s="11"/>
    </row>
    <row r="20" spans="1:8" ht="39" customHeight="1">
      <c r="A20" s="3" t="s">
        <v>15</v>
      </c>
      <c r="B20" s="3" t="s">
        <v>16</v>
      </c>
    </row>
    <row r="21" spans="1:8" ht="39" customHeight="1">
      <c r="A21" t="s">
        <v>17</v>
      </c>
      <c r="B21" s="4" t="s">
        <v>18</v>
      </c>
    </row>
    <row r="22" spans="1:8" ht="39" customHeight="1">
      <c r="A22" t="s">
        <v>19</v>
      </c>
      <c r="B22" s="4" t="s">
        <v>20</v>
      </c>
    </row>
    <row r="24" spans="1:8" ht="24.95" customHeight="1">
      <c r="A24" s="11" t="s">
        <v>21</v>
      </c>
      <c r="B24" s="11"/>
      <c r="C24" s="11"/>
      <c r="D24" s="11"/>
      <c r="E24" s="11"/>
      <c r="F24" s="11"/>
      <c r="G24" s="11"/>
      <c r="H24" s="11"/>
    </row>
    <row r="25" spans="1:8">
      <c r="A25" t="s">
        <v>22</v>
      </c>
      <c r="B25" t="s">
        <v>23</v>
      </c>
    </row>
    <row r="26" spans="1:8">
      <c r="A26" t="s">
        <v>24</v>
      </c>
      <c r="B26" t="s">
        <v>25</v>
      </c>
    </row>
    <row r="27" spans="1:8">
      <c r="A27" t="s">
        <v>26</v>
      </c>
      <c r="B27" t="s">
        <v>27</v>
      </c>
    </row>
    <row r="28" spans="1:8">
      <c r="A28" t="s">
        <v>28</v>
      </c>
      <c r="B28" t="s">
        <v>29</v>
      </c>
    </row>
    <row r="29" spans="1:8">
      <c r="A29" t="s">
        <v>30</v>
      </c>
      <c r="B29" t="s">
        <v>31</v>
      </c>
    </row>
    <row r="31" spans="1:8" ht="50.1" customHeight="1"/>
    <row r="32" spans="1:8" ht="27.95" customHeight="1"/>
  </sheetData>
  <mergeCells count="6">
    <mergeCell ref="A24:H24"/>
    <mergeCell ref="A1:H2"/>
    <mergeCell ref="A3:H3"/>
    <mergeCell ref="A15:H15"/>
    <mergeCell ref="A16:H17"/>
    <mergeCell ref="A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7"/>
  <sheetViews>
    <sheetView workbookViewId="0">
      <pane ySplit="6" topLeftCell="A23" activePane="bottomLeft" state="frozen"/>
      <selection pane="bottomLeft" sqref="A1:O2"/>
    </sheetView>
  </sheetViews>
  <sheetFormatPr defaultRowHeight="14.25"/>
  <cols>
    <col min="1" max="1" width="17" customWidth="1"/>
    <col min="2" max="2" width="20" customWidth="1"/>
    <col min="3" max="3" width="18" customWidth="1"/>
    <col min="4" max="4" width="28" customWidth="1"/>
    <col min="5" max="5" width="33" customWidth="1"/>
    <col min="6" max="6" width="56" customWidth="1"/>
    <col min="7" max="7" width="62" customWidth="1"/>
    <col min="8" max="8" width="66" customWidth="1"/>
    <col min="9" max="9" width="13" customWidth="1"/>
    <col min="10" max="10" width="19" customWidth="1"/>
    <col min="11" max="11" width="51" customWidth="1"/>
    <col min="12" max="12" width="15" customWidth="1"/>
    <col min="13" max="14" width="34" customWidth="1"/>
    <col min="15" max="15" width="63" customWidth="1"/>
    <col min="16" max="16" width="45" customWidth="1"/>
  </cols>
  <sheetData>
    <row r="1" spans="1:16" ht="24" customHeight="1">
      <c r="A1" s="9" t="s">
        <v>32</v>
      </c>
      <c r="B1" s="9"/>
      <c r="C1" s="9"/>
      <c r="D1" s="9"/>
      <c r="E1" s="9"/>
      <c r="F1" s="9"/>
      <c r="G1" s="9"/>
      <c r="H1" s="9"/>
      <c r="I1" s="9"/>
      <c r="J1" s="9"/>
      <c r="K1" s="9"/>
      <c r="L1" s="9"/>
      <c r="M1" s="9"/>
      <c r="N1" s="9"/>
      <c r="O1" s="9"/>
    </row>
    <row r="2" spans="1:16" ht="24" customHeight="1">
      <c r="A2" s="9"/>
      <c r="B2" s="9"/>
      <c r="C2" s="9"/>
      <c r="D2" s="9"/>
      <c r="E2" s="9"/>
      <c r="F2" s="9"/>
      <c r="G2" s="9"/>
      <c r="H2" s="9"/>
      <c r="I2" s="9"/>
      <c r="J2" s="9"/>
      <c r="K2" s="9"/>
      <c r="L2" s="9"/>
      <c r="M2" s="9"/>
      <c r="N2" s="9"/>
      <c r="O2" s="9"/>
    </row>
    <row r="3" spans="1:16" ht="24" customHeight="1">
      <c r="A3" s="10" t="s">
        <v>33</v>
      </c>
      <c r="B3" s="10"/>
      <c r="C3" s="10"/>
      <c r="D3" s="10"/>
      <c r="E3" s="10"/>
      <c r="F3" s="10"/>
      <c r="G3" s="10"/>
      <c r="H3" s="10"/>
      <c r="I3" s="10"/>
      <c r="J3" s="10"/>
      <c r="K3" s="10"/>
      <c r="L3" s="10"/>
      <c r="M3" s="10"/>
      <c r="N3" s="10"/>
      <c r="O3" s="10"/>
    </row>
    <row r="6" spans="1:16" ht="33.950000000000003" customHeight="1">
      <c r="A6" s="5" t="s">
        <v>34</v>
      </c>
      <c r="B6" s="5" t="s">
        <v>35</v>
      </c>
      <c r="C6" s="5" t="s">
        <v>36</v>
      </c>
      <c r="D6" s="5" t="s">
        <v>37</v>
      </c>
      <c r="E6" s="5" t="s">
        <v>38</v>
      </c>
      <c r="F6" s="5" t="s">
        <v>39</v>
      </c>
      <c r="G6" s="5" t="s">
        <v>40</v>
      </c>
      <c r="H6" s="5" t="s">
        <v>41</v>
      </c>
      <c r="I6" s="5" t="s">
        <v>42</v>
      </c>
      <c r="J6" s="5" t="s">
        <v>15</v>
      </c>
      <c r="K6" s="5" t="s">
        <v>43</v>
      </c>
      <c r="L6" s="5" t="s">
        <v>44</v>
      </c>
      <c r="M6" s="5" t="s">
        <v>45</v>
      </c>
      <c r="N6" s="5" t="s">
        <v>46</v>
      </c>
      <c r="O6" s="5" t="s">
        <v>47</v>
      </c>
      <c r="P6" s="8" t="s">
        <v>48</v>
      </c>
    </row>
    <row r="7" spans="1:16" ht="47.1" customHeight="1">
      <c r="A7" s="6" t="s">
        <v>49</v>
      </c>
      <c r="B7" s="6" t="s">
        <v>50</v>
      </c>
      <c r="C7" s="6" t="s">
        <v>51</v>
      </c>
      <c r="D7" s="6" t="s">
        <v>52</v>
      </c>
      <c r="E7" s="6" t="s">
        <v>53</v>
      </c>
      <c r="F7" s="6" t="s">
        <v>54</v>
      </c>
      <c r="G7" s="6" t="s">
        <v>55</v>
      </c>
      <c r="H7" s="6" t="s">
        <v>56</v>
      </c>
      <c r="I7" s="7" t="s">
        <v>57</v>
      </c>
      <c r="J7" s="6" t="s">
        <v>58</v>
      </c>
      <c r="K7" s="6" t="s">
        <v>59</v>
      </c>
      <c r="L7" s="6" t="s">
        <v>29</v>
      </c>
      <c r="M7" s="6" t="s">
        <v>60</v>
      </c>
      <c r="N7" s="6" t="s">
        <v>61</v>
      </c>
      <c r="O7" s="6" t="s">
        <v>62</v>
      </c>
      <c r="P7" s="4" t="s">
        <v>63</v>
      </c>
    </row>
    <row r="8" spans="1:16" ht="47.1" customHeight="1">
      <c r="A8" s="6" t="s">
        <v>64</v>
      </c>
      <c r="B8" s="6" t="s">
        <v>65</v>
      </c>
      <c r="C8" s="6" t="s">
        <v>51</v>
      </c>
      <c r="D8" s="6" t="s">
        <v>66</v>
      </c>
      <c r="E8" s="6" t="s">
        <v>67</v>
      </c>
      <c r="F8" s="6" t="s">
        <v>68</v>
      </c>
      <c r="G8" s="6" t="s">
        <v>69</v>
      </c>
      <c r="H8" s="6" t="s">
        <v>70</v>
      </c>
      <c r="I8" s="7" t="s">
        <v>57</v>
      </c>
      <c r="J8" s="6" t="s">
        <v>71</v>
      </c>
      <c r="K8" s="6" t="s">
        <v>72</v>
      </c>
      <c r="L8" s="6" t="s">
        <v>29</v>
      </c>
      <c r="M8" s="6" t="s">
        <v>60</v>
      </c>
      <c r="N8" s="6" t="s">
        <v>61</v>
      </c>
      <c r="O8" s="6" t="s">
        <v>73</v>
      </c>
      <c r="P8" s="4" t="s">
        <v>74</v>
      </c>
    </row>
    <row r="9" spans="1:16" ht="47.1" customHeight="1">
      <c r="A9" s="6" t="s">
        <v>75</v>
      </c>
      <c r="B9" s="6" t="s">
        <v>76</v>
      </c>
      <c r="C9" s="6" t="s">
        <v>77</v>
      </c>
      <c r="D9" s="6" t="s">
        <v>78</v>
      </c>
      <c r="E9" s="6" t="s">
        <v>79</v>
      </c>
      <c r="F9" s="6" t="s">
        <v>80</v>
      </c>
      <c r="G9" s="6" t="s">
        <v>81</v>
      </c>
      <c r="H9" s="6" t="s">
        <v>82</v>
      </c>
      <c r="I9" s="7" t="s">
        <v>57</v>
      </c>
      <c r="J9" s="6" t="s">
        <v>83</v>
      </c>
      <c r="K9" s="6" t="s">
        <v>84</v>
      </c>
      <c r="L9" s="6" t="s">
        <v>29</v>
      </c>
      <c r="M9" s="6" t="s">
        <v>60</v>
      </c>
      <c r="N9" s="6" t="s">
        <v>61</v>
      </c>
      <c r="O9" s="6" t="s">
        <v>85</v>
      </c>
      <c r="P9" s="4" t="s">
        <v>86</v>
      </c>
    </row>
    <row r="10" spans="1:16" ht="47.1" customHeight="1">
      <c r="A10" s="6" t="s">
        <v>87</v>
      </c>
      <c r="B10" s="6" t="s">
        <v>88</v>
      </c>
      <c r="C10" s="6" t="s">
        <v>77</v>
      </c>
      <c r="D10" s="6" t="s">
        <v>89</v>
      </c>
      <c r="E10" s="6" t="s">
        <v>90</v>
      </c>
      <c r="F10" s="6" t="s">
        <v>91</v>
      </c>
      <c r="G10" s="6" t="s">
        <v>92</v>
      </c>
      <c r="H10" s="6" t="s">
        <v>93</v>
      </c>
      <c r="I10" s="7" t="s">
        <v>57</v>
      </c>
      <c r="J10" s="6" t="s">
        <v>94</v>
      </c>
      <c r="K10" s="6" t="s">
        <v>95</v>
      </c>
      <c r="L10" s="6" t="s">
        <v>29</v>
      </c>
      <c r="M10" s="6" t="s">
        <v>60</v>
      </c>
      <c r="N10" s="6" t="s">
        <v>61</v>
      </c>
      <c r="O10" s="6" t="s">
        <v>96</v>
      </c>
      <c r="P10" s="4" t="s">
        <v>97</v>
      </c>
    </row>
    <row r="11" spans="1:16" ht="47.1" customHeight="1">
      <c r="A11" s="6" t="s">
        <v>98</v>
      </c>
      <c r="B11" s="6" t="s">
        <v>99</v>
      </c>
      <c r="C11" s="6" t="s">
        <v>77</v>
      </c>
      <c r="D11" s="6" t="s">
        <v>100</v>
      </c>
      <c r="E11" s="6" t="s">
        <v>101</v>
      </c>
      <c r="F11" s="6" t="s">
        <v>102</v>
      </c>
      <c r="G11" s="6" t="s">
        <v>103</v>
      </c>
      <c r="H11" s="6" t="s">
        <v>104</v>
      </c>
      <c r="I11" s="7" t="s">
        <v>57</v>
      </c>
      <c r="J11" s="6" t="s">
        <v>105</v>
      </c>
      <c r="K11" s="6" t="s">
        <v>106</v>
      </c>
      <c r="L11" s="6" t="s">
        <v>29</v>
      </c>
      <c r="M11" s="6" t="s">
        <v>60</v>
      </c>
      <c r="N11" s="6" t="s">
        <v>61</v>
      </c>
      <c r="O11" s="6" t="s">
        <v>107</v>
      </c>
      <c r="P11" s="4" t="s">
        <v>108</v>
      </c>
    </row>
    <row r="12" spans="1:16" ht="47.1" customHeight="1">
      <c r="A12" s="6" t="s">
        <v>109</v>
      </c>
      <c r="B12" s="6" t="s">
        <v>110</v>
      </c>
      <c r="C12" s="6" t="s">
        <v>77</v>
      </c>
      <c r="D12" s="6" t="s">
        <v>111</v>
      </c>
      <c r="E12" s="6" t="s">
        <v>112</v>
      </c>
      <c r="F12" s="6" t="s">
        <v>113</v>
      </c>
      <c r="G12" s="6" t="s">
        <v>114</v>
      </c>
      <c r="H12" s="6" t="s">
        <v>115</v>
      </c>
      <c r="I12" s="7" t="s">
        <v>57</v>
      </c>
      <c r="J12" s="6" t="s">
        <v>116</v>
      </c>
      <c r="K12" s="6" t="s">
        <v>117</v>
      </c>
      <c r="L12" s="6" t="s">
        <v>29</v>
      </c>
      <c r="M12" s="6" t="s">
        <v>60</v>
      </c>
      <c r="N12" s="6" t="s">
        <v>61</v>
      </c>
      <c r="O12" s="6" t="s">
        <v>118</v>
      </c>
      <c r="P12" s="4" t="s">
        <v>119</v>
      </c>
    </row>
    <row r="13" spans="1:16" ht="47.1" customHeight="1">
      <c r="A13" s="6" t="s">
        <v>120</v>
      </c>
      <c r="B13" s="6" t="s">
        <v>121</v>
      </c>
      <c r="C13" s="6" t="s">
        <v>77</v>
      </c>
      <c r="D13" s="6" t="s">
        <v>122</v>
      </c>
      <c r="E13" s="6" t="s">
        <v>123</v>
      </c>
      <c r="F13" s="6" t="s">
        <v>124</v>
      </c>
      <c r="G13" s="6" t="s">
        <v>125</v>
      </c>
      <c r="H13" s="6" t="s">
        <v>126</v>
      </c>
      <c r="I13" s="7" t="s">
        <v>57</v>
      </c>
      <c r="J13" s="6" t="s">
        <v>127</v>
      </c>
      <c r="K13" s="6" t="s">
        <v>128</v>
      </c>
      <c r="L13" s="6" t="s">
        <v>29</v>
      </c>
      <c r="M13" s="6" t="s">
        <v>60</v>
      </c>
      <c r="N13" s="6" t="s">
        <v>61</v>
      </c>
      <c r="O13" s="6" t="s">
        <v>129</v>
      </c>
      <c r="P13" s="4" t="s">
        <v>130</v>
      </c>
    </row>
    <row r="14" spans="1:16" ht="47.1" customHeight="1">
      <c r="A14" s="6" t="s">
        <v>131</v>
      </c>
      <c r="B14" s="6" t="s">
        <v>132</v>
      </c>
      <c r="C14" s="6" t="s">
        <v>77</v>
      </c>
      <c r="D14" s="6" t="s">
        <v>133</v>
      </c>
      <c r="E14" s="6" t="s">
        <v>134</v>
      </c>
      <c r="F14" s="6" t="s">
        <v>135</v>
      </c>
      <c r="G14" s="6" t="s">
        <v>136</v>
      </c>
      <c r="H14" s="6" t="s">
        <v>137</v>
      </c>
      <c r="I14" s="7" t="s">
        <v>57</v>
      </c>
      <c r="J14" s="6" t="s">
        <v>138</v>
      </c>
      <c r="K14" s="6" t="s">
        <v>139</v>
      </c>
      <c r="L14" s="6" t="s">
        <v>29</v>
      </c>
      <c r="M14" s="6" t="s">
        <v>60</v>
      </c>
      <c r="N14" s="6" t="s">
        <v>61</v>
      </c>
      <c r="O14" s="6" t="s">
        <v>140</v>
      </c>
      <c r="P14" s="4" t="s">
        <v>141</v>
      </c>
    </row>
    <row r="15" spans="1:16" ht="47.1" customHeight="1">
      <c r="A15" s="6" t="s">
        <v>142</v>
      </c>
      <c r="B15" s="6" t="s">
        <v>143</v>
      </c>
      <c r="C15" s="6" t="s">
        <v>77</v>
      </c>
      <c r="D15" s="6" t="s">
        <v>144</v>
      </c>
      <c r="E15" s="6" t="s">
        <v>145</v>
      </c>
      <c r="F15" s="6" t="s">
        <v>146</v>
      </c>
      <c r="G15" s="6" t="s">
        <v>147</v>
      </c>
      <c r="H15" s="6" t="s">
        <v>148</v>
      </c>
      <c r="I15" s="7" t="s">
        <v>57</v>
      </c>
      <c r="J15" s="6" t="s">
        <v>149</v>
      </c>
      <c r="K15" s="6" t="s">
        <v>150</v>
      </c>
      <c r="L15" s="6" t="s">
        <v>29</v>
      </c>
      <c r="M15" s="6" t="s">
        <v>60</v>
      </c>
      <c r="N15" s="6" t="s">
        <v>61</v>
      </c>
      <c r="O15" s="6" t="s">
        <v>151</v>
      </c>
      <c r="P15" s="4" t="s">
        <v>152</v>
      </c>
    </row>
    <row r="16" spans="1:16" ht="47.1" customHeight="1">
      <c r="A16" s="6" t="s">
        <v>153</v>
      </c>
      <c r="B16" s="6" t="s">
        <v>154</v>
      </c>
      <c r="C16" s="6" t="s">
        <v>77</v>
      </c>
      <c r="D16" s="6" t="s">
        <v>155</v>
      </c>
      <c r="E16" s="6" t="s">
        <v>156</v>
      </c>
      <c r="F16" s="6" t="s">
        <v>157</v>
      </c>
      <c r="G16" s="6" t="s">
        <v>158</v>
      </c>
      <c r="H16" s="6" t="s">
        <v>159</v>
      </c>
      <c r="I16" s="7" t="s">
        <v>57</v>
      </c>
      <c r="J16" s="6" t="s">
        <v>160</v>
      </c>
      <c r="K16" s="6" t="s">
        <v>161</v>
      </c>
      <c r="L16" s="6" t="s">
        <v>29</v>
      </c>
      <c r="M16" s="6" t="s">
        <v>60</v>
      </c>
      <c r="N16" s="6" t="s">
        <v>61</v>
      </c>
      <c r="O16" s="6" t="s">
        <v>162</v>
      </c>
      <c r="P16" s="4" t="s">
        <v>163</v>
      </c>
    </row>
    <row r="17" spans="1:16" ht="47.1" customHeight="1">
      <c r="A17" s="6" t="s">
        <v>164</v>
      </c>
      <c r="B17" s="6" t="s">
        <v>165</v>
      </c>
      <c r="C17" s="6" t="s">
        <v>77</v>
      </c>
      <c r="D17" s="6" t="s">
        <v>166</v>
      </c>
      <c r="E17" s="6" t="s">
        <v>167</v>
      </c>
      <c r="F17" s="6" t="s">
        <v>168</v>
      </c>
      <c r="G17" s="6" t="s">
        <v>169</v>
      </c>
      <c r="H17" s="6" t="s">
        <v>170</v>
      </c>
      <c r="I17" s="7" t="s">
        <v>57</v>
      </c>
      <c r="J17" s="6" t="s">
        <v>171</v>
      </c>
      <c r="K17" s="6" t="s">
        <v>172</v>
      </c>
      <c r="L17" s="6" t="s">
        <v>29</v>
      </c>
      <c r="M17" s="6" t="s">
        <v>60</v>
      </c>
      <c r="N17" s="6" t="s">
        <v>61</v>
      </c>
      <c r="O17" s="6" t="s">
        <v>173</v>
      </c>
      <c r="P17" s="4" t="s">
        <v>174</v>
      </c>
    </row>
    <row r="18" spans="1:16" ht="47.1" customHeight="1">
      <c r="A18" s="6" t="s">
        <v>175</v>
      </c>
      <c r="B18" s="6" t="s">
        <v>176</v>
      </c>
      <c r="C18" s="6" t="s">
        <v>77</v>
      </c>
      <c r="D18" s="6" t="s">
        <v>177</v>
      </c>
      <c r="E18" s="6" t="s">
        <v>178</v>
      </c>
      <c r="F18" s="6" t="s">
        <v>179</v>
      </c>
      <c r="G18" s="6" t="s">
        <v>180</v>
      </c>
      <c r="H18" s="6" t="s">
        <v>181</v>
      </c>
      <c r="I18" s="7" t="s">
        <v>57</v>
      </c>
      <c r="J18" s="6" t="s">
        <v>182</v>
      </c>
      <c r="K18" s="6" t="s">
        <v>183</v>
      </c>
      <c r="L18" s="6" t="s">
        <v>29</v>
      </c>
      <c r="M18" s="6" t="s">
        <v>60</v>
      </c>
      <c r="N18" s="6" t="s">
        <v>61</v>
      </c>
      <c r="O18" s="6" t="s">
        <v>173</v>
      </c>
      <c r="P18" s="4" t="s">
        <v>184</v>
      </c>
    </row>
    <row r="19" spans="1:16" ht="47.1" customHeight="1">
      <c r="A19" s="6" t="s">
        <v>185</v>
      </c>
      <c r="B19" s="6" t="s">
        <v>186</v>
      </c>
      <c r="C19" s="6" t="s">
        <v>77</v>
      </c>
      <c r="D19" s="6" t="s">
        <v>187</v>
      </c>
      <c r="E19" s="6" t="s">
        <v>188</v>
      </c>
      <c r="F19" s="6" t="s">
        <v>189</v>
      </c>
      <c r="G19" s="6" t="s">
        <v>190</v>
      </c>
      <c r="H19" s="6" t="s">
        <v>191</v>
      </c>
      <c r="I19" s="7" t="s">
        <v>57</v>
      </c>
      <c r="J19" s="6" t="s">
        <v>192</v>
      </c>
      <c r="K19" s="6" t="s">
        <v>193</v>
      </c>
      <c r="L19" s="6" t="s">
        <v>29</v>
      </c>
      <c r="M19" s="6" t="s">
        <v>60</v>
      </c>
      <c r="N19" s="6" t="s">
        <v>61</v>
      </c>
      <c r="O19" s="6" t="s">
        <v>194</v>
      </c>
      <c r="P19" s="4" t="s">
        <v>195</v>
      </c>
    </row>
    <row r="20" spans="1:16" ht="47.1" customHeight="1">
      <c r="A20" s="6" t="s">
        <v>196</v>
      </c>
      <c r="B20" s="6" t="s">
        <v>88</v>
      </c>
      <c r="C20" s="6" t="s">
        <v>77</v>
      </c>
      <c r="D20" s="6" t="s">
        <v>197</v>
      </c>
      <c r="E20" s="6" t="s">
        <v>198</v>
      </c>
      <c r="F20" s="6" t="s">
        <v>199</v>
      </c>
      <c r="G20" s="6" t="s">
        <v>200</v>
      </c>
      <c r="H20" s="6" t="s">
        <v>201</v>
      </c>
      <c r="I20" s="7" t="s">
        <v>57</v>
      </c>
      <c r="J20" s="6" t="s">
        <v>202</v>
      </c>
      <c r="K20" s="6" t="s">
        <v>203</v>
      </c>
      <c r="L20" s="6" t="s">
        <v>29</v>
      </c>
      <c r="M20" s="6" t="s">
        <v>60</v>
      </c>
      <c r="N20" s="6" t="s">
        <v>61</v>
      </c>
      <c r="O20" s="6" t="s">
        <v>204</v>
      </c>
      <c r="P20" s="4" t="s">
        <v>205</v>
      </c>
    </row>
    <row r="21" spans="1:16" ht="47.1" customHeight="1">
      <c r="A21" s="6" t="s">
        <v>206</v>
      </c>
      <c r="B21" s="6" t="s">
        <v>207</v>
      </c>
      <c r="C21" s="6" t="s">
        <v>208</v>
      </c>
      <c r="D21" s="6" t="s">
        <v>209</v>
      </c>
      <c r="E21" s="6" t="s">
        <v>210</v>
      </c>
      <c r="F21" s="6" t="s">
        <v>211</v>
      </c>
      <c r="G21" s="6" t="s">
        <v>212</v>
      </c>
      <c r="H21" s="6" t="s">
        <v>213</v>
      </c>
      <c r="I21" s="7" t="s">
        <v>57</v>
      </c>
      <c r="J21" s="6" t="s">
        <v>214</v>
      </c>
      <c r="K21" s="6" t="s">
        <v>215</v>
      </c>
      <c r="L21" s="6" t="s">
        <v>29</v>
      </c>
      <c r="M21" s="6" t="s">
        <v>60</v>
      </c>
      <c r="N21" s="6" t="s">
        <v>61</v>
      </c>
      <c r="O21" s="6" t="s">
        <v>216</v>
      </c>
      <c r="P21" s="4" t="s">
        <v>217</v>
      </c>
    </row>
    <row r="22" spans="1:16" ht="47.1" customHeight="1">
      <c r="A22" s="6" t="s">
        <v>218</v>
      </c>
      <c r="B22" s="6" t="s">
        <v>219</v>
      </c>
      <c r="C22" s="6" t="s">
        <v>208</v>
      </c>
      <c r="D22" s="6" t="s">
        <v>220</v>
      </c>
      <c r="E22" s="6" t="s">
        <v>221</v>
      </c>
      <c r="F22" s="6" t="s">
        <v>222</v>
      </c>
      <c r="G22" s="6" t="s">
        <v>223</v>
      </c>
      <c r="H22" s="6" t="s">
        <v>224</v>
      </c>
      <c r="I22" s="7" t="s">
        <v>57</v>
      </c>
      <c r="J22" s="6" t="s">
        <v>17</v>
      </c>
      <c r="K22" s="6" t="s">
        <v>225</v>
      </c>
      <c r="L22" s="6" t="s">
        <v>29</v>
      </c>
      <c r="M22" s="6" t="s">
        <v>60</v>
      </c>
      <c r="N22" s="6" t="s">
        <v>61</v>
      </c>
      <c r="O22" s="6" t="s">
        <v>226</v>
      </c>
      <c r="P22" s="4" t="s">
        <v>227</v>
      </c>
    </row>
    <row r="23" spans="1:16" ht="47.1" customHeight="1">
      <c r="A23" s="6" t="s">
        <v>228</v>
      </c>
      <c r="B23" s="6" t="s">
        <v>219</v>
      </c>
      <c r="C23" s="6" t="s">
        <v>208</v>
      </c>
      <c r="D23" s="6" t="s">
        <v>229</v>
      </c>
      <c r="E23" s="6" t="s">
        <v>230</v>
      </c>
      <c r="F23" s="6" t="s">
        <v>231</v>
      </c>
      <c r="G23" s="6" t="s">
        <v>232</v>
      </c>
      <c r="H23" s="6" t="s">
        <v>233</v>
      </c>
      <c r="I23" s="7" t="s">
        <v>57</v>
      </c>
      <c r="J23" s="6" t="s">
        <v>234</v>
      </c>
      <c r="K23" s="6" t="s">
        <v>235</v>
      </c>
      <c r="L23" s="6" t="s">
        <v>29</v>
      </c>
      <c r="M23" s="6" t="s">
        <v>60</v>
      </c>
      <c r="N23" s="6" t="s">
        <v>61</v>
      </c>
      <c r="O23" s="6" t="s">
        <v>236</v>
      </c>
      <c r="P23" s="4" t="s">
        <v>237</v>
      </c>
    </row>
    <row r="24" spans="1:16" ht="47.1" customHeight="1">
      <c r="A24" s="6" t="s">
        <v>238</v>
      </c>
      <c r="B24" s="6" t="s">
        <v>219</v>
      </c>
      <c r="C24" s="6" t="s">
        <v>208</v>
      </c>
      <c r="D24" s="6" t="s">
        <v>239</v>
      </c>
      <c r="E24" s="6" t="s">
        <v>240</v>
      </c>
      <c r="F24" s="6" t="s">
        <v>241</v>
      </c>
      <c r="G24" s="6" t="s">
        <v>242</v>
      </c>
      <c r="H24" s="6" t="s">
        <v>243</v>
      </c>
      <c r="I24" s="7" t="s">
        <v>57</v>
      </c>
      <c r="J24" s="6" t="s">
        <v>244</v>
      </c>
      <c r="K24" s="6" t="s">
        <v>245</v>
      </c>
      <c r="L24" s="6" t="s">
        <v>29</v>
      </c>
      <c r="M24" s="6" t="s">
        <v>60</v>
      </c>
      <c r="N24" s="6" t="s">
        <v>61</v>
      </c>
      <c r="O24" s="6" t="s">
        <v>236</v>
      </c>
      <c r="P24" s="4" t="s">
        <v>246</v>
      </c>
    </row>
    <row r="25" spans="1:16" ht="47.1" customHeight="1">
      <c r="A25" s="6" t="s">
        <v>247</v>
      </c>
      <c r="B25" s="6" t="s">
        <v>219</v>
      </c>
      <c r="C25" s="6" t="s">
        <v>208</v>
      </c>
      <c r="D25" s="6" t="s">
        <v>248</v>
      </c>
      <c r="E25" s="6" t="s">
        <v>249</v>
      </c>
      <c r="F25" s="6" t="s">
        <v>250</v>
      </c>
      <c r="G25" s="6" t="s">
        <v>251</v>
      </c>
      <c r="H25" s="6" t="s">
        <v>252</v>
      </c>
      <c r="I25" s="7" t="s">
        <v>57</v>
      </c>
      <c r="J25" s="6" t="s">
        <v>253</v>
      </c>
      <c r="K25" s="6" t="s">
        <v>254</v>
      </c>
      <c r="L25" s="6" t="s">
        <v>29</v>
      </c>
      <c r="M25" s="6" t="s">
        <v>60</v>
      </c>
      <c r="N25" s="6" t="s">
        <v>61</v>
      </c>
      <c r="O25" s="6" t="s">
        <v>255</v>
      </c>
      <c r="P25" s="4" t="s">
        <v>256</v>
      </c>
    </row>
    <row r="26" spans="1:16" ht="47.1" customHeight="1">
      <c r="A26" s="6" t="s">
        <v>257</v>
      </c>
      <c r="B26" s="6" t="s">
        <v>219</v>
      </c>
      <c r="C26" s="6" t="s">
        <v>208</v>
      </c>
      <c r="D26" s="6" t="s">
        <v>258</v>
      </c>
      <c r="E26" s="6" t="s">
        <v>259</v>
      </c>
      <c r="F26" s="6" t="s">
        <v>260</v>
      </c>
      <c r="G26" s="6" t="s">
        <v>261</v>
      </c>
      <c r="H26" s="6" t="s">
        <v>262</v>
      </c>
      <c r="I26" s="7" t="s">
        <v>57</v>
      </c>
      <c r="J26" s="6" t="s">
        <v>19</v>
      </c>
      <c r="K26" s="6" t="s">
        <v>263</v>
      </c>
      <c r="L26" s="6" t="s">
        <v>29</v>
      </c>
      <c r="M26" s="6" t="s">
        <v>60</v>
      </c>
      <c r="N26" s="6" t="s">
        <v>61</v>
      </c>
      <c r="O26" s="6" t="s">
        <v>264</v>
      </c>
      <c r="P26" s="4" t="s">
        <v>265</v>
      </c>
    </row>
    <row r="27" spans="1:16" ht="47.1" customHeight="1">
      <c r="A27" s="6" t="s">
        <v>266</v>
      </c>
      <c r="B27" s="6" t="s">
        <v>267</v>
      </c>
      <c r="C27" s="6" t="s">
        <v>208</v>
      </c>
      <c r="D27" s="6" t="s">
        <v>268</v>
      </c>
      <c r="E27" s="6" t="s">
        <v>269</v>
      </c>
      <c r="F27" s="6" t="s">
        <v>270</v>
      </c>
      <c r="G27" s="6" t="s">
        <v>271</v>
      </c>
      <c r="H27" s="6" t="s">
        <v>272</v>
      </c>
      <c r="I27" s="7" t="s">
        <v>57</v>
      </c>
      <c r="J27" s="6" t="s">
        <v>273</v>
      </c>
      <c r="K27" s="6" t="s">
        <v>274</v>
      </c>
      <c r="L27" s="6" t="s">
        <v>29</v>
      </c>
      <c r="M27" s="6" t="s">
        <v>60</v>
      </c>
      <c r="N27" s="6" t="s">
        <v>61</v>
      </c>
      <c r="O27" s="6" t="s">
        <v>275</v>
      </c>
      <c r="P27" s="4" t="s">
        <v>276</v>
      </c>
    </row>
  </sheetData>
  <mergeCells count="2">
    <mergeCell ref="A1:O2"/>
    <mergeCell ref="A3:O3"/>
  </mergeCells>
  <dataValidations count="1">
    <dataValidation type="list" sqref="I7:I27" xr:uid="{00000000-0002-0000-0100-000000000000}">
      <formula1>"PASS,FAIL,NOT RUN,BLOCKED,RETEST"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
  <sheetViews>
    <sheetView workbookViewId="0">
      <pane ySplit="6" topLeftCell="A7" activePane="bottomLeft" state="frozen"/>
      <selection pane="bottomLeft" sqref="A1:H2"/>
    </sheetView>
  </sheetViews>
  <sheetFormatPr defaultRowHeight="14.25"/>
  <cols>
    <col min="1" max="1" width="22" customWidth="1"/>
    <col min="2" max="2" width="19" customWidth="1"/>
    <col min="3" max="3" width="35" customWidth="1"/>
    <col min="4" max="4" width="23" customWidth="1"/>
    <col min="5" max="5" width="60" customWidth="1"/>
    <col min="6" max="6" width="19" customWidth="1"/>
    <col min="7" max="7" width="23" customWidth="1"/>
    <col min="8" max="8" width="85" customWidth="1"/>
  </cols>
  <sheetData>
    <row r="1" spans="1:8" ht="24" customHeight="1">
      <c r="A1" s="9" t="s">
        <v>277</v>
      </c>
      <c r="B1" s="9"/>
      <c r="C1" s="9"/>
      <c r="D1" s="9"/>
      <c r="E1" s="9"/>
      <c r="F1" s="9"/>
      <c r="G1" s="9"/>
      <c r="H1" s="9"/>
    </row>
    <row r="2" spans="1:8" ht="24" customHeight="1">
      <c r="A2" s="9"/>
      <c r="B2" s="9"/>
      <c r="C2" s="9"/>
      <c r="D2" s="9"/>
      <c r="E2" s="9"/>
      <c r="F2" s="9"/>
      <c r="G2" s="9"/>
      <c r="H2" s="9"/>
    </row>
    <row r="3" spans="1:8" ht="24" customHeight="1">
      <c r="A3" s="10" t="s">
        <v>278</v>
      </c>
      <c r="B3" s="10"/>
      <c r="C3" s="10"/>
      <c r="D3" s="10"/>
      <c r="E3" s="10"/>
      <c r="F3" s="10"/>
      <c r="G3" s="10"/>
      <c r="H3" s="10"/>
    </row>
    <row r="6" spans="1:8" ht="32.1" customHeight="1">
      <c r="A6" s="1" t="s">
        <v>15</v>
      </c>
      <c r="B6" s="1" t="s">
        <v>36</v>
      </c>
      <c r="C6" s="1" t="s">
        <v>279</v>
      </c>
      <c r="D6" s="1" t="s">
        <v>280</v>
      </c>
      <c r="E6" s="1" t="s">
        <v>281</v>
      </c>
      <c r="F6" s="1" t="s">
        <v>282</v>
      </c>
      <c r="G6" s="1" t="s">
        <v>283</v>
      </c>
      <c r="H6" s="1" t="s">
        <v>284</v>
      </c>
    </row>
    <row r="7" spans="1:8" ht="38.1" customHeight="1">
      <c r="A7" s="6" t="s">
        <v>58</v>
      </c>
      <c r="B7" s="6" t="s">
        <v>51</v>
      </c>
      <c r="C7" s="6" t="s">
        <v>52</v>
      </c>
      <c r="D7" s="6" t="s">
        <v>285</v>
      </c>
      <c r="E7" s="6" t="s">
        <v>59</v>
      </c>
      <c r="F7" s="6" t="s">
        <v>286</v>
      </c>
      <c r="G7" s="6" t="s">
        <v>287</v>
      </c>
      <c r="H7" s="6" t="s">
        <v>288</v>
      </c>
    </row>
    <row r="8" spans="1:8" ht="38.1" customHeight="1">
      <c r="A8" s="6" t="s">
        <v>71</v>
      </c>
      <c r="B8" s="6" t="s">
        <v>51</v>
      </c>
      <c r="C8" s="6" t="s">
        <v>66</v>
      </c>
      <c r="D8" s="6" t="s">
        <v>289</v>
      </c>
      <c r="E8" s="6" t="s">
        <v>72</v>
      </c>
      <c r="F8" s="6" t="s">
        <v>290</v>
      </c>
      <c r="G8" s="6" t="s">
        <v>287</v>
      </c>
      <c r="H8" s="6" t="s">
        <v>291</v>
      </c>
    </row>
    <row r="9" spans="1:8" ht="38.1" customHeight="1">
      <c r="A9" s="6" t="s">
        <v>83</v>
      </c>
      <c r="B9" s="6" t="s">
        <v>77</v>
      </c>
      <c r="C9" s="6" t="s">
        <v>78</v>
      </c>
      <c r="D9" s="6" t="s">
        <v>292</v>
      </c>
      <c r="E9" s="6" t="s">
        <v>84</v>
      </c>
      <c r="F9" s="6" t="s">
        <v>293</v>
      </c>
      <c r="G9" s="6" t="s">
        <v>287</v>
      </c>
      <c r="H9" s="6" t="s">
        <v>294</v>
      </c>
    </row>
    <row r="10" spans="1:8" ht="38.1" customHeight="1">
      <c r="A10" s="6" t="s">
        <v>94</v>
      </c>
      <c r="B10" s="6" t="s">
        <v>77</v>
      </c>
      <c r="C10" s="6" t="s">
        <v>89</v>
      </c>
      <c r="D10" s="6" t="s">
        <v>295</v>
      </c>
      <c r="E10" s="6" t="s">
        <v>95</v>
      </c>
      <c r="F10" s="6" t="s">
        <v>296</v>
      </c>
      <c r="G10" s="6" t="s">
        <v>287</v>
      </c>
      <c r="H10" s="6" t="s">
        <v>297</v>
      </c>
    </row>
    <row r="11" spans="1:8" ht="38.1" customHeight="1">
      <c r="A11" s="6" t="s">
        <v>105</v>
      </c>
      <c r="B11" s="6" t="s">
        <v>77</v>
      </c>
      <c r="C11" s="6" t="s">
        <v>100</v>
      </c>
      <c r="D11" s="6" t="s">
        <v>298</v>
      </c>
      <c r="E11" s="6" t="s">
        <v>106</v>
      </c>
      <c r="F11" s="6" t="s">
        <v>299</v>
      </c>
      <c r="G11" s="6" t="s">
        <v>287</v>
      </c>
      <c r="H11" s="6" t="s">
        <v>300</v>
      </c>
    </row>
    <row r="12" spans="1:8" ht="38.1" customHeight="1">
      <c r="A12" s="6" t="s">
        <v>116</v>
      </c>
      <c r="B12" s="6" t="s">
        <v>77</v>
      </c>
      <c r="C12" s="6" t="s">
        <v>111</v>
      </c>
      <c r="D12" s="6" t="s">
        <v>301</v>
      </c>
      <c r="E12" s="6" t="s">
        <v>117</v>
      </c>
      <c r="F12" s="6" t="s">
        <v>302</v>
      </c>
      <c r="G12" s="6" t="s">
        <v>287</v>
      </c>
      <c r="H12" s="6" t="s">
        <v>303</v>
      </c>
    </row>
    <row r="13" spans="1:8" ht="38.1" customHeight="1">
      <c r="A13" s="6" t="s">
        <v>127</v>
      </c>
      <c r="B13" s="6" t="s">
        <v>77</v>
      </c>
      <c r="C13" s="6" t="s">
        <v>122</v>
      </c>
      <c r="D13" s="6" t="s">
        <v>304</v>
      </c>
      <c r="E13" s="6" t="s">
        <v>128</v>
      </c>
      <c r="F13" s="6" t="s">
        <v>305</v>
      </c>
      <c r="G13" s="6" t="s">
        <v>287</v>
      </c>
      <c r="H13" s="6" t="s">
        <v>306</v>
      </c>
    </row>
    <row r="14" spans="1:8" ht="38.1" customHeight="1">
      <c r="A14" s="6" t="s">
        <v>138</v>
      </c>
      <c r="B14" s="6" t="s">
        <v>77</v>
      </c>
      <c r="C14" s="6" t="s">
        <v>133</v>
      </c>
      <c r="D14" s="6" t="s">
        <v>307</v>
      </c>
      <c r="E14" s="6" t="s">
        <v>139</v>
      </c>
      <c r="F14" s="6" t="s">
        <v>308</v>
      </c>
      <c r="G14" s="6" t="s">
        <v>287</v>
      </c>
      <c r="H14" s="6" t="s">
        <v>309</v>
      </c>
    </row>
    <row r="15" spans="1:8" ht="38.1" customHeight="1">
      <c r="A15" s="6" t="s">
        <v>149</v>
      </c>
      <c r="B15" s="6" t="s">
        <v>77</v>
      </c>
      <c r="C15" s="6" t="s">
        <v>144</v>
      </c>
      <c r="D15" s="6" t="s">
        <v>310</v>
      </c>
      <c r="E15" s="6" t="s">
        <v>150</v>
      </c>
      <c r="F15" s="6" t="s">
        <v>311</v>
      </c>
      <c r="G15" s="6" t="s">
        <v>287</v>
      </c>
      <c r="H15" s="6" t="s">
        <v>312</v>
      </c>
    </row>
    <row r="16" spans="1:8" ht="38.1" customHeight="1">
      <c r="A16" s="6" t="s">
        <v>160</v>
      </c>
      <c r="B16" s="6" t="s">
        <v>77</v>
      </c>
      <c r="C16" s="6" t="s">
        <v>155</v>
      </c>
      <c r="D16" s="6" t="s">
        <v>313</v>
      </c>
      <c r="E16" s="6" t="s">
        <v>161</v>
      </c>
      <c r="F16" s="6" t="s">
        <v>314</v>
      </c>
      <c r="G16" s="6" t="s">
        <v>287</v>
      </c>
      <c r="H16" s="6" t="s">
        <v>315</v>
      </c>
    </row>
    <row r="17" spans="1:8" ht="38.1" customHeight="1">
      <c r="A17" s="6" t="s">
        <v>171</v>
      </c>
      <c r="B17" s="6" t="s">
        <v>77</v>
      </c>
      <c r="C17" s="6" t="s">
        <v>166</v>
      </c>
      <c r="D17" s="6" t="s">
        <v>316</v>
      </c>
      <c r="E17" s="6" t="s">
        <v>172</v>
      </c>
      <c r="F17" s="6" t="s">
        <v>317</v>
      </c>
      <c r="G17" s="6" t="s">
        <v>287</v>
      </c>
      <c r="H17" s="6" t="s">
        <v>318</v>
      </c>
    </row>
    <row r="18" spans="1:8" ht="38.1" customHeight="1">
      <c r="A18" s="6" t="s">
        <v>182</v>
      </c>
      <c r="B18" s="6" t="s">
        <v>77</v>
      </c>
      <c r="C18" s="6" t="s">
        <v>177</v>
      </c>
      <c r="D18" s="6" t="s">
        <v>319</v>
      </c>
      <c r="E18" s="6" t="s">
        <v>183</v>
      </c>
      <c r="F18" s="6" t="s">
        <v>320</v>
      </c>
      <c r="G18" s="6" t="s">
        <v>287</v>
      </c>
      <c r="H18" s="6" t="s">
        <v>321</v>
      </c>
    </row>
    <row r="19" spans="1:8" ht="38.1" customHeight="1">
      <c r="A19" s="6" t="s">
        <v>192</v>
      </c>
      <c r="B19" s="6" t="s">
        <v>77</v>
      </c>
      <c r="C19" s="6" t="s">
        <v>187</v>
      </c>
      <c r="D19" s="6" t="s">
        <v>322</v>
      </c>
      <c r="E19" s="6" t="s">
        <v>193</v>
      </c>
      <c r="F19" s="6" t="s">
        <v>323</v>
      </c>
      <c r="G19" s="6" t="s">
        <v>287</v>
      </c>
      <c r="H19" s="6" t="s">
        <v>324</v>
      </c>
    </row>
    <row r="20" spans="1:8" ht="38.1" customHeight="1">
      <c r="A20" s="6" t="s">
        <v>202</v>
      </c>
      <c r="B20" s="6" t="s">
        <v>77</v>
      </c>
      <c r="C20" s="6" t="s">
        <v>197</v>
      </c>
      <c r="D20" s="6" t="s">
        <v>325</v>
      </c>
      <c r="E20" s="6" t="s">
        <v>203</v>
      </c>
      <c r="F20" s="6" t="s">
        <v>326</v>
      </c>
      <c r="G20" s="6" t="s">
        <v>287</v>
      </c>
      <c r="H20" s="6" t="s">
        <v>327</v>
      </c>
    </row>
    <row r="21" spans="1:8" ht="38.1" customHeight="1">
      <c r="A21" s="6" t="s">
        <v>214</v>
      </c>
      <c r="B21" s="6" t="s">
        <v>208</v>
      </c>
      <c r="C21" s="6" t="s">
        <v>209</v>
      </c>
      <c r="D21" s="6" t="s">
        <v>328</v>
      </c>
      <c r="E21" s="6" t="s">
        <v>215</v>
      </c>
      <c r="F21" s="6" t="s">
        <v>329</v>
      </c>
      <c r="G21" s="6" t="s">
        <v>287</v>
      </c>
      <c r="H21" s="6" t="s">
        <v>330</v>
      </c>
    </row>
    <row r="22" spans="1:8" ht="38.1" customHeight="1">
      <c r="A22" s="6" t="s">
        <v>17</v>
      </c>
      <c r="B22" s="6" t="s">
        <v>208</v>
      </c>
      <c r="C22" s="6" t="s">
        <v>220</v>
      </c>
      <c r="D22" s="6" t="s">
        <v>331</v>
      </c>
      <c r="E22" s="6" t="s">
        <v>225</v>
      </c>
      <c r="F22" s="6" t="s">
        <v>290</v>
      </c>
      <c r="G22" s="6" t="s">
        <v>287</v>
      </c>
      <c r="H22" s="6" t="s">
        <v>332</v>
      </c>
    </row>
    <row r="23" spans="1:8" ht="38.1" customHeight="1">
      <c r="A23" s="6" t="s">
        <v>234</v>
      </c>
      <c r="B23" s="6" t="s">
        <v>208</v>
      </c>
      <c r="C23" s="6" t="s">
        <v>229</v>
      </c>
      <c r="D23" s="6" t="s">
        <v>333</v>
      </c>
      <c r="E23" s="6" t="s">
        <v>235</v>
      </c>
      <c r="F23" s="6" t="s">
        <v>334</v>
      </c>
      <c r="G23" s="6" t="s">
        <v>287</v>
      </c>
      <c r="H23" s="6" t="s">
        <v>335</v>
      </c>
    </row>
    <row r="24" spans="1:8" ht="38.1" customHeight="1">
      <c r="A24" s="6" t="s">
        <v>244</v>
      </c>
      <c r="B24" s="6" t="s">
        <v>208</v>
      </c>
      <c r="C24" s="6" t="s">
        <v>239</v>
      </c>
      <c r="D24" s="6" t="s">
        <v>336</v>
      </c>
      <c r="E24" s="6" t="s">
        <v>245</v>
      </c>
      <c r="F24" s="6" t="s">
        <v>337</v>
      </c>
      <c r="G24" s="6" t="s">
        <v>287</v>
      </c>
      <c r="H24" s="6" t="s">
        <v>338</v>
      </c>
    </row>
    <row r="25" spans="1:8" ht="38.1" customHeight="1">
      <c r="A25" s="6" t="s">
        <v>253</v>
      </c>
      <c r="B25" s="6" t="s">
        <v>208</v>
      </c>
      <c r="C25" s="6" t="s">
        <v>248</v>
      </c>
      <c r="D25" s="6" t="s">
        <v>339</v>
      </c>
      <c r="E25" s="6" t="s">
        <v>254</v>
      </c>
      <c r="F25" s="6" t="s">
        <v>340</v>
      </c>
      <c r="G25" s="6" t="s">
        <v>287</v>
      </c>
      <c r="H25" s="6" t="s">
        <v>341</v>
      </c>
    </row>
    <row r="26" spans="1:8" ht="38.1" customHeight="1">
      <c r="A26" s="6" t="s">
        <v>19</v>
      </c>
      <c r="B26" s="6" t="s">
        <v>208</v>
      </c>
      <c r="C26" s="6" t="s">
        <v>258</v>
      </c>
      <c r="D26" s="6" t="s">
        <v>342</v>
      </c>
      <c r="E26" s="6" t="s">
        <v>263</v>
      </c>
      <c r="F26" s="6" t="s">
        <v>290</v>
      </c>
      <c r="G26" s="6" t="s">
        <v>287</v>
      </c>
      <c r="H26" s="6" t="s">
        <v>343</v>
      </c>
    </row>
    <row r="27" spans="1:8" ht="38.1" customHeight="1">
      <c r="A27" s="6" t="s">
        <v>273</v>
      </c>
      <c r="B27" s="6" t="s">
        <v>208</v>
      </c>
      <c r="C27" s="6" t="s">
        <v>268</v>
      </c>
      <c r="D27" s="6" t="s">
        <v>344</v>
      </c>
      <c r="E27" s="6" t="s">
        <v>274</v>
      </c>
      <c r="F27" s="6" t="s">
        <v>290</v>
      </c>
      <c r="G27" s="6" t="s">
        <v>287</v>
      </c>
      <c r="H27" s="6" t="s">
        <v>345</v>
      </c>
    </row>
  </sheetData>
  <mergeCells count="2">
    <mergeCell ref="A1:H2"/>
    <mergeCell ref="A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Test Cases</vt:lpstr>
      <vt:lpstr>Evidence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Jerald Christopher Bucud</cp:lastModifiedBy>
  <dcterms:modified xsi:type="dcterms:W3CDTF">2026-10-13T02:03:08Z</dcterms:modified>
</cp:coreProperties>
</file>