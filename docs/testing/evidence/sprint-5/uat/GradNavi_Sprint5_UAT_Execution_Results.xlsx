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88778bc1b20425b" /></Relationships>
</file>

<file path=xl/workbook.xml><?xml version="1.0" encoding="utf-8"?>
<x:workbook xmlns:x="http://schemas.openxmlformats.org/spreadsheetml/2006/main">
  <x:sheets>
    <x:sheet xmlns:r="http://schemas.openxmlformats.org/officeDocument/2006/relationships" name="UAT Summary" sheetId="1" r:id="R5f0d8f34553c435d"/>
    <x:sheet xmlns:r="http://schemas.openxmlformats.org/officeDocument/2006/relationships" name="Scenario Register" sheetId="2" r:id="Rac50f3af303040ff"/>
    <x:sheet xmlns:r="http://schemas.openxmlformats.org/officeDocument/2006/relationships" name="Detailed Steps" sheetId="3" r:id="R0517056a5e8f4517"/>
    <x:sheet xmlns:r="http://schemas.openxmlformats.org/officeDocument/2006/relationships" name="Evidence Register" sheetId="4" r:id="Rc643184f4f814ff3"/>
    <x:sheet xmlns:r="http://schemas.openxmlformats.org/officeDocument/2006/relationships" name="Requirements Coverage" sheetId="5" r:id="R53307f7a9f284317"/>
    <x:sheet xmlns:r="http://schemas.openxmlformats.org/officeDocument/2006/relationships" name="Observations &amp; Actions" sheetId="6" r:id="R3c20a48277fa4760"/>
    <x:sheet xmlns:r="http://schemas.openxmlformats.org/officeDocument/2006/relationships" name="Team Acceptance" sheetId="7" r:id="R6911d53c633f4bd4"/>
    <x:sheet xmlns:r="http://schemas.openxmlformats.org/officeDocument/2006/relationships" name="How to Use" sheetId="8" r:id="R268e5034b22c4f12"/>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12">
    <x:font>
      <x:sz val="11"/>
      <x:name val="Carlito"/>
    </x:font>
    <x:font>
      <x:b/>
      <x:sz val="17"/>
      <x:color rgb="FFFFFFFF"/>
      <x:name val="Carlito"/>
    </x:font>
    <x:font>
      <x:sz val="10"/>
      <x:color rgb="FF0B2443"/>
      <x:name val="Carlito"/>
    </x:font>
    <x:font>
      <x:b/>
      <x:sz val="10"/>
      <x:color rgb="FFFFFFFF"/>
      <x:name val="Carlito"/>
    </x:font>
    <x:font>
      <x:sz val="10"/>
      <x:color rgb="FF20364E"/>
      <x:name val="Aptos"/>
    </x:font>
    <x:font>
      <x:b/>
      <x:sz val="10"/>
      <x:color rgb="FF1476B8"/>
      <x:name val="Aptos"/>
    </x:font>
    <x:font>
      <x:b/>
      <x:sz val="10"/>
      <x:color rgb="FF147D55"/>
      <x:name val="Aptos"/>
    </x:font>
    <x:font>
      <x:sz val="10"/>
      <x:color rgb="FF147D55"/>
      <x:name val="Aptos"/>
    </x:font>
    <x:font>
      <x:b/>
      <x:sz val="11"/>
      <x:color rgb="FFFFFFFF"/>
      <x:name val="Carlito"/>
    </x:font>
    <x:font>
      <x:b/>
      <x:sz val="14"/>
      <x:color rgb="FF1476B8"/>
      <x:name val="Aptos"/>
    </x:font>
    <x:font>
      <x:b/>
      <x:sz val="12"/>
      <x:color rgb="FF985B16"/>
      <x:name val="Carlito"/>
    </x:font>
    <x:font>
      <x:sz val="11"/>
      <x:color rgb="FF20364E"/>
      <x:name val="Carlito"/>
    </x:font>
  </x:fonts>
  <x:fills count="8">
    <x:fill>
      <x:patternFill patternType="none"/>
    </x:fill>
    <x:fill>
      <x:patternFill patternType="gray125"/>
    </x:fill>
    <x:fill>
      <x:patternFill patternType="solid">
        <x:fgColor rgb="FF10345A"/>
      </x:patternFill>
    </x:fill>
    <x:fill>
      <x:patternFill patternType="solid">
        <x:fgColor rgb="FFDCEEF7"/>
      </x:patternFill>
    </x:fill>
    <x:fill>
      <x:patternFill patternType="solid">
        <x:fgColor rgb="FF1476B8"/>
      </x:patternFill>
    </x:fill>
    <x:fill>
      <x:patternFill patternType="solid">
        <x:fgColor rgb="FFF4F8FC"/>
      </x:patternFill>
    </x:fill>
    <x:fill>
      <x:patternFill patternType="solid">
        <x:fgColor rgb="FFDCF5E6"/>
      </x:patternFill>
    </x:fill>
    <x:fill>
      <x:patternFill patternType="solid">
        <x:fgColor rgb="FFFEF0D3"/>
      </x:patternFill>
    </x:fill>
  </x:fills>
  <x:borders count="2">
    <x:border/>
    <x:border/>
  </x:borders>
  <x:cellStyleXfs count="1">
    <x:xf numFmtId="0" fontId="0" fillId="0" borderId="0"/>
  </x:cellStyleXfs>
  <x:cellXfs count="8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5" fillId="5" borderId="0" xfId="0" applyNumberFormat="1" applyFont="1" applyFill="1" applyBorder="1" applyAlignment="1">
      <x:alignment vertical="top" wrapText="1"/>
    </x:xf>
    <x:xf numFmtId="0" fontId="5" fillId="0" borderId="1" xfId="0" applyNumberFormat="1" applyFont="1" applyFill="1" applyBorder="1" applyAlignment="1">
      <x:alignment vertical="top" wrapText="1"/>
    </x:xf>
    <x:xf numFmtId="0" fontId="5" fillId="5" borderId="1"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6" fillId="6" borderId="0" xfId="0" applyNumberFormat="1" applyFont="1" applyFill="1" applyBorder="1" applyAlignment="1">
      <x:alignment vertical="top" wrapText="1"/>
    </x:xf>
    <x:xf numFmtId="0" fontId="4" fillId="6" borderId="1" xfId="0" applyNumberFormat="1" applyFont="1" applyFill="1" applyBorder="1" applyAlignment="1">
      <x:alignment vertical="top" wrapText="1"/>
    </x:xf>
    <x:xf numFmtId="0" fontId="6" fillId="6" borderId="1"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5" borderId="1" xfId="0" applyNumberFormat="1" applyFont="1" applyFill="1" applyBorder="1" applyAlignment="1">
      <x:alignment vertical="top" wrapText="1"/>
    </x:xf>
    <x:xf numFmtId="0" fontId="8" fillId="4" borderId="0" xfId="0" applyNumberFormat="1" applyFont="1" applyFill="1" applyBorder="1"/>
    <x:xf numFmtId="0" fontId="8" fillId="4"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200" fontId="4" fillId="0" borderId="0" xfId="0" applyNumberFormat="1" applyFont="1" applyFill="1" applyBorder="1"/>
    <x:xf numFmtId="200" fontId="4" fillId="0" borderId="0" xfId="0" applyNumberFormat="1" applyFont="1" applyFill="1" applyBorder="1" applyAlignment="1">
      <x:alignment wrapText="1"/>
    </x:xf>
    <x:xf numFmtId="200" fontId="4" fillId="0" borderId="0" xfId="0" applyNumberFormat="1" applyFont="1" applyFill="1" applyBorder="1" applyAlignment="1">
      <x:alignment vertical="top" wrapText="1"/>
    </x:xf>
    <x:xf numFmtId="200" fontId="4" fillId="0" borderId="1" xfId="0" applyNumberFormat="1" applyFont="1" applyFill="1" applyBorder="1"/>
    <x:xf numFmtId="200" fontId="4" fillId="0" borderId="1" xfId="0" applyNumberFormat="1" applyFont="1" applyFill="1" applyBorder="1" applyAlignment="1">
      <x:alignment wrapText="1"/>
    </x:xf>
    <x:xf numFmtId="200" fontId="4" fillId="0" borderId="1" xfId="0" applyNumberFormat="1" applyFont="1" applyFill="1" applyBorder="1" applyAlignment="1">
      <x:alignment vertical="top" wrapText="1"/>
    </x:xf>
    <x:xf numFmtId="0" fontId="9" fillId="0" borderId="0" xfId="0" applyNumberFormat="1" applyFont="1" applyFill="1" applyBorder="1" applyAlignment="1">
      <x:alignment vertical="top" wrapText="1"/>
    </x:xf>
    <x:xf numFmtId="0" fontId="9" fillId="5" borderId="0" xfId="0" applyNumberFormat="1" applyFont="1" applyFill="1" applyBorder="1" applyAlignment="1">
      <x:alignment vertical="top" wrapText="1"/>
    </x:xf>
    <x:xf numFmtId="200" fontId="9" fillId="0" borderId="0" xfId="0" applyNumberFormat="1" applyFont="1" applyFill="1" applyBorder="1" applyAlignment="1">
      <x:alignment vertical="top" wrapText="1"/>
    </x:xf>
    <x:xf numFmtId="0" fontId="9" fillId="0" borderId="0" xfId="0" applyNumberFormat="1" applyFont="1" applyFill="1" applyBorder="1" applyAlignment="1">
      <x:alignment vertical="center" wrapText="1"/>
    </x:xf>
    <x:xf numFmtId="0" fontId="9" fillId="5" borderId="0" xfId="0" applyNumberFormat="1" applyFont="1" applyFill="1" applyBorder="1" applyAlignment="1">
      <x:alignment vertical="center" wrapText="1"/>
    </x:xf>
    <x:xf numFmtId="200" fontId="9" fillId="0" borderId="0" xfId="0" applyNumberFormat="1" applyFont="1" applyFill="1" applyBorder="1" applyAlignment="1">
      <x:alignment vertical="center" wrapText="1"/>
    </x:xf>
    <x:xf numFmtId="0" fontId="9" fillId="0" borderId="1" xfId="0" applyNumberFormat="1" applyFont="1" applyFill="1" applyBorder="1" applyAlignment="1">
      <x:alignment vertical="top" wrapText="1"/>
    </x:xf>
    <x:xf numFmtId="0" fontId="9" fillId="5" borderId="1" xfId="0" applyNumberFormat="1" applyFont="1" applyFill="1" applyBorder="1" applyAlignment="1">
      <x:alignment vertical="top" wrapText="1"/>
    </x:xf>
    <x:xf numFmtId="200" fontId="9" fillId="0" borderId="1" xfId="0" applyNumberFormat="1" applyFont="1" applyFill="1" applyBorder="1" applyAlignment="1">
      <x:alignment vertical="top" wrapText="1"/>
    </x:xf>
    <x:xf numFmtId="0" fontId="9" fillId="0" borderId="1" xfId="0" applyNumberFormat="1" applyFont="1" applyFill="1" applyBorder="1" applyAlignment="1">
      <x:alignment vertical="center" wrapText="1"/>
    </x:xf>
    <x:xf numFmtId="0" fontId="9" fillId="5" borderId="1" xfId="0" applyNumberFormat="1" applyFont="1" applyFill="1" applyBorder="1" applyAlignment="1">
      <x:alignment vertical="center" wrapText="1"/>
    </x:xf>
    <x:xf numFmtId="200" fontId="9" fillId="0" borderId="1" xfId="0" applyNumberFormat="1" applyFont="1" applyFill="1" applyBorder="1" applyAlignment="1">
      <x:alignment vertical="center" wrapText="1"/>
    </x:xf>
    <x:xf numFmtId="0" fontId="0" fillId="7" borderId="0" xfId="0" applyNumberFormat="1" applyFont="1" applyFill="1" applyBorder="1"/>
    <x:xf numFmtId="0" fontId="10" fillId="7" borderId="0" xfId="0" applyNumberFormat="1" applyFont="1" applyFill="1" applyBorder="1"/>
    <x:xf numFmtId="0" fontId="0" fillId="7" borderId="1" xfId="0" applyNumberFormat="1" applyFont="1" applyFill="1" applyBorder="1"/>
    <x:xf numFmtId="0" fontId="10" fillId="7" borderId="1" xfId="0" applyNumberFormat="1" applyFont="1" applyFill="1" applyBorder="1"/>
    <x:xf numFmtId="0" fontId="0" fillId="5" borderId="0" xfId="0" applyNumberFormat="1" applyFont="1" applyFill="1" applyBorder="1"/>
    <x:xf numFmtId="0" fontId="11" fillId="5" borderId="0" xfId="0" applyNumberFormat="1" applyFont="1" applyFill="1" applyBorder="1"/>
    <x:xf numFmtId="0" fontId="11" fillId="5" borderId="0" xfId="0" applyNumberFormat="1" applyFont="1" applyFill="1" applyBorder="1" applyAlignment="1">
      <x:alignment wrapText="1"/>
    </x:xf>
    <x:xf numFmtId="0" fontId="11" fillId="5" borderId="0" xfId="0" applyNumberFormat="1" applyFont="1" applyFill="1" applyBorder="1" applyAlignment="1">
      <x:alignment vertical="center" wrapText="1"/>
    </x:xf>
    <x:xf numFmtId="0" fontId="0" fillId="5" borderId="1" xfId="0" applyNumberFormat="1" applyFont="1" applyFill="1" applyBorder="1"/>
    <x:xf numFmtId="0" fontId="11" fillId="5" borderId="1" xfId="0" applyNumberFormat="1" applyFont="1" applyFill="1" applyBorder="1"/>
    <x:xf numFmtId="0" fontId="11" fillId="5" borderId="1" xfId="0" applyNumberFormat="1" applyFont="1" applyFill="1" applyBorder="1" applyAlignment="1">
      <x:alignment wrapText="1"/>
    </x:xf>
    <x:xf numFmtId="0" fontId="11" fillId="5" borderId="1" xfId="0" applyNumberFormat="1" applyFont="1" applyFill="1" applyBorder="1" applyAlignment="1">
      <x:alignment vertical="center" wrapText="1"/>
    </x:xf>
    <x:xf numFmtId="201" fontId="4" fillId="0" borderId="0" xfId="0" applyNumberFormat="1" applyFont="1" applyFill="1" applyBorder="1" applyAlignment="1">
      <x:alignment vertical="top" wrapText="1"/>
    </x:xf>
    <x:xf numFmtId="201" fontId="4" fillId="5" borderId="0" xfId="0" applyNumberFormat="1" applyFont="1" applyFill="1" applyBorder="1" applyAlignment="1">
      <x:alignment vertical="top" wrapText="1"/>
    </x:xf>
    <x:xf numFmtId="201" fontId="4" fillId="0" borderId="1" xfId="0" applyNumberFormat="1" applyFont="1" applyFill="1" applyBorder="1" applyAlignment="1">
      <x:alignment vertical="top" wrapText="1"/>
    </x:xf>
    <x:xf numFmtId="201" fontId="4" fillId="5" borderId="1"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b00162f1aee490b" /><Relationship Type="http://schemas.openxmlformats.org/officeDocument/2006/relationships/theme" Target="/xl/theme/theme1.xml" Id="R8091ccb780434332" /><Relationship Type="http://schemas.openxmlformats.org/officeDocument/2006/relationships/sharedStrings" Target="/xl/sharedStrings.xml" Id="R00a47f20d9e542e8" /><Relationship Type="http://schemas.openxmlformats.org/officeDocument/2006/relationships/worksheet" Target="/xl/worksheets/sheet1.xml" Id="R5f0d8f34553c435d" /><Relationship Type="http://schemas.openxmlformats.org/officeDocument/2006/relationships/worksheet" Target="/xl/worksheets/sheet2.xml" Id="Rac50f3af303040ff" /><Relationship Type="http://schemas.openxmlformats.org/officeDocument/2006/relationships/worksheet" Target="/xl/worksheets/sheet3.xml" Id="R0517056a5e8f4517" /><Relationship Type="http://schemas.openxmlformats.org/officeDocument/2006/relationships/worksheet" Target="/xl/worksheets/sheet4.xml" Id="Rc643184f4f814ff3" /><Relationship Type="http://schemas.openxmlformats.org/officeDocument/2006/relationships/worksheet" Target="/xl/worksheets/sheet5.xml" Id="R53307f7a9f284317" /><Relationship Type="http://schemas.openxmlformats.org/officeDocument/2006/relationships/worksheet" Target="/xl/worksheets/sheet6.xml" Id="R3c20a48277fa4760" /><Relationship Type="http://schemas.openxmlformats.org/officeDocument/2006/relationships/worksheet" Target="/xl/worksheets/sheet7.xml" Id="R6911d53c633f4bd4" /><Relationship Type="http://schemas.openxmlformats.org/officeDocument/2006/relationships/worksheet" Target="/xl/worksheets/sheet8.xml" Id="R268e5034b22c4f1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31" hidden="0" customWidth="1"/>
    <x:col min="2" max="2" width="22" hidden="0" customWidth="1"/>
    <x:col min="3" max="3" width="58" hidden="0" customWidth="1"/>
    <x:col min="4" max="4" width="86" hidden="0" customWidth="1"/>
    <x:col min="5" max="5" width="13" hidden="0" customWidth="1"/>
    <x:col min="6" max="6" width="18" hidden="0" customWidth="1"/>
    <x:col min="7" max="7" width="16" hidden="0" customWidth="1"/>
    <x:col min="8" max="8" width="15" hidden="0" customWidth="1"/>
  </x:cols>
  <x:sheetData>
    <x:row r="1" ht="25" customHeight="1">
      <x:c r="A1" s="4" t="str">
        <x:v>GRADNAVI | FINAL SPRINT 5 USER ACCEPTANCE TESTING</x:v>
      </x:c>
      <x:c r="B1" s="4" t="str">
        <x:v>GRADNAVI | FINAL SPRINT 5 USER ACCEPTANCE TESTING</x:v>
      </x:c>
      <x:c r="C1" s="4" t="str">
        <x:v>GRADNAVI | FINAL SPRINT 5 USER ACCEPTANCE TESTING</x:v>
      </x:c>
      <x:c r="D1" s="4" t="str">
        <x:v>GRADNAVI | FINAL SPRINT 5 USER ACCEPTANCE TESTING</x:v>
      </x:c>
      <x:c r="E1" s="4" t="str">
        <x:v>GRADNAVI | FINAL SPRINT 5 USER ACCEPTANCE TESTING</x:v>
      </x:c>
      <x:c r="F1" s="4" t="str">
        <x:v>GRADNAVI | FINAL SPRINT 5 USER ACCEPTANCE TESTING</x:v>
      </x:c>
      <x:c r="G1" s="4" t="str">
        <x:v>GRADNAVI | FINAL SPRINT 5 USER ACCEPTANCE TESTING</x:v>
      </x:c>
      <x:c r="H1" s="4" t="str">
        <x:v>GRADNAVI | FINAL SPRINT 5 USER ACCEPTANCE TESTING</x:v>
      </x:c>
    </x:row>
    <x:row r="2" ht="25" customHeight="1">
      <x:c r="A2" s="4" t="str">
        <x:v>GRADNAVI | FINAL SPRINT 5 USER ACCEPTANCE TESTING</x:v>
      </x:c>
      <x:c r="B2" s="4" t="str">
        <x:v>GRADNAVI | FINAL SPRINT 5 USER ACCEPTANCE TESTING</x:v>
      </x:c>
      <x:c r="C2" s="4" t="str">
        <x:v>GRADNAVI | FINAL SPRINT 5 USER ACCEPTANCE TESTING</x:v>
      </x:c>
      <x:c r="D2" s="4" t="str">
        <x:v>GRADNAVI | FINAL SPRINT 5 USER ACCEPTANCE TESTING</x:v>
      </x:c>
      <x:c r="E2" s="4" t="str">
        <x:v>GRADNAVI | FINAL SPRINT 5 USER ACCEPTANCE TESTING</x:v>
      </x:c>
      <x:c r="F2" s="4" t="str">
        <x:v>GRADNAVI | FINAL SPRINT 5 USER ACCEPTANCE TESTING</x:v>
      </x:c>
      <x:c r="G2" s="4" t="str">
        <x:v>GRADNAVI | FINAL SPRINT 5 USER ACCEPTANCE TESTING</x:v>
      </x:c>
      <x:c r="H2" s="4" t="str">
        <x:v>GRADNAVI | FINAL SPRINT 5 USER ACCEPTANCE TESTING</x:v>
      </x:c>
    </x:row>
    <x:row r="3" ht="28" customHeight="1">
      <x:c r="A3" s="11" t="str">
        <x:v>WBS 8.6 • Internal team UAT • Deployed product: gradnavi.site • UAT results reported by project lead</x:v>
      </x:c>
      <x:c r="B3" s="11" t="str">
        <x:v>WBS 8.6 • Internal team UAT • Deployed product: gradnavi.site • UAT results reported by project lead</x:v>
      </x:c>
      <x:c r="C3" s="11" t="str">
        <x:v>WBS 8.6 • Internal team UAT • Deployed product: gradnavi.site • UAT results reported by project lead</x:v>
      </x:c>
      <x:c r="D3" s="11" t="str">
        <x:v>WBS 8.6 • Internal team UAT • Deployed product: gradnavi.site • UAT results reported by project lead</x:v>
      </x:c>
      <x:c r="E3" s="11" t="str">
        <x:v>WBS 8.6 • Internal team UAT • Deployed product: gradnavi.site • UAT results reported by project lead</x:v>
      </x:c>
      <x:c r="F3" s="11" t="str">
        <x:v>WBS 8.6 • Internal team UAT • Deployed product: gradnavi.site • UAT results reported by project lead</x:v>
      </x:c>
      <x:c r="G3" s="11" t="str">
        <x:v>WBS 8.6 • Internal team UAT • Deployed product: gradnavi.site • UAT results reported by project lead</x:v>
      </x:c>
      <x:c r="H3" s="11" t="str">
        <x:v>WBS 8.6 • Internal team UAT • Deployed product: gradnavi.site • UAT results reported by project lead</x:v>
      </x:c>
    </x:row>
    <x:row r="4" ht="12" customHeight="1"/>
    <x:row r="5" ht="29" customHeight="1">
      <x:c r="A5" s="44" t="str">
        <x:v>MEASURE</x:v>
      </x:c>
      <x:c r="B5" s="44" t="str">
        <x:v>REPORTED RESULT</x:v>
      </x:c>
      <x:c r="C5" s="44" t="str">
        <x:v>EVIDENCE</x:v>
      </x:c>
      <x:c r="D5" s="44" t="str">
        <x:v>INTERPRETATION</x:v>
      </x:c>
    </x:row>
    <x:row r="6" ht="43" customHeight="1">
      <x:c r="A6" s="26" t="str">
        <x:v>UAT scenarios</x:v>
      </x:c>
      <x:c r="B6" s="57" t="n">
        <x:f>COUNTA('Scenario Register'!A7:A17)</x:f>
        <x:v>11</x:v>
      </x:c>
      <x:c r="C6" s="26" t="str">
        <x:v>11 approved UAT allocations</x:v>
      </x:c>
      <x:c r="D6" s="26" t="str">
        <x:v>Each scenario is distinct from WBS 8.9 Production verification.</x:v>
      </x:c>
    </x:row>
    <x:row r="7" ht="43" customHeight="1">
      <x:c r="A7" s="30" t="str">
        <x:v>PASS (team-reported)</x:v>
      </x:c>
      <x:c r="B7" s="58" t="n">
        <x:f>COUNTIF('Scenario Register'!K7:K17,"PASS (team-reported)")</x:f>
        <x:v>11</x:v>
      </x:c>
      <x:c r="C7" s="30" t="str">
        <x:v>Project lead confirmed all three members executed</x:v>
      </x:c>
      <x:c r="D7" s="30" t="str">
        <x:v>Not equivalent to independently witnessed UAT execution.</x:v>
      </x:c>
    </x:row>
    <x:row r="8" ht="43" customHeight="1">
      <x:c r="A8" s="26" t="str">
        <x:v>FAIL</x:v>
      </x:c>
      <x:c r="B8" s="57" t="n">
        <x:f>COUNTIF('Scenario Register'!K7:K17,"FAIL")</x:f>
        <x:v>0</x:v>
      </x:c>
      <x:c r="C8" s="26" t="str">
        <x:v>No failures reported</x:v>
      </x:c>
      <x:c r="D8" s="26" t="str">
        <x:v>Screenshots alone cannot establish absence of all defects.</x:v>
      </x:c>
    </x:row>
    <x:row r="9" ht="43" customHeight="1">
      <x:c r="A9" s="30" t="str">
        <x:v>BLOCKED</x:v>
      </x:c>
      <x:c r="B9" s="58" t="n">
        <x:f>COUNTIF('Scenario Register'!K7:K17,"BLOCKED")</x:f>
        <x:v>0</x:v>
      </x:c>
      <x:c r="C9" s="30" t="str">
        <x:v>No blocking issues reported</x:v>
      </x:c>
      <x:c r="D9" s="30" t="str">
        <x:v>Open operational observations are listed separately.</x:v>
      </x:c>
    </x:row>
    <x:row r="10" ht="43" customHeight="1">
      <x:c r="A10" s="26" t="str">
        <x:v>Scenario pass rate</x:v>
      </x:c>
      <x:c r="B10" s="59" t="n">
        <x:f>IFERROR(B7/B6,0)</x:f>
        <x:v>1</x:v>
      </x:c>
      <x:c r="C10" s="26" t="str">
        <x:v>Reported scenario outcomes</x:v>
      </x:c>
      <x:c r="D10" s="26" t="str">
        <x:v>Formal written sign-offs still outstanding.</x:v>
      </x:c>
    </x:row>
    <x:row r="11" ht="43" customHeight="1">
      <x:c r="A11" s="30" t="str">
        <x:v>Detailed verification steps</x:v>
      </x:c>
      <x:c r="B11" s="58" t="n">
        <x:v>46</x:v>
      </x:c>
      <x:c r="C11" s="30" t="str">
        <x:v>Scenario-oriented task and observation entries</x:v>
      </x:c>
      <x:c r="D11" s="30" t="str">
        <x:v>Actions and expected results are documented per checkpoint.</x:v>
      </x:c>
    </x:row>
    <x:row r="12" ht="43" customHeight="1">
      <x:c r="A12" s="26" t="str">
        <x:v>New UAT screenshots</x:v>
      </x:c>
      <x:c r="B12" s="57" t="n">
        <x:v>10</x:v>
      </x:c>
      <x:c r="C12" s="26" t="str">
        <x:v>S5-UAT-EV-001 to EV-010</x:v>
      </x:c>
      <x:c r="D12" s="26" t="str">
        <x:v>Capture success messages, progress and Administrator forms.</x:v>
      </x:c>
    </x:row>
    <x:row r="13" ht="43" customHeight="1">
      <x:c r="A13" s="30" t="str">
        <x:v>Reused Production screenshots</x:v>
      </x:c>
      <x:c r="B13" s="58" t="n">
        <x:v>21</x:v>
      </x:c>
      <x:c r="C13" s="30" t="str">
        <x:v>S5-PROD-EV-001 to EV-021</x:v>
      </x:c>
      <x:c r="D13" s="30" t="str">
        <x:v>Product-state evidence reused, not newly attributed to UAT testers.</x:v>
      </x:c>
    </x:row>
    <x:row r="14" ht="43" customHeight="1">
      <x:c r="A14" s="26" t="str">
        <x:v>Individual written sign-offs</x:v>
      </x:c>
      <x:c r="B14" s="57" t="n">
        <x:v>0</x:v>
      </x:c>
      <x:c r="C14" s="26" t="str">
        <x:v>Not provided</x:v>
      </x:c>
      <x:c r="D14" s="26" t="str">
        <x:v>Record actual member approval before marking formal sign-off complete.</x:v>
      </x:c>
    </x:row>
    <x:row r="16" ht="38" customHeight="1">
      <x:c r="A16" s="67" t="str">
        <x:v>ACCEPTANCE POSITION  |  REPORTED PASS; FORMAL WRITTEN ACCEPTANCE NOT YET INCLUDED</x:v>
      </x:c>
      <x:c r="B16" s="67"/>
      <x:c r="C16" s="67"/>
      <x:c r="D16" s="67"/>
      <x:c r="E16" s="67"/>
      <x:c r="F16" s="67"/>
      <x:c r="G16" s="67"/>
      <x:c r="H16" s="67"/>
    </x:row>
    <x:row r="18" ht="40" customHeight="1">
      <x:c r="A18" s="73" t="str">
        <x:v>11 of 11 allocated internal team UAT scenarios are marked PASS based on the project lead's confirmation that Jerald, Joyee and MD each personally performed their assigned tests with no blocking issues. This workbook documents 46 detailed scenario steps and references 31 image files (10 new UAT and 21 reused Production screenshots). Each case contains actual observations grounded in those captures. Production screenshots are reused as supporting product-state evidence and do not independently identify the tester. Written acknowledgement by each team member has not been provided.</x:v>
      </x:c>
      <x:c r="B18" s="73"/>
      <x:c r="C18" s="73"/>
      <x:c r="D18" s="73"/>
      <x:c r="E18" s="73"/>
      <x:c r="F18" s="73"/>
      <x:c r="G18" s="73"/>
      <x:c r="H18" s="73"/>
    </x:row>
    <x:row r="19" ht="40" customHeight="1">
      <x:c r="A19" s="73"/>
      <x:c r="B19" s="73"/>
      <x:c r="C19" s="73"/>
      <x:c r="D19" s="73"/>
      <x:c r="E19" s="73"/>
      <x:c r="F19" s="73"/>
      <x:c r="G19" s="73"/>
      <x:c r="H19" s="73"/>
    </x:row>
    <x:row r="20" ht="40" customHeight="1">
      <x:c r="A20" s="73"/>
      <x:c r="B20" s="73"/>
      <x:c r="C20" s="73"/>
      <x:c r="D20" s="73"/>
      <x:c r="E20" s="73"/>
      <x:c r="F20" s="73"/>
      <x:c r="G20" s="73"/>
      <x:c r="H20" s="73"/>
    </x:row>
    <x:row r="22" ht="26" customHeight="1">
      <x:c r="A22" s="44" t="str">
        <x:v>RELEASE CLOSEOUT FOLLOW-UP</x:v>
      </x:c>
      <x:c r="B22" s="44"/>
      <x:c r="C22" s="44"/>
      <x:c r="D22" s="44"/>
      <x:c r="E22" s="44"/>
      <x:c r="F22" s="44"/>
      <x:c r="G22" s="44"/>
      <x:c r="H22" s="44"/>
    </x:row>
    <x:row r="23" ht="34" customHeight="1">
      <x:c r="A23" s="72" t="str">
        <x:v>Document genuine acceptance acknowledgement in the GitHub closeout. Separately reconcile the visible 'Last Login: Never' values, the open resource-link report, the possible stray generated-resume text and FR-17 deletion scope. None was reported as a UAT blocker. No deployed SHA is required or included.</x:v>
      </x:c>
      <x:c r="B23" s="72"/>
      <x:c r="C23" s="72"/>
      <x:c r="D23" s="72"/>
      <x:c r="E23" s="72"/>
      <x:c r="F23" s="72"/>
      <x:c r="G23" s="72"/>
      <x:c r="H23" s="72"/>
    </x:row>
    <x:row r="24" ht="34" customHeight="1">
      <x:c r="A24" s="72"/>
      <x:c r="B24" s="72"/>
      <x:c r="C24" s="72"/>
      <x:c r="D24" s="72"/>
      <x:c r="E24" s="72"/>
      <x:c r="F24" s="72"/>
      <x:c r="G24" s="72"/>
      <x:c r="H24" s="72"/>
    </x:row>
    <x:row r="25" ht="34" customHeight="1">
      <x:c r="A25" s="72"/>
      <x:c r="B25" s="72"/>
      <x:c r="C25" s="72"/>
      <x:c r="D25" s="72"/>
      <x:c r="E25" s="72"/>
      <x:c r="F25" s="72"/>
      <x:c r="G25" s="72"/>
      <x:c r="H25" s="72"/>
    </x:row>
  </x:sheetData>
  <x:mergeCells>
    <x:mergeCell ref="A1:H2"/>
    <x:mergeCell ref="A3:H3"/>
    <x:mergeCell ref="A16:H16"/>
    <x:mergeCell ref="A18:H20"/>
    <x:mergeCell ref="A22:H22"/>
    <x:mergeCell ref="A23:H25"/>
  </x:mergeCells>
  <x:pageMargins left="0.7" right="0.7" top="0.75" bottom="0.75" header="0.3" footer="0.3"/>
</x:worksheet>
</file>

<file path=xl/worksheets/sheet2.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14" hidden="0" customWidth="1"/>
    <x:col min="2" max="2" width="27" hidden="0" customWidth="1"/>
    <x:col min="3" max="3" width="24" hidden="0" customWidth="1"/>
    <x:col min="4" max="4" width="16" hidden="0" customWidth="1"/>
    <x:col min="5" max="5" width="20" hidden="0" customWidth="1"/>
    <x:col min="6" max="6" width="46" hidden="0" customWidth="1"/>
    <x:col min="7" max="7" width="43" hidden="0" customWidth="1"/>
    <x:col min="8" max="8" width="52" hidden="0" customWidth="1"/>
    <x:col min="9" max="9" width="54" hidden="0" customWidth="1"/>
    <x:col min="10" max="10" width="78" hidden="0" customWidth="1"/>
    <x:col min="11" max="11" width="20" hidden="0" customWidth="1"/>
    <x:col min="12" max="12" width="55" hidden="0" customWidth="1"/>
    <x:col min="13" max="13" width="37" hidden="0" customWidth="1"/>
    <x:col min="14" max="14" width="35" hidden="0" customWidth="1"/>
    <x:col min="15" max="15" width="55" hidden="0" customWidth="1"/>
  </x:cols>
  <x:sheetData>
    <x:row r="1" ht="25" customHeight="1">
      <x:c r="A1" s="4" t="str">
        <x:v>WBS 8.6 | SCENARIO ACCEPTANCE REGISTER</x:v>
      </x:c>
      <x:c r="B1" s="4" t="str">
        <x:v>WBS 8.6 | SCENARIO ACCEPTANCE REGISTER</x:v>
      </x:c>
      <x:c r="C1" s="4" t="str">
        <x:v>WBS 8.6 | SCENARIO ACCEPTANCE REGISTER</x:v>
      </x:c>
      <x:c r="D1" s="4" t="str">
        <x:v>WBS 8.6 | SCENARIO ACCEPTANCE REGISTER</x:v>
      </x:c>
      <x:c r="E1" s="4" t="str">
        <x:v>WBS 8.6 | SCENARIO ACCEPTANCE REGISTER</x:v>
      </x:c>
      <x:c r="F1" s="4" t="str">
        <x:v>WBS 8.6 | SCENARIO ACCEPTANCE REGISTER</x:v>
      </x:c>
      <x:c r="G1" s="4" t="str">
        <x:v>WBS 8.6 | SCENARIO ACCEPTANCE REGISTER</x:v>
      </x:c>
      <x:c r="H1" s="4" t="str">
        <x:v>WBS 8.6 | SCENARIO ACCEPTANCE REGISTER</x:v>
      </x:c>
      <x:c r="I1" s="4" t="str">
        <x:v>WBS 8.6 | SCENARIO ACCEPTANCE REGISTER</x:v>
      </x:c>
      <x:c r="J1" s="4" t="str">
        <x:v>WBS 8.6 | SCENARIO ACCEPTANCE REGISTER</x:v>
      </x:c>
      <x:c r="K1" s="4" t="str">
        <x:v>WBS 8.6 | SCENARIO ACCEPTANCE REGISTER</x:v>
      </x:c>
      <x:c r="L1" s="4" t="str">
        <x:v>WBS 8.6 | SCENARIO ACCEPTANCE REGISTER</x:v>
      </x:c>
      <x:c r="M1" s="4" t="str">
        <x:v>WBS 8.6 | SCENARIO ACCEPTANCE REGISTER</x:v>
      </x:c>
      <x:c r="N1" s="4" t="str">
        <x:v>WBS 8.6 | SCENARIO ACCEPTANCE REGISTER</x:v>
      </x:c>
      <x:c r="O1" s="4" t="str">
        <x:v>WBS 8.6 | SCENARIO ACCEPTANCE REGISTER</x:v>
      </x:c>
    </x:row>
    <x:row r="2" ht="25" customHeight="1">
      <x:c r="A2" s="4" t="str">
        <x:v>WBS 8.6 | SCENARIO ACCEPTANCE REGISTER</x:v>
      </x:c>
      <x:c r="B2" s="4" t="str">
        <x:v>WBS 8.6 | SCENARIO ACCEPTANCE REGISTER</x:v>
      </x:c>
      <x:c r="C2" s="4" t="str">
        <x:v>WBS 8.6 | SCENARIO ACCEPTANCE REGISTER</x:v>
      </x:c>
      <x:c r="D2" s="4" t="str">
        <x:v>WBS 8.6 | SCENARIO ACCEPTANCE REGISTER</x:v>
      </x:c>
      <x:c r="E2" s="4" t="str">
        <x:v>WBS 8.6 | SCENARIO ACCEPTANCE REGISTER</x:v>
      </x:c>
      <x:c r="F2" s="4" t="str">
        <x:v>WBS 8.6 | SCENARIO ACCEPTANCE REGISTER</x:v>
      </x:c>
      <x:c r="G2" s="4" t="str">
        <x:v>WBS 8.6 | SCENARIO ACCEPTANCE REGISTER</x:v>
      </x:c>
      <x:c r="H2" s="4" t="str">
        <x:v>WBS 8.6 | SCENARIO ACCEPTANCE REGISTER</x:v>
      </x:c>
      <x:c r="I2" s="4" t="str">
        <x:v>WBS 8.6 | SCENARIO ACCEPTANCE REGISTER</x:v>
      </x:c>
      <x:c r="J2" s="4" t="str">
        <x:v>WBS 8.6 | SCENARIO ACCEPTANCE REGISTER</x:v>
      </x:c>
      <x:c r="K2" s="4" t="str">
        <x:v>WBS 8.6 | SCENARIO ACCEPTANCE REGISTER</x:v>
      </x:c>
      <x:c r="L2" s="4" t="str">
        <x:v>WBS 8.6 | SCENARIO ACCEPTANCE REGISTER</x:v>
      </x:c>
      <x:c r="M2" s="4" t="str">
        <x:v>WBS 8.6 | SCENARIO ACCEPTANCE REGISTER</x:v>
      </x:c>
      <x:c r="N2" s="4" t="str">
        <x:v>WBS 8.6 | SCENARIO ACCEPTANCE REGISTER</x:v>
      </x:c>
      <x:c r="O2" s="4" t="str">
        <x:v>WBS 8.6 | SCENARIO ACCEPTANCE REGISTER</x:v>
      </x:c>
    </x:row>
    <x:row r="3" ht="28" customHeight="1">
      <x:c r="A3" s="11" t="str">
        <x:v>Internal team UAT • Production https://gradnavi.site • 13 Oct 2026 screenshot evidence • all 11 outcomes PASS as reported by project lead</x:v>
      </x:c>
      <x:c r="B3" s="11" t="str">
        <x:v>Internal team UAT • Production https://gradnavi.site • 13 Oct 2026 screenshot evidence • all 11 outcomes PASS as reported by project lead</x:v>
      </x:c>
      <x:c r="C3" s="11" t="str">
        <x:v>Internal team UAT • Production https://gradnavi.site • 13 Oct 2026 screenshot evidence • all 11 outcomes PASS as reported by project lead</x:v>
      </x:c>
      <x:c r="D3" s="11" t="str">
        <x:v>Internal team UAT • Production https://gradnavi.site • 13 Oct 2026 screenshot evidence • all 11 outcomes PASS as reported by project lead</x:v>
      </x:c>
      <x:c r="E3" s="11" t="str">
        <x:v>Internal team UAT • Production https://gradnavi.site • 13 Oct 2026 screenshot evidence • all 11 outcomes PASS as reported by project lead</x:v>
      </x:c>
      <x:c r="F3" s="11" t="str">
        <x:v>Internal team UAT • Production https://gradnavi.site • 13 Oct 2026 screenshot evidence • all 11 outcomes PASS as reported by project lead</x:v>
      </x:c>
      <x:c r="G3" s="11" t="str">
        <x:v>Internal team UAT • Production https://gradnavi.site • 13 Oct 2026 screenshot evidence • all 11 outcomes PASS as reported by project lead</x:v>
      </x:c>
      <x:c r="H3" s="11" t="str">
        <x:v>Internal team UAT • Production https://gradnavi.site • 13 Oct 2026 screenshot evidence • all 11 outcomes PASS as reported by project lead</x:v>
      </x:c>
      <x:c r="I3" s="11" t="str">
        <x:v>Internal team UAT • Production https://gradnavi.site • 13 Oct 2026 screenshot evidence • all 11 outcomes PASS as reported by project lead</x:v>
      </x:c>
      <x:c r="J3" s="11" t="str">
        <x:v>Internal team UAT • Production https://gradnavi.site • 13 Oct 2026 screenshot evidence • all 11 outcomes PASS as reported by project lead</x:v>
      </x:c>
      <x:c r="K3" s="11" t="str">
        <x:v>Internal team UAT • Production https://gradnavi.site • 13 Oct 2026 screenshot evidence • all 11 outcomes PASS as reported by project lead</x:v>
      </x:c>
      <x:c r="L3" s="11" t="str">
        <x:v>Internal team UAT • Production https://gradnavi.site • 13 Oct 2026 screenshot evidence • all 11 outcomes PASS as reported by project lead</x:v>
      </x:c>
      <x:c r="M3" s="11" t="str">
        <x:v>Internal team UAT • Production https://gradnavi.site • 13 Oct 2026 screenshot evidence • all 11 outcomes PASS as reported by project lead</x:v>
      </x:c>
      <x:c r="N3" s="11" t="str">
        <x:v>Internal team UAT • Production https://gradnavi.site • 13 Oct 2026 screenshot evidence • all 11 outcomes PASS as reported by project lead</x:v>
      </x:c>
      <x:c r="O3" s="11" t="str">
        <x:v>Internal team UAT • Production https://gradnavi.site • 13 Oct 2026 screenshot evidence • all 11 outcomes PASS as reported by project lead</x:v>
      </x:c>
    </x:row>
    <x:row r="4" ht="12" customHeight="1"/>
    <x:row r="6" ht="32" customHeight="1">
      <x:c r="A6" s="19" t="str">
        <x:v>UAT ID</x:v>
      </x:c>
      <x:c r="B6" s="19" t="str">
        <x:v>Acceptance scenario</x:v>
      </x:c>
      <x:c r="C6" s="19" t="str">
        <x:v>Assigned tester</x:v>
      </x:c>
      <x:c r="D6" s="19" t="str">
        <x:v>User role</x:v>
      </x:c>
      <x:c r="E6" s="19" t="str">
        <x:v>Related requirements</x:v>
      </x:c>
      <x:c r="F6" s="19" t="str">
        <x:v>Acceptance objective</x:v>
      </x:c>
      <x:c r="G6" s="19" t="str">
        <x:v>Preconditions</x:v>
      </x:c>
      <x:c r="H6" s="19" t="str">
        <x:v>Steps performed / tested</x:v>
      </x:c>
      <x:c r="I6" s="19" t="str">
        <x:v>Acceptance criteria / expected result</x:v>
      </x:c>
      <x:c r="J6" s="19" t="str">
        <x:v>Detailed recorded actual outcome</x:v>
      </x:c>
      <x:c r="K6" s="19" t="str">
        <x:v>Execution result</x:v>
      </x:c>
      <x:c r="L6" s="19" t="str">
        <x:v>Evidence interpretation</x:v>
      </x:c>
      <x:c r="M6" s="19" t="str">
        <x:v>Production evidence IDs (reused)</x:v>
      </x:c>
      <x:c r="N6" s="19" t="str">
        <x:v>New UAT evidence IDs</x:v>
      </x:c>
      <x:c r="O6" s="19" t="str">
        <x:v>Remarks / evidence limitations</x:v>
      </x:c>
    </x:row>
    <x:row r="7" ht="176" customHeight="1">
      <x:c r="A7" s="32" t="str">
        <x:v>S5-UAT-01</x:v>
      </x:c>
      <x:c r="B7" s="26" t="str">
        <x:v>Sign in and save Student Profile</x:v>
      </x:c>
      <x:c r="C7" s="26" t="str">
        <x:v>Jerald Christopher Bucud</x:v>
      </x:c>
      <x:c r="D7" s="26" t="str">
        <x:v>Student</x:v>
      </x:c>
      <x:c r="E7" s="26" t="str">
        <x:v>FR-01, FR-02</x:v>
      </x:c>
      <x:c r="F7" s="26" t="str">
        <x:v>A student can sign in, maintain career evidence, and retain chosen skills and goals without losing entered data.</x:v>
      </x:c>
      <x:c r="G7" s="26" t="str">
        <x:v>Production account exists. Student is able to access Student Profile. Skills, career goals and interests are available.</x:v>
      </x:c>
      <x:c r="H7" s="26" t="str">
        <x:v>1. Open GradNavi landing page and access the sign-in screen.
2. Sign in with a valid Student account and open Student Profile.
3. Change a skill or other approved profile evidence and choose Save Profile.
4. Review profile evidence after saving.</x:v>
      </x:c>
      <x:c r="I7" s="26" t="str">
        <x:v>Authentication leads to the Student experience. Approved profile selections save successfully, display in the profile summary and are available for the connected guidance workflows.</x:v>
      </x:c>
      <x:c r="J7" s="26" t="str">
        <x:v>The project lead confirms successful sign-in and Student Profile interaction. The UAT save screenshot displays 'Profile saved successfully', 27 saved skills, Data Analyst as the primary career goal, three career goals and saved interests. This proves a visible success acknowledgement and updated UI state; a separate screenshot of persistence after reopening was not supplied.</x:v>
      </x:c>
      <x:c r="K7" s="37" t="str">
        <x:v>PASS (team-reported)</x:v>
      </x:c>
      <x:c r="L7" s="26" t="str">
        <x:v>Project lead confirms executed PASS; screen references independently support only the visible state and messages.</x:v>
      </x:c>
      <x:c r="M7" s="26" t="str">
        <x:v>S5-PROD-EV-001, S5-PROD-EV-002, S5-PROD-EV-004</x:v>
      </x:c>
      <x:c r="N7" s="26" t="str">
        <x:v>S5-UAT-EV-001</x:v>
      </x:c>
      <x:c r="O7" s="26" t="str">
        <x:v>Screen evidence supports successful save confirmation, not an independently witnessed database write.</x:v>
      </x:c>
    </x:row>
    <x:row r="8" ht="176" customHeight="1">
      <x:c r="A8" s="33" t="str">
        <x:v>S5-UAT-02</x:v>
      </x:c>
      <x:c r="B8" s="30" t="str">
        <x:v>Explore ranked career matches</x:v>
      </x:c>
      <x:c r="C8" s="30" t="str">
        <x:v>Jerald Christopher Bucud</x:v>
      </x:c>
      <x:c r="D8" s="30" t="str">
        <x:v>Student</x:v>
      </x:c>
      <x:c r="E8" s="30" t="str">
        <x:v>FR-03, FR-04</x:v>
      </x:c>
      <x:c r="F8" s="30" t="str">
        <x:v>A student can interpret recommendations and compare career paths using profile-driven explanations.</x:v>
      </x:c>
      <x:c r="G8" s="30" t="str">
        <x:v>Student has a profile with selected skills, interests and primary career goal.</x:v>
      </x:c>
      <x:c r="H8" s="30" t="str">
        <x:v>1. Open Career Recommendations with an established profile.
2. Examine the top match explanation and evidence.
3. Review alternative career matches and navigation actions.
4. Open Explore Careers and browse/search career choices.</x:v>
      </x:c>
      <x:c r="I8" s="30" t="str">
        <x:v>The student receives ranked, understandable career matches with profile evidence, scores and navigation to detailed careers.</x:v>
      </x:c>
      <x:c r="J8" s="30" t="str">
        <x:v>Project lead reports PASS. The Production screens display Data Analyst as top match at 92%, 68% readiness, supporting-evidence explanations, alternate ranked matches and a browsable 36-career catalogue with filters. Individual button interactions are reported by the tester, though not shown as separate images.</x:v>
      </x:c>
      <x:c r="K8" s="37" t="str">
        <x:v>PASS (team-reported)</x:v>
      </x:c>
      <x:c r="L8" s="30" t="str">
        <x:v>Project lead confirms executed PASS; screen references independently support only the visible state and messages.</x:v>
      </x:c>
      <x:c r="M8" s="30" t="str">
        <x:v>S5-PROD-EV-005, S5-PROD-EV-006</x:v>
      </x:c>
      <x:c r="N8" s="30" t="str">
        <x:v>No separate UAT capture; reuse Production evidence</x:v>
      </x:c>
      <x:c r="O8" s="30" t="str">
        <x:v>The match percentages are observed product output, not an independent validation of the scoring algorithm.</x:v>
      </x:c>
    </x:row>
    <x:row r="9" ht="176" customHeight="1">
      <x:c r="A9" s="32" t="str">
        <x:v>S5-UAT-03</x:v>
      </x:c>
      <x:c r="B9" s="26" t="str">
        <x:v>Understand readiness and skill gaps</x:v>
      </x:c>
      <x:c r="C9" s="26" t="str">
        <x:v>Jerald Christopher Bucud</x:v>
      </x:c>
      <x:c r="D9" s="26" t="str">
        <x:v>Student</x:v>
      </x:c>
      <x:c r="E9" s="26" t="str">
        <x:v>FR-05, FR-06</x:v>
      </x:c>
      <x:c r="F9" s="26" t="str">
        <x:v>A student understands their readiness and specific missing skills for the selected career.</x:v>
      </x:c>
      <x:c r="G9" s="26" t="str">
        <x:v>Student has career recommendations and existing skill evidence.</x:v>
      </x:c>
      <x:c r="H9" s="26" t="str">
        <x:v>1. Navigate to Skill Gap Analysis.
2. Read requirement categories and totals.
3. Review gap explanation, priority list and detailed requirements.
4. Use links toward learning or profile improvement.</x:v>
      </x:c>
      <x:c r="I9" s="26" t="str">
        <x:v>Readiness is presented separately from career match, with understandable requirement statuses, evidence gaps, and useful improvement actions.</x:v>
      </x:c>
      <x:c r="J9" s="26" t="str">
        <x:v>Project lead reports PASS. The captured page shows Data Analyst readiness of 68%, 10 matched, 5 partially met and 7 missing requirements. The explanation and priority recommendations are visible, alongside requirement-level actions and learning suggestions. No separate numerical recalculation was included as UAT evidence.</x:v>
      </x:c>
      <x:c r="K9" s="37" t="str">
        <x:v>PASS (team-reported)</x:v>
      </x:c>
      <x:c r="L9" s="26" t="str">
        <x:v>Project lead confirms executed PASS; screen references independently support only the visible state and messages.</x:v>
      </x:c>
      <x:c r="M9" s="26" t="str">
        <x:v>S5-PROD-EV-007</x:v>
      </x:c>
      <x:c r="N9" s="26" t="str">
        <x:v>No separate UAT capture; reuse Production evidence</x:v>
      </x:c>
      <x:c r="O9" s="26" t="str">
        <x:v>UAT assesses user comprehension, not a repeat of scoring-unit or regression tests.</x:v>
      </x:c>
    </x:row>
    <x:row r="10" ht="176" customHeight="1">
      <x:c r="A10" s="33" t="str">
        <x:v>S5-UAT-04</x:v>
      </x:c>
      <x:c r="B10" s="30" t="str">
        <x:v>Follow roadmap and learning suggestions</x:v>
      </x:c>
      <x:c r="C10" s="30" t="str">
        <x:v>Jerald Christopher Bucud</x:v>
      </x:c>
      <x:c r="D10" s="30" t="str">
        <x:v>Student</x:v>
      </x:c>
      <x:c r="E10" s="30" t="str">
        <x:v>FR-11, FR-12</x:v>
      </x:c>
      <x:c r="F10" s="30" t="str">
        <x:v>A student can start or finish career-development steps and identify learning resources for gaps.</x:v>
      </x:c>
      <x:c r="G10" s="30" t="str">
        <x:v>Student has selected a primary career and opened Career Roadmap.</x:v>
      </x:c>
      <x:c r="H10" s="30" t="str">
        <x:v>1. Review current roadmap and priority sequence.
2. Start and complete roadmap steps.
3. Inspect current focus and next-step guidance.
4. Open Learning Resources for the chosen career or gap.</x:v>
      </x:c>
      <x:c r="I10" s="30" t="str">
        <x:v>Roadmap status changes are reflected in progress counts, next-step guidance stays clear, and associated learning resources can be found.</x:v>
      </x:c>
      <x:c r="J10" s="30" t="str">
        <x:v>Project lead reports PASS. Two screenshots capture an initial roadmap state and a later state with one completed step, one in progress, ten to do, and the next step identified. The Learning Resources page shows six recommendations under the Writing focus. These images support actual progress-state changes, not merely a static form.</x:v>
      </x:c>
      <x:c r="K10" s="37" t="str">
        <x:v>PASS (team-reported)</x:v>
      </x:c>
      <x:c r="L10" s="30" t="str">
        <x:v>Project lead confirms executed PASS; screen references independently support only the visible state and messages.</x:v>
      </x:c>
      <x:c r="M10" s="30" t="str">
        <x:v>S5-PROD-EV-008, S5-PROD-EV-009</x:v>
      </x:c>
      <x:c r="N10" s="30" t="str">
        <x:v>S5-UAT-EV-002</x:v>
      </x:c>
      <x:c r="O10" s="30" t="str">
        <x:v>Roadmap completion measures task progress; the page states readiness only changes after updating profile evidence.</x:v>
      </x:c>
    </x:row>
    <x:row r="11" ht="176" customHeight="1">
      <x:c r="A11" s="32" t="str">
        <x:v>S5-UAT-05</x:v>
      </x:c>
      <x:c r="B11" s="26" t="str">
        <x:v>Understand dashboard status and next action</x:v>
      </x:c>
      <x:c r="C11" s="26" t="str">
        <x:v>Joyee Chakraborty</x:v>
      </x:c>
      <x:c r="D11" s="26" t="str">
        <x:v>Student</x:v>
      </x:c>
      <x:c r="E11" s="26" t="str">
        <x:v>FR-13</x:v>
      </x:c>
      <x:c r="F11" s="26" t="str">
        <x:v>A student can locate their current career, readiness, unfinished steps and next suggested activity.</x:v>
      </x:c>
      <x:c r="G11" s="26" t="str">
        <x:v>Student is logged in and has profile and career-guidance results.</x:v>
      </x:c>
      <x:c r="H11" s="26" t="str">
        <x:v>1. Open the Student Dashboard.
2. Identify the primary career and readiness.
3. Review key next actions and unresolved gaps.
4. Locate preparation tools and activity history.</x:v>
      </x:c>
      <x:c r="I11" s="26" t="str">
        <x:v>The dashboard presents the current goal, readiness, progress indicators and actionable next steps without specialist training.</x:v>
      </x:c>
      <x:c r="J11" s="26" t="str">
        <x:v>The project lead reports Joyee personally completed the allocated UAT and the scenario passed. The Production screen shows the Data Analyst goal, 68% readiness, 12 unresolved gaps, step progress, next-best-action guidance, preparation shortcuts and interview activity. The screenshot is reused product evidence, not evidence of who captured it.</x:v>
      </x:c>
      <x:c r="K11" s="37" t="str">
        <x:v>PASS (team-reported)</x:v>
      </x:c>
      <x:c r="L11" s="26" t="str">
        <x:v>Project lead confirms executed PASS; screen references independently support only the visible state and messages.</x:v>
      </x:c>
      <x:c r="M11" s="26" t="str">
        <x:v>S5-PROD-EV-003</x:v>
      </x:c>
      <x:c r="N11" s="26" t="str">
        <x:v>No separate UAT capture; reuse Production evidence</x:v>
      </x:c>
      <x:c r="O11" s="26" t="str">
        <x:v>Tester allocation is supported by project-lead confirmation; image provenance is shared WBS 8.9.</x:v>
      </x:c>
    </x:row>
    <x:row r="12" ht="176" customHeight="1">
      <x:c r="A12" s="33" t="str">
        <x:v>S5-UAT-06</x:v>
      </x:c>
      <x:c r="B12" s="30" t="str">
        <x:v>Interpret job description matching</x:v>
      </x:c>
      <x:c r="C12" s="30" t="str">
        <x:v>Md Enamul Haque</x:v>
      </x:c>
      <x:c r="D12" s="30" t="str">
        <x:v>Student</x:v>
      </x:c>
      <x:c r="E12" s="30" t="str">
        <x:v>FR-07</x:v>
      </x:c>
      <x:c r="F12" s="30" t="str">
        <x:v>A student can compare job requirements with their own profile and identify next actions.</x:v>
      </x:c>
      <x:c r="G12" s="30" t="str">
        <x:v>Student has a profile with skills and a representative job description to analyse.</x:v>
      </x:c>
      <x:c r="H12" s="30" t="str">
        <x:v>1. Open Job Matching and provide job description content.
2. Run analysis to identify requirements.
3. Inspect individual matched and unmatched entries.
4. Identify next steps after matching.</x:v>
      </x:c>
      <x:c r="I12" s="30" t="str">
        <x:v>The student receives an understandable analysis of recognised job requirements, matched profile evidence, missing items and next actions.</x:v>
      </x:c>
      <x:c r="J12" s="30" t="str">
        <x:v>Project lead reports MD completed the assigned case with PASS. The results view states 31 requirements recognised, six already in profile, and 25 not listed in the profile. Individual examples and next-step links are visible. The reused screenshot supports the displayed matching result, not attribution of its capture to MD.</x:v>
      </x:c>
      <x:c r="K12" s="37" t="str">
        <x:v>PASS (team-reported)</x:v>
      </x:c>
      <x:c r="L12" s="30" t="str">
        <x:v>Project lead confirms executed PASS; screen references independently support only the visible state and messages.</x:v>
      </x:c>
      <x:c r="M12" s="30" t="str">
        <x:v>S5-PROD-EV-010</x:v>
      </x:c>
      <x:c r="N12" s="30" t="str">
        <x:v>No separate UAT capture; reuse Production evidence</x:v>
      </x:c>
      <x:c r="O12" s="30" t="str">
        <x:v>The outcome is a recognised-requirements comparison, not a prediction of employment success.</x:v>
      </x:c>
    </x:row>
    <x:row r="13" ht="176" customHeight="1">
      <x:c r="A13" s="32" t="str">
        <x:v>S5-UAT-07</x:v>
      </x:c>
      <x:c r="B13" s="26" t="str">
        <x:v>Generate and edit resume and cover letter</x:v>
      </x:c>
      <x:c r="C13" s="26" t="str">
        <x:v>Joyee Chakraborty</x:v>
      </x:c>
      <x:c r="D13" s="26" t="str">
        <x:v>Student</x:v>
      </x:c>
      <x:c r="E13" s="26" t="str">
        <x:v>FR-08, FR-09, FR-16</x:v>
      </x:c>
      <x:c r="F13" s="26" t="str">
        <x:v>A student can create profile-supported application drafts, review wording and export a chosen version.</x:v>
      </x:c>
      <x:c r="G13" s="26" t="str">
        <x:v>Student has a profile, target career and, where appropriate, target job description.</x:v>
      </x:c>
      <x:c r="H13" s="26" t="str">
        <x:v>1. Open Resume Builder and choose target career or job context.
2. Generate a resume draft and inspect editable sections.
3. Request PDF export for the resume.
4. Generate a cover-letter draft from target role and profile.
5. Open edit mode on a section and request cover-letter PDF export.</x:v>
      </x:c>
      <x:c r="I13" s="26" t="str">
        <x:v>Resume and cover-letter drafts are generated from approved profile/job context, can be reviewed and edited before use, and export controls return clear feedback.</x:v>
      </x:c>
      <x:c r="J13" s="26" t="str">
        <x:v>Project lead reports Joyee completed the assigned case with PASS. Resume and cover-letter draft sections and editing controls are visibly present. Separate UAT screenshots show draft-generated confirmation and 'PDF ... downloaded' success messages. The cover-letter Closing section is displayed in an editable text area. The screenshots do not independently verify the opened contents of exported files. Resume output should be reviewed for a possible stray fragment before external use.</x:v>
      </x:c>
      <x:c r="K13" s="37" t="str">
        <x:v>PASS (team-reported)</x:v>
      </x:c>
      <x:c r="L13" s="26" t="str">
        <x:v>Project lead confirms executed PASS; screen references independently support only the visible state and messages.</x:v>
      </x:c>
      <x:c r="M13" s="26" t="str">
        <x:v>S5-PROD-EV-011, S5-PROD-EV-012</x:v>
      </x:c>
      <x:c r="N13" s="26" t="str">
        <x:v>S5-UAT-EV-003, S5-UAT-EV-004, S5-UAT-EV-005, S5-UAT-EV-006</x:v>
      </x:c>
      <x:c r="O13" s="26" t="str">
        <x:v>UI evidence covers draft/edit/export messages. Actual downloaded DOCX/PDF contents were not submitted; possible Experience-field text fragment flagged for review.</x:v>
      </x:c>
    </x:row>
    <x:row r="14" ht="176" customHeight="1">
      <x:c r="A14" s="33" t="str">
        <x:v>S5-UAT-08</x:v>
      </x:c>
      <x:c r="B14" s="30" t="str">
        <x:v>Get interview questions and feedback</x:v>
      </x:c>
      <x:c r="C14" s="30" t="str">
        <x:v>Joyee Chakraborty</x:v>
      </x:c>
      <x:c r="D14" s="30" t="str">
        <x:v>Student</x:v>
      </x:c>
      <x:c r="E14" s="30" t="str">
        <x:v>FR-10</x:v>
      </x:c>
      <x:c r="F14" s="30" t="str">
        <x:v>A student can practise a career-relevant question and interpret feedback on a written response.</x:v>
      </x:c>
      <x:c r="G14" s="30" t="str">
        <x:v>Student selects a career and opens an interview session.</x:v>
      </x:c>
      <x:c r="H14" s="30" t="str">
        <x:v>1. Start a practice session for a chosen target career.
2. Read an AI-generated question and enter a response.
3. Request updated feedback.
4. Review strengths and improvement guidance.</x:v>
      </x:c>
      <x:c r="I14" s="30" t="str">
        <x:v>The student receives role-relevant interview questions and actionable feedback on typed answers, without employment-decision claims.</x:v>
      </x:c>
      <x:c r="J14" s="30" t="str">
        <x:v>Project lead reports Joyee completed the case with PASS. The visible session shows five questions, a submitted/revised answer, AI feedback, a strengths section and suggestions for improvements. The feedback explicitly frames the advice as preparation support, not a hiring decision or pass/fail outcome.</x:v>
      </x:c>
      <x:c r="K14" s="37" t="str">
        <x:v>PASS (team-reported)</x:v>
      </x:c>
      <x:c r="L14" s="30" t="str">
        <x:v>Project lead confirms executed PASS; screen references independently support only the visible state and messages.</x:v>
      </x:c>
      <x:c r="M14" s="30" t="str">
        <x:v>S5-PROD-EV-013</x:v>
      </x:c>
      <x:c r="N14" s="30" t="str">
        <x:v>S5-UAT-EV-007</x:v>
      </x:c>
      <x:c r="O14" s="30" t="str">
        <x:v>Visible feedback confirms output display; no independent assessment of AI feedback correctness is implied.</x:v>
      </x:c>
    </x:row>
    <x:row r="15" ht="176" customHeight="1">
      <x:c r="A15" s="32" t="str">
        <x:v>S5-UAT-09</x:v>
      </x:c>
      <x:c r="B15" s="26" t="str">
        <x:v>Use account settings and navigation</x:v>
      </x:c>
      <x:c r="C15" s="26" t="str">
        <x:v>Joyee Chakraborty</x:v>
      </x:c>
      <x:c r="D15" s="26" t="str">
        <x:v>Student</x:v>
      </x:c>
      <x:c r="E15" s="26" t="str">
        <x:v>FR-01, FR-02, NFR-01</x:v>
      </x:c>
      <x:c r="F15" s="26" t="str">
        <x:v>A student can find account details and security controls and navigate between main tools.</x:v>
      </x:c>
      <x:c r="G15" s="26" t="str">
        <x:v>Authenticated Student session.</x:v>
      </x:c>
      <x:c r="H15" s="26" t="str">
        <x:v>1. Open Account Settings.
2. Inspect profile photo and account fields.
3. Locate password-change controls.
4. Use sidebar or dashboard navigation to return to guidance tools.</x:v>
      </x:c>
      <x:c r="I15" s="26" t="str">
        <x:v>Account preferences and navigation are discoverable, with clear controls for profile and password changes.</x:v>
      </x:c>
      <x:c r="J15" s="26" t="str">
        <x:v>The project lead reports Joyee completed the case with PASS. The Settings screen visibly contains photo management, name fields, a read-only email address, Save Changes and password-change form. Navigation links appear in Student screens. No separately captured successful password change or image-persistence test accompanies the screenshots.</x:v>
      </x:c>
      <x:c r="K15" s="37" t="str">
        <x:v>PASS (team-reported)</x:v>
      </x:c>
      <x:c r="L15" s="26" t="str">
        <x:v>Project lead confirms executed PASS; screen references independently support only the visible state and messages.</x:v>
      </x:c>
      <x:c r="M15" s="26" t="str">
        <x:v>S5-PROD-EV-003, S5-PROD-EV-014</x:v>
      </x:c>
      <x:c r="N15" s="26" t="str">
        <x:v>No separate UAT capture; reuse Production evidence</x:v>
      </x:c>
      <x:c r="O15" s="26" t="str">
        <x:v>Presence of account controls does not alone verify password change, photo persistence or email edit.</x:v>
      </x:c>
    </x:row>
    <x:row r="16" ht="176" customHeight="1">
      <x:c r="A16" s="33" t="str">
        <x:v>S5-UAT-10</x:v>
      </x:c>
      <x:c r="B16" s="30" t="str">
        <x:v>Manage careers, skills and learning resources</x:v>
      </x:c>
      <x:c r="C16" s="30" t="str">
        <x:v>Md Enamul Haque</x:v>
      </x:c>
      <x:c r="D16" s="30" t="str">
        <x:v>Administrator</x:v>
      </x:c>
      <x:c r="E16" s="30" t="str">
        <x:v>FR-14</x:v>
      </x:c>
      <x:c r="F16" s="30" t="str">
        <x:v>An authorised administrator can locate managed records and access required editing forms.</x:v>
      </x:c>
      <x:c r="G16" s="30" t="str">
        <x:v>Administrator account has the correct permissions. Career, skill and learning resource catalogues exist.</x:v>
      </x:c>
      <x:c r="H16" s="30" t="str">
        <x:v>1. Open Administrator Dashboard and management navigation.
2. Search or review existing career records and open Add Career.
3. Open Skill Management and inspect Add Skill.
4. Open Learning Resource Management and edit a resource.
5. Inspect user-management controls.</x:v>
      </x:c>
      <x:c r="I16" s="30" t="str">
        <x:v>An authorised administrator can navigate to user, career, skill and resource management, find records and access relevant create/edit controls.</x:v>
      </x:c>
      <x:c r="J16" s="30" t="str">
        <x:v>Project lead reports MD completed the assigned Administrator acceptance scenario with PASS. Existing Production views show five user accounts, 36 careers, 2,873 skills and 30 resources. UAT images display populated Add Career, Add Skill and Edit Learning Resource dialogs with usable fields. None of the three form screenshots demonstrates a successful commit or durable database mutation; the acceptance case is confined to accessibility and usability of management actions.</x:v>
      </x:c>
      <x:c r="K16" s="37" t="str">
        <x:v>PASS (team-reported)</x:v>
      </x:c>
      <x:c r="L16" s="30" t="str">
        <x:v>Project lead confirms executed PASS; screen references independently support only the visible state and messages.</x:v>
      </x:c>
      <x:c r="M16" s="30" t="str">
        <x:v>S5-PROD-EV-015, S5-PROD-EV-016, S5-PROD-EV-017, S5-PROD-EV-018, S5-PROD-EV-019</x:v>
      </x:c>
      <x:c r="N16" s="30" t="str">
        <x:v>S5-UAT-EV-008, S5-UAT-EV-009, S5-UAT-EV-010</x:v>
      </x:c>
      <x:c r="O16" s="30" t="str">
        <x:v>No save confirmation supplied for the three admin forms. User list shows 'Never' in Last Login for all displayed accounts.</x:v>
      </x:c>
    </x:row>
    <x:row r="17" ht="176" customHeight="1">
      <x:c r="A17" s="32" t="str">
        <x:v>S5-UAT-11</x:v>
      </x:c>
      <x:c r="B17" s="26" t="str">
        <x:v>Review reports, analytics and audit history</x:v>
      </x:c>
      <x:c r="C17" s="26" t="str">
        <x:v>Md Enamul Haque</x:v>
      </x:c>
      <x:c r="D17" s="26" t="str">
        <x:v>Administrator</x:v>
      </x:c>
      <x:c r="E17" s="26" t="str">
        <x:v>FR-15, FR-18</x:v>
      </x:c>
      <x:c r="F17" s="26" t="str">
        <x:v>An administrator can identify operational issues, view aggregate usage signals and inspect audit history.</x:v>
      </x:c>
      <x:c r="G17" s="26" t="str">
        <x:v>Administrator session with access to dashboard, resource reports and audit records.</x:v>
      </x:c>
      <x:c r="H17" s="26" t="str">
        <x:v>1. Open Administrator Dashboard and inspect summary metrics.
2. Review popular-career and common-gap analytics.
3. Open Resource Reports and filter by status.
4. Open Audit Records and inspect action history.</x:v>
      </x:c>
      <x:c r="I17" s="26" t="str">
        <x:v>Administrators can interpret aggregate analytics, locate reports needing attention and review historical changes.</x:v>
      </x:c>
      <x:c r="J17" s="26" t="str">
        <x:v>Project lead reports MD completed the allocated UAT with PASS. Production screenshots display summary counts, popular careers and common skill gaps, one open broken-link report, and two audit records with timestamps, actors and actions. The open report is workflow data requiring normal review, not a documented blocker. The capture shows View buttons but not an opened audit-detail dialog.</x:v>
      </x:c>
      <x:c r="K17" s="37" t="str">
        <x:v>PASS (team-reported)</x:v>
      </x:c>
      <x:c r="L17" s="26" t="str">
        <x:v>Project lead confirms executed PASS; screen references independently support only the visible state and messages.</x:v>
      </x:c>
      <x:c r="M17" s="26" t="str">
        <x:v>S5-PROD-EV-015, S5-PROD-EV-020, S5-PROD-EV-021</x:v>
      </x:c>
      <x:c r="N17" s="26" t="str">
        <x:v>No separate UAT capture; reuse Production evidence</x:v>
      </x:c>
      <x:c r="O17" s="26" t="str">
        <x:v>Audit-detail pop-up and report resolution are not separately captured; one broken-link report remains open in the screenshot.</x:v>
      </x:c>
    </x:row>
  </x:sheetData>
  <x:mergeCells>
    <x:mergeCell ref="A1:O2"/>
    <x:mergeCell ref="A3:O3"/>
  </x:mergeCells>
  <x:dataValidations count="1">
    <x:dataValidation type="list" sqref="K7:K17">
      <x:formula1>"PASS (team-reported),FAIL,BLOCKED,NOT RUN"</x:formula1>
    </x:dataValidation>
  </x:dataValidations>
  <x:pageMargins left="0.7" right="0.7" top="0.75" bottom="0.75" header="0.3" footer="0.3"/>
</x:worksheet>
</file>

<file path=xl/worksheets/sheet3.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14" hidden="0" customWidth="1"/>
    <x:col min="2" max="2" width="9" hidden="0" customWidth="1"/>
    <x:col min="3" max="3" width="58" hidden="0" customWidth="1"/>
    <x:col min="4" max="4" width="62" hidden="0" customWidth="1"/>
    <x:col min="5" max="5" width="81" hidden="0" customWidth="1"/>
    <x:col min="6" max="6" width="45" hidden="0" customWidth="1"/>
    <x:col min="7" max="7" width="27" hidden="0" customWidth="1"/>
    <x:col min="8" max="8" width="27" hidden="0" customWidth="1"/>
  </x:cols>
  <x:sheetData>
    <x:row r="1" ht="25" customHeight="1">
      <x:c r="A1" s="4" t="str">
        <x:v>WBS 8.6 | DETAILED UAT EXECUTION STEPS</x:v>
      </x:c>
      <x:c r="B1" s="4" t="str">
        <x:v>WBS 8.6 | DETAILED UAT EXECUTION STEPS</x:v>
      </x:c>
      <x:c r="C1" s="4" t="str">
        <x:v>WBS 8.6 | DETAILED UAT EXECUTION STEPS</x:v>
      </x:c>
      <x:c r="D1" s="4" t="str">
        <x:v>WBS 8.6 | DETAILED UAT EXECUTION STEPS</x:v>
      </x:c>
      <x:c r="E1" s="4" t="str">
        <x:v>WBS 8.6 | DETAILED UAT EXECUTION STEPS</x:v>
      </x:c>
      <x:c r="F1" s="4" t="str">
        <x:v>WBS 8.6 | DETAILED UAT EXECUTION STEPS</x:v>
      </x:c>
      <x:c r="G1" s="4" t="str">
        <x:v>WBS 8.6 | DETAILED UAT EXECUTION STEPS</x:v>
      </x:c>
      <x:c r="H1" s="4" t="str">
        <x:v>WBS 8.6 | DETAILED UAT EXECUTION STEPS</x:v>
      </x:c>
    </x:row>
    <x:row r="2" ht="25" customHeight="1">
      <x:c r="A2" s="4" t="str">
        <x:v>WBS 8.6 | DETAILED UAT EXECUTION STEPS</x:v>
      </x:c>
      <x:c r="B2" s="4" t="str">
        <x:v>WBS 8.6 | DETAILED UAT EXECUTION STEPS</x:v>
      </x:c>
      <x:c r="C2" s="4" t="str">
        <x:v>WBS 8.6 | DETAILED UAT EXECUTION STEPS</x:v>
      </x:c>
      <x:c r="D2" s="4" t="str">
        <x:v>WBS 8.6 | DETAILED UAT EXECUTION STEPS</x:v>
      </x:c>
      <x:c r="E2" s="4" t="str">
        <x:v>WBS 8.6 | DETAILED UAT EXECUTION STEPS</x:v>
      </x:c>
      <x:c r="F2" s="4" t="str">
        <x:v>WBS 8.6 | DETAILED UAT EXECUTION STEPS</x:v>
      </x:c>
      <x:c r="G2" s="4" t="str">
        <x:v>WBS 8.6 | DETAILED UAT EXECUTION STEPS</x:v>
      </x:c>
      <x:c r="H2" s="4" t="str">
        <x:v>WBS 8.6 | DETAILED UAT EXECUTION STEPS</x:v>
      </x:c>
    </x:row>
    <x:row r="3" ht="28" customHeight="1">
      <x:c r="A3" s="11" t="str">
        <x:v>Each checkpoint includes the executed action, expected behaviour, recorded observation and matching screenshot IDs.</x:v>
      </x:c>
      <x:c r="B3" s="11" t="str">
        <x:v>Each checkpoint includes the executed action, expected behaviour, recorded observation and matching screenshot IDs.</x:v>
      </x:c>
      <x:c r="C3" s="11" t="str">
        <x:v>Each checkpoint includes the executed action, expected behaviour, recorded observation and matching screenshot IDs.</x:v>
      </x:c>
      <x:c r="D3" s="11" t="str">
        <x:v>Each checkpoint includes the executed action, expected behaviour, recorded observation and matching screenshot IDs.</x:v>
      </x:c>
      <x:c r="E3" s="11" t="str">
        <x:v>Each checkpoint includes the executed action, expected behaviour, recorded observation and matching screenshot IDs.</x:v>
      </x:c>
      <x:c r="F3" s="11" t="str">
        <x:v>Each checkpoint includes the executed action, expected behaviour, recorded observation and matching screenshot IDs.</x:v>
      </x:c>
      <x:c r="G3" s="11" t="str">
        <x:v>Each checkpoint includes the executed action, expected behaviour, recorded observation and matching screenshot IDs.</x:v>
      </x:c>
      <x:c r="H3" s="11" t="str">
        <x:v>Each checkpoint includes the executed action, expected behaviour, recorded observation and matching screenshot IDs.</x:v>
      </x:c>
    </x:row>
    <x:row r="4" ht="12" customHeight="1"/>
    <x:row r="6" ht="32" customHeight="1">
      <x:c r="A6" s="19" t="str">
        <x:v>UAT ID</x:v>
      </x:c>
      <x:c r="B6" s="19" t="str">
        <x:v>Step</x:v>
      </x:c>
      <x:c r="C6" s="19" t="str">
        <x:v>Action / input / navigation</x:v>
      </x:c>
      <x:c r="D6" s="19" t="str">
        <x:v>Expected observable result</x:v>
      </x:c>
      <x:c r="E6" s="19" t="str">
        <x:v>Actual reported / visible result</x:v>
      </x:c>
      <x:c r="F6" s="19" t="str">
        <x:v>Evidence IDs</x:v>
      </x:c>
      <x:c r="G6" s="19" t="str">
        <x:v>Outcome reporting</x:v>
      </x:c>
      <x:c r="H6" s="19" t="str">
        <x:v>Evidence scope</x:v>
      </x:c>
    </x:row>
    <x:row r="7" ht="84" customHeight="1">
      <x:c r="A7" s="32" t="str">
        <x:v>S5-UAT-01</x:v>
      </x:c>
      <x:c r="B7" s="26" t="n">
        <x:v>1</x:v>
      </x:c>
      <x:c r="C7" s="26" t="str">
        <x:v>Open GradNavi landing page and access the sign-in screen.</x:v>
      </x:c>
      <x:c r="D7" s="26" t="str">
        <x:v>Landing page and sign-in controls load and are understandable.</x:v>
      </x:c>
      <x:c r="E7" s="26" t="str">
        <x:v>Production landing and login screens are visible. Authentication completion is reported by the project lead.</x:v>
      </x:c>
      <x:c r="F7" s="26" t="str">
        <x:v>S5-PROD-EV-001, S5-PROD-EV-002</x:v>
      </x:c>
      <x:c r="G7" s="40" t="str">
        <x:v>Scenario PASS (lead-reported)</x:v>
      </x:c>
      <x:c r="H7" s="26" t="str">
        <x:v>Supported by screenshot</x:v>
      </x:c>
    </x:row>
    <x:row r="8" ht="84" customHeight="1">
      <x:c r="A8" s="33" t="str">
        <x:v>S5-UAT-01</x:v>
      </x:c>
      <x:c r="B8" s="30" t="n">
        <x:v>2</x:v>
      </x:c>
      <x:c r="C8" s="30" t="str">
        <x:v>Sign in with a valid Student account and open Student Profile.</x:v>
      </x:c>
      <x:c r="D8" s="30" t="str">
        <x:v>Student reaches their profile, with saved skills, interests and goals.</x:v>
      </x:c>
      <x:c r="E8" s="30" t="str">
        <x:v>Student Profile is visible with recorded skills, career goals and interests.</x:v>
      </x:c>
      <x:c r="F8" s="30" t="str">
        <x:v>S5-PROD-EV-004</x:v>
      </x:c>
      <x:c r="G8" s="41" t="str">
        <x:v>Scenario PASS (lead-reported)</x:v>
      </x:c>
      <x:c r="H8" s="30" t="str">
        <x:v>Supported by screenshot</x:v>
      </x:c>
    </x:row>
    <x:row r="9" ht="84" customHeight="1">
      <x:c r="A9" s="32" t="str">
        <x:v>S5-UAT-01</x:v>
      </x:c>
      <x:c r="B9" s="26" t="n">
        <x:v>3</x:v>
      </x:c>
      <x:c r="C9" s="26" t="str">
        <x:v>Change a skill or other approved profile evidence and choose Save Profile.</x:v>
      </x:c>
      <x:c r="D9" s="26" t="str">
        <x:v>A success acknowledgement appears; new profile data appears in the summary.</x:v>
      </x:c>
      <x:c r="E9" s="26" t="str">
        <x:v>The banner reads 'Profile saved successfully'; skill count shows 27 and the primary goal is Data Analyst.</x:v>
      </x:c>
      <x:c r="F9" s="26" t="str">
        <x:v>S5-UAT-EV-001</x:v>
      </x:c>
      <x:c r="G9" s="40" t="str">
        <x:v>Scenario PASS (lead-reported)</x:v>
      </x:c>
      <x:c r="H9" s="26" t="str">
        <x:v>Supported by screenshot</x:v>
      </x:c>
    </x:row>
    <x:row r="10" ht="84" customHeight="1">
      <x:c r="A10" s="33" t="str">
        <x:v>S5-UAT-01</x:v>
      </x:c>
      <x:c r="B10" s="30" t="n">
        <x:v>4</x:v>
      </x:c>
      <x:c r="C10" s="30" t="str">
        <x:v>Review profile evidence after saving.</x:v>
      </x:c>
      <x:c r="D10" s="30" t="str">
        <x:v>Saved summary stays visible without an error.</x:v>
      </x:c>
      <x:c r="E10" s="30" t="str">
        <x:v>Saved selections and the summary are visible after the save action. A separate post-refresh persistence screenshot was not supplied.</x:v>
      </x:c>
      <x:c r="F10" s="30" t="str">
        <x:v>S5-UAT-EV-001</x:v>
      </x:c>
      <x:c r="G10" s="41" t="str">
        <x:v>Scenario PASS (lead-reported)</x:v>
      </x:c>
      <x:c r="H10" s="30" t="str">
        <x:v>Supported by screenshot</x:v>
      </x:c>
    </x:row>
    <x:row r="11" ht="84" customHeight="1">
      <x:c r="A11" s="32" t="str">
        <x:v>S5-UAT-02</x:v>
      </x:c>
      <x:c r="B11" s="26" t="n">
        <x:v>1</x:v>
      </x:c>
      <x:c r="C11" s="26" t="str">
        <x:v>Open Career Recommendations with an established profile.</x:v>
      </x:c>
      <x:c r="D11" s="26" t="str">
        <x:v>Ranked career results appear with match and readiness figures.</x:v>
      </x:c>
      <x:c r="E11" s="26" t="str">
        <x:v>Data Analyst is first at 92% match, with 68% readiness on the Production screen.</x:v>
      </x:c>
      <x:c r="F11" s="26" t="str">
        <x:v>S5-PROD-EV-005</x:v>
      </x:c>
      <x:c r="G11" s="40" t="str">
        <x:v>Scenario PASS (lead-reported)</x:v>
      </x:c>
      <x:c r="H11" s="26" t="str">
        <x:v>Supported by screenshot</x:v>
      </x:c>
    </x:row>
    <x:row r="12" ht="84" customHeight="1">
      <x:c r="A12" s="33" t="str">
        <x:v>S5-UAT-02</x:v>
      </x:c>
      <x:c r="B12" s="30" t="n">
        <x:v>2</x:v>
      </x:c>
      <x:c r="C12" s="30" t="str">
        <x:v>Examine the top match explanation and evidence.</x:v>
      </x:c>
      <x:c r="D12" s="30" t="str">
        <x:v>Reasons and strongest supporting evidence are understandable.</x:v>
      </x:c>
      <x:c r="E12" s="30" t="str">
        <x:v>The top-match card shows why the career matches, strengths and a priority gap.</x:v>
      </x:c>
      <x:c r="F12" s="30" t="str">
        <x:v>S5-PROD-EV-005</x:v>
      </x:c>
      <x:c r="G12" s="41" t="str">
        <x:v>Scenario PASS (lead-reported)</x:v>
      </x:c>
      <x:c r="H12" s="30" t="str">
        <x:v>Supported by screenshot</x:v>
      </x:c>
    </x:row>
    <x:row r="13" ht="84" customHeight="1">
      <x:c r="A13" s="32" t="str">
        <x:v>S5-UAT-02</x:v>
      </x:c>
      <x:c r="B13" s="26" t="n">
        <x:v>3</x:v>
      </x:c>
      <x:c r="C13" s="26" t="str">
        <x:v>Review alternative career matches and navigation actions.</x:v>
      </x:c>
      <x:c r="D13" s="26" t="str">
        <x:v>Alternatives show distinct scores and usable next actions.</x:v>
      </x:c>
      <x:c r="E13" s="26" t="str">
        <x:v>Cards for Data Scientist, Data Engineer, ICT Business Analyst and others display scores and actions.</x:v>
      </x:c>
      <x:c r="F13" s="26" t="str">
        <x:v>S5-PROD-EV-005</x:v>
      </x:c>
      <x:c r="G13" s="40" t="str">
        <x:v>Scenario PASS (lead-reported)</x:v>
      </x:c>
      <x:c r="H13" s="26" t="str">
        <x:v>Supported by screenshot</x:v>
      </x:c>
    </x:row>
    <x:row r="14" ht="84" customHeight="1">
      <x:c r="A14" s="33" t="str">
        <x:v>S5-UAT-02</x:v>
      </x:c>
      <x:c r="B14" s="30" t="n">
        <x:v>4</x:v>
      </x:c>
      <x:c r="C14" s="30" t="str">
        <x:v>Open Explore Careers and browse/search career choices.</x:v>
      </x:c>
      <x:c r="D14" s="30" t="str">
        <x:v>Search, category and status filters provide usable career discovery.</x:v>
      </x:c>
      <x:c r="E14" s="30" t="str">
        <x:v>Explore Careers screenshot displays filters, pagination and 36 careers found.</x:v>
      </x:c>
      <x:c r="F14" s="30" t="str">
        <x:v>S5-PROD-EV-006</x:v>
      </x:c>
      <x:c r="G14" s="41" t="str">
        <x:v>Scenario PASS (lead-reported)</x:v>
      </x:c>
      <x:c r="H14" s="30" t="str">
        <x:v>Supported by screenshot</x:v>
      </x:c>
    </x:row>
    <x:row r="15" ht="84" customHeight="1">
      <x:c r="A15" s="32" t="str">
        <x:v>S5-UAT-03</x:v>
      </x:c>
      <x:c r="B15" s="26" t="n">
        <x:v>1</x:v>
      </x:c>
      <x:c r="C15" s="26" t="str">
        <x:v>Navigate to Skill Gap Analysis.</x:v>
      </x:c>
      <x:c r="D15" s="26" t="str">
        <x:v>The primary career and readiness summary appear.</x:v>
      </x:c>
      <x:c r="E15" s="26" t="str">
        <x:v>Data Analyst is selected and readiness score is displayed as 68%.</x:v>
      </x:c>
      <x:c r="F15" s="26" t="str">
        <x:v>S5-PROD-EV-007</x:v>
      </x:c>
      <x:c r="G15" s="40" t="str">
        <x:v>Scenario PASS (lead-reported)</x:v>
      </x:c>
      <x:c r="H15" s="26" t="str">
        <x:v>Supported by screenshot</x:v>
      </x:c>
    </x:row>
    <x:row r="16" ht="84" customHeight="1">
      <x:c r="A16" s="33" t="str">
        <x:v>S5-UAT-03</x:v>
      </x:c>
      <x:c r="B16" s="30" t="n">
        <x:v>2</x:v>
      </x:c>
      <x:c r="C16" s="30" t="str">
        <x:v>Read requirement categories and totals.</x:v>
      </x:c>
      <x:c r="D16" s="30" t="str">
        <x:v>Matched, partially met and missing requirements are distinguished.</x:v>
      </x:c>
      <x:c r="E16" s="30" t="str">
        <x:v>The overview shows 10 matched, 5 partially matched and 7 missing among 22 total requirements.</x:v>
      </x:c>
      <x:c r="F16" s="30" t="str">
        <x:v>S5-PROD-EV-007</x:v>
      </x:c>
      <x:c r="G16" s="41" t="str">
        <x:v>Scenario PASS (lead-reported)</x:v>
      </x:c>
      <x:c r="H16" s="30" t="str">
        <x:v>Supported by screenshot</x:v>
      </x:c>
    </x:row>
    <x:row r="17" ht="84" customHeight="1">
      <x:c r="A17" s="32" t="str">
        <x:v>S5-UAT-03</x:v>
      </x:c>
      <x:c r="B17" s="26" t="n">
        <x:v>3</x:v>
      </x:c>
      <x:c r="C17" s="26" t="str">
        <x:v>Review gap explanation, priority list and detailed requirements.</x:v>
      </x:c>
      <x:c r="D17" s="26" t="str">
        <x:v>The student sees missing evidence and suggested next actions.</x:v>
      </x:c>
      <x:c r="E17" s="26" t="str">
        <x:v>AI Gap Summary highlights Writing, Complex Problem Solving and Systems Analysis, followed by requirement details.</x:v>
      </x:c>
      <x:c r="F17" s="26" t="str">
        <x:v>S5-PROD-EV-007</x:v>
      </x:c>
      <x:c r="G17" s="40" t="str">
        <x:v>Scenario PASS (lead-reported)</x:v>
      </x:c>
      <x:c r="H17" s="26" t="str">
        <x:v>Supported by screenshot</x:v>
      </x:c>
    </x:row>
    <x:row r="18" ht="84" customHeight="1">
      <x:c r="A18" s="33" t="str">
        <x:v>S5-UAT-03</x:v>
      </x:c>
      <x:c r="B18" s="30" t="n">
        <x:v>4</x:v>
      </x:c>
      <x:c r="C18" s="30" t="str">
        <x:v>Use links toward learning or profile improvement.</x:v>
      </x:c>
      <x:c r="D18" s="30" t="str">
        <x:v>Related guidance options are available.</x:v>
      </x:c>
      <x:c r="E18" s="30" t="str">
        <x:v>Learning suggestions and 'View resources' or 'Add evidence' actions are visible; the project lead reports button testing completed.</x:v>
      </x:c>
      <x:c r="F18" s="30" t="str">
        <x:v>S5-PROD-EV-007</x:v>
      </x:c>
      <x:c r="G18" s="41" t="str">
        <x:v>Scenario PASS (lead-reported)</x:v>
      </x:c>
      <x:c r="H18" s="30" t="str">
        <x:v>Supported by screenshot</x:v>
      </x:c>
    </x:row>
    <x:row r="19" ht="84" customHeight="1">
      <x:c r="A19" s="32" t="str">
        <x:v>S5-UAT-04</x:v>
      </x:c>
      <x:c r="B19" s="26" t="n">
        <x:v>1</x:v>
      </x:c>
      <x:c r="C19" s="26" t="str">
        <x:v>Review current roadmap and priority sequence.</x:v>
      </x:c>
      <x:c r="D19" s="26" t="str">
        <x:v>A structured plan is shown for the selected career.</x:v>
      </x:c>
      <x:c r="E19" s="26" t="str">
        <x:v>Production image shows Data Analyst roadmap and an initial 0/12 completed status.</x:v>
      </x:c>
      <x:c r="F19" s="26" t="str">
        <x:v>S5-PROD-EV-008</x:v>
      </x:c>
      <x:c r="G19" s="40" t="str">
        <x:v>Scenario PASS (lead-reported)</x:v>
      </x:c>
      <x:c r="H19" s="26" t="str">
        <x:v>Supported by screenshot</x:v>
      </x:c>
    </x:row>
    <x:row r="20" ht="84" customHeight="1">
      <x:c r="A20" s="33" t="str">
        <x:v>S5-UAT-04</x:v>
      </x:c>
      <x:c r="B20" s="30" t="n">
        <x:v>2</x:v>
      </x:c>
      <x:c r="C20" s="30" t="str">
        <x:v>Start and complete roadmap steps.</x:v>
      </x:c>
      <x:c r="D20" s="30" t="str">
        <x:v>Step status and progress counters change appropriately.</x:v>
      </x:c>
      <x:c r="E20" s="30" t="str">
        <x:v>UAT image shows 1 completed step, 1 in progress, 10 to do and Next Step 02.</x:v>
      </x:c>
      <x:c r="F20" s="30" t="str">
        <x:v>S5-UAT-EV-002</x:v>
      </x:c>
      <x:c r="G20" s="41" t="str">
        <x:v>Scenario PASS (lead-reported)</x:v>
      </x:c>
      <x:c r="H20" s="30" t="str">
        <x:v>Supported by screenshot</x:v>
      </x:c>
    </x:row>
    <x:row r="21" ht="84" customHeight="1">
      <x:c r="A21" s="32" t="str">
        <x:v>S5-UAT-04</x:v>
      </x:c>
      <x:c r="B21" s="26" t="n">
        <x:v>3</x:v>
      </x:c>
      <x:c r="C21" s="26" t="str">
        <x:v>Inspect current focus and next-step guidance.</x:v>
      </x:c>
      <x:c r="D21" s="26" t="str">
        <x:v>The learner is shown a clear remaining priority.</x:v>
      </x:c>
      <x:c r="E21" s="26" t="str">
        <x:v>Writing is marked Completed; Complex Problem Solving is In Progress.</x:v>
      </x:c>
      <x:c r="F21" s="26" t="str">
        <x:v>S5-UAT-EV-002</x:v>
      </x:c>
      <x:c r="G21" s="40" t="str">
        <x:v>Scenario PASS (lead-reported)</x:v>
      </x:c>
      <x:c r="H21" s="26" t="str">
        <x:v>Supported by screenshot</x:v>
      </x:c>
    </x:row>
    <x:row r="22" ht="84" customHeight="1">
      <x:c r="A22" s="33" t="str">
        <x:v>S5-UAT-04</x:v>
      </x:c>
      <x:c r="B22" s="30" t="n">
        <x:v>4</x:v>
      </x:c>
      <x:c r="C22" s="30" t="str">
        <x:v>Open Learning Resources for the chosen career or gap.</x:v>
      </x:c>
      <x:c r="D22" s="30" t="str">
        <x:v>Relevant resources are displayed with source and suitability context.</x:v>
      </x:c>
      <x:c r="E22" s="30" t="str">
        <x:v>The Production Learning Resources page displays Data Analyst, Writing focus and six currently recommended resources.</x:v>
      </x:c>
      <x:c r="F22" s="30" t="str">
        <x:v>S5-PROD-EV-009</x:v>
      </x:c>
      <x:c r="G22" s="41" t="str">
        <x:v>Scenario PASS (lead-reported)</x:v>
      </x:c>
      <x:c r="H22" s="30" t="str">
        <x:v>Supported by screenshot</x:v>
      </x:c>
    </x:row>
    <x:row r="23" ht="84" customHeight="1">
      <x:c r="A23" s="32" t="str">
        <x:v>S5-UAT-05</x:v>
      </x:c>
      <x:c r="B23" s="26" t="n">
        <x:v>1</x:v>
      </x:c>
      <x:c r="C23" s="26" t="str">
        <x:v>Open the Student Dashboard.</x:v>
      </x:c>
      <x:c r="D23" s="26" t="str">
        <x:v>Dashboard loads for the Student role.</x:v>
      </x:c>
      <x:c r="E23" s="26" t="str">
        <x:v>Student Dashboard screenshot is available.</x:v>
      </x:c>
      <x:c r="F23" s="26" t="str">
        <x:v>S5-PROD-EV-003</x:v>
      </x:c>
      <x:c r="G23" s="40" t="str">
        <x:v>Scenario PASS (lead-reported)</x:v>
      </x:c>
      <x:c r="H23" s="26" t="str">
        <x:v>Supported by screenshot</x:v>
      </x:c>
    </x:row>
    <x:row r="24" ht="84" customHeight="1">
      <x:c r="A24" s="33" t="str">
        <x:v>S5-UAT-05</x:v>
      </x:c>
      <x:c r="B24" s="30" t="n">
        <x:v>2</x:v>
      </x:c>
      <x:c r="C24" s="30" t="str">
        <x:v>Identify the primary career and readiness.</x:v>
      </x:c>
      <x:c r="D24" s="30" t="str">
        <x:v>The main goal and readiness figure are visible and labelled.</x:v>
      </x:c>
      <x:c r="E24" s="30" t="str">
        <x:v>Data Analyst is the primary career with 68% career readiness.</x:v>
      </x:c>
      <x:c r="F24" s="30" t="str">
        <x:v>S5-PROD-EV-003</x:v>
      </x:c>
      <x:c r="G24" s="41" t="str">
        <x:v>Scenario PASS (lead-reported)</x:v>
      </x:c>
      <x:c r="H24" s="30" t="str">
        <x:v>Supported by screenshot</x:v>
      </x:c>
    </x:row>
    <x:row r="25" ht="84" customHeight="1">
      <x:c r="A25" s="32" t="str">
        <x:v>S5-UAT-05</x:v>
      </x:c>
      <x:c r="B25" s="26" t="n">
        <x:v>3</x:v>
      </x:c>
      <x:c r="C25" s="26" t="str">
        <x:v>Review key next actions and unresolved gaps.</x:v>
      </x:c>
      <x:c r="D25" s="26" t="str">
        <x:v>Student can identify what to improve.</x:v>
      </x:c>
      <x:c r="E25" s="26" t="str">
        <x:v>The dashboard highlights Writing and lists current gaps and learning links.</x:v>
      </x:c>
      <x:c r="F25" s="26" t="str">
        <x:v>S5-PROD-EV-003</x:v>
      </x:c>
      <x:c r="G25" s="40" t="str">
        <x:v>Scenario PASS (lead-reported)</x:v>
      </x:c>
      <x:c r="H25" s="26" t="str">
        <x:v>Supported by screenshot</x:v>
      </x:c>
    </x:row>
    <x:row r="26" ht="84" customHeight="1">
      <x:c r="A26" s="33" t="str">
        <x:v>S5-UAT-05</x:v>
      </x:c>
      <x:c r="B26" s="30" t="n">
        <x:v>4</x:v>
      </x:c>
      <x:c r="C26" s="30" t="str">
        <x:v>Locate preparation tools and activity history.</x:v>
      </x:c>
      <x:c r="D26" s="30" t="str">
        <x:v>Navigation to application tools and recent activity are available.</x:v>
      </x:c>
      <x:c r="E26" s="30" t="str">
        <x:v>Resume, Cover Letter, Interview Prep, Learning Resources shortcuts and Recent Interview Activity area are visible.</x:v>
      </x:c>
      <x:c r="F26" s="30" t="str">
        <x:v>S5-PROD-EV-003</x:v>
      </x:c>
      <x:c r="G26" s="41" t="str">
        <x:v>Scenario PASS (lead-reported)</x:v>
      </x:c>
      <x:c r="H26" s="30" t="str">
        <x:v>Supported by screenshot</x:v>
      </x:c>
    </x:row>
    <x:row r="27" ht="84" customHeight="1">
      <x:c r="A27" s="32" t="str">
        <x:v>S5-UAT-06</x:v>
      </x:c>
      <x:c r="B27" s="26" t="n">
        <x:v>1</x:v>
      </x:c>
      <x:c r="C27" s="26" t="str">
        <x:v>Open Job Matching and provide job description content.</x:v>
      </x:c>
      <x:c r="D27" s="26" t="str">
        <x:v>The tool accepts a job description for analysis.</x:v>
      </x:c>
      <x:c r="E27" s="26" t="str">
        <x:v>Project lead reports the matching interaction completed; a post-analysis screen is supplied.</x:v>
      </x:c>
      <x:c r="F27" s="26" t="str">
        <x:v>S5-PROD-EV-010</x:v>
      </x:c>
      <x:c r="G27" s="40" t="str">
        <x:v>Scenario PASS (lead-reported)</x:v>
      </x:c>
      <x:c r="H27" s="26" t="str">
        <x:v>Supported by screenshot</x:v>
      </x:c>
    </x:row>
    <x:row r="28" ht="84" customHeight="1">
      <x:c r="A28" s="33" t="str">
        <x:v>S5-UAT-06</x:v>
      </x:c>
      <x:c r="B28" s="30" t="n">
        <x:v>2</x:v>
      </x:c>
      <x:c r="C28" s="30" t="str">
        <x:v>Run analysis to identify requirements.</x:v>
      </x:c>
      <x:c r="D28" s="30" t="str">
        <x:v>Results separate known profile skills from skills to review.</x:v>
      </x:c>
      <x:c r="E28" s="30" t="str">
        <x:v>Job Matching Results shows 31 recognised job requirements, six in profile and 25 to review.</x:v>
      </x:c>
      <x:c r="F28" s="30" t="str">
        <x:v>S5-PROD-EV-010</x:v>
      </x:c>
      <x:c r="G28" s="41" t="str">
        <x:v>Scenario PASS (lead-reported)</x:v>
      </x:c>
      <x:c r="H28" s="30" t="str">
        <x:v>Supported by screenshot</x:v>
      </x:c>
    </x:row>
    <x:row r="29" ht="84" customHeight="1">
      <x:c r="A29" s="32" t="str">
        <x:v>S5-UAT-06</x:v>
      </x:c>
      <x:c r="B29" s="26" t="n">
        <x:v>3</x:v>
      </x:c>
      <x:c r="C29" s="26" t="str">
        <x:v>Inspect individual matched and unmatched entries.</x:v>
      </x:c>
      <x:c r="D29" s="26" t="str">
        <x:v>Each result is understandable, with status and skill name.</x:v>
      </x:c>
      <x:c r="E29" s="26" t="str">
        <x:v>The left column lists Python, pandas, PostgreSQL and other matched skills; the right lists absent or unreviewed terms.</x:v>
      </x:c>
      <x:c r="F29" s="26" t="str">
        <x:v>S5-PROD-EV-010</x:v>
      </x:c>
      <x:c r="G29" s="40" t="str">
        <x:v>Scenario PASS (lead-reported)</x:v>
      </x:c>
      <x:c r="H29" s="26" t="str">
        <x:v>Supported by screenshot</x:v>
      </x:c>
    </x:row>
    <x:row r="30" ht="84" customHeight="1">
      <x:c r="A30" s="33" t="str">
        <x:v>S5-UAT-06</x:v>
      </x:c>
      <x:c r="B30" s="30" t="n">
        <x:v>4</x:v>
      </x:c>
      <x:c r="C30" s="30" t="str">
        <x:v>Identify next steps after matching.</x:v>
      </x:c>
      <x:c r="D30" s="30" t="str">
        <x:v>The student is directed to a useful follow-up.</x:v>
      </x:c>
      <x:c r="E30" s="30" t="str">
        <x:v>Review Skill Gaps, Update Profile, Tailor Resume and Draft Cover Letter actions are shown.</x:v>
      </x:c>
      <x:c r="F30" s="30" t="str">
        <x:v>S5-PROD-EV-010</x:v>
      </x:c>
      <x:c r="G30" s="41" t="str">
        <x:v>Scenario PASS (lead-reported)</x:v>
      </x:c>
      <x:c r="H30" s="30" t="str">
        <x:v>Supported by screenshot</x:v>
      </x:c>
    </x:row>
    <x:row r="31" ht="84" customHeight="1">
      <x:c r="A31" s="32" t="str">
        <x:v>S5-UAT-07</x:v>
      </x:c>
      <x:c r="B31" s="26" t="n">
        <x:v>1</x:v>
      </x:c>
      <x:c r="C31" s="26" t="str">
        <x:v>Open Resume Builder and choose target career or job context.</x:v>
      </x:c>
      <x:c r="D31" s="26" t="str">
        <x:v>Resume target options and profile evidence are available.</x:v>
      </x:c>
      <x:c r="E31" s="26" t="str">
        <x:v>The Production Resume Builder shows target career, profile evidence, sections and export actions.</x:v>
      </x:c>
      <x:c r="F31" s="26" t="str">
        <x:v>S5-PROD-EV-011</x:v>
      </x:c>
      <x:c r="G31" s="40" t="str">
        <x:v>Scenario PASS (lead-reported)</x:v>
      </x:c>
      <x:c r="H31" s="26" t="str">
        <x:v>Supported by screenshot</x:v>
      </x:c>
    </x:row>
    <x:row r="32" ht="84" customHeight="1">
      <x:c r="A32" s="33" t="str">
        <x:v>S5-UAT-07</x:v>
      </x:c>
      <x:c r="B32" s="30" t="n">
        <x:v>2</x:v>
      </x:c>
      <x:c r="C32" s="30" t="str">
        <x:v>Generate a resume draft and inspect editable sections.</x:v>
      </x:c>
      <x:c r="D32" s="30" t="str">
        <x:v>Draft content is displayed with editing controls.</x:v>
      </x:c>
      <x:c r="E32" s="30" t="str">
        <x:v>UAT image shows Skills, Projects and Experience content and a resume draft generated success message.</x:v>
      </x:c>
      <x:c r="F32" s="30" t="str">
        <x:v>S5-UAT-EV-004</x:v>
      </x:c>
      <x:c r="G32" s="41" t="str">
        <x:v>Scenario PASS (lead-reported)</x:v>
      </x:c>
      <x:c r="H32" s="30" t="str">
        <x:v>Supported by screenshot</x:v>
      </x:c>
    </x:row>
    <x:row r="33" ht="84" customHeight="1">
      <x:c r="A33" s="32" t="str">
        <x:v>S5-UAT-07</x:v>
      </x:c>
      <x:c r="B33" s="26" t="n">
        <x:v>3</x:v>
      </x:c>
      <x:c r="C33" s="26" t="str">
        <x:v>Request PDF export for the resume.</x:v>
      </x:c>
      <x:c r="D33" s="26" t="str">
        <x:v>The interface reports successful export.</x:v>
      </x:c>
      <x:c r="E33" s="26" t="str">
        <x:v>UAT image shows 'PDF resume downloaded'. It does not include the downloaded PDF's contents.</x:v>
      </x:c>
      <x:c r="F33" s="26" t="str">
        <x:v>S5-UAT-EV-003</x:v>
      </x:c>
      <x:c r="G33" s="40" t="str">
        <x:v>Scenario PASS (lead-reported)</x:v>
      </x:c>
      <x:c r="H33" s="26" t="str">
        <x:v>Supported by screenshot</x:v>
      </x:c>
    </x:row>
    <x:row r="34" ht="84" customHeight="1">
      <x:c r="A34" s="33" t="str">
        <x:v>S5-UAT-07</x:v>
      </x:c>
      <x:c r="B34" s="30" t="n">
        <x:v>4</x:v>
      </x:c>
      <x:c r="C34" s="30" t="str">
        <x:v>Generate a cover-letter draft from target role and profile.</x:v>
      </x:c>
      <x:c r="D34" s="30" t="str">
        <x:v>Draft sections are presented for editing and review.</x:v>
      </x:c>
      <x:c r="E34" s="30" t="str">
        <x:v>The Production cover-letter screen and UAT image show generated paragraphs and draft-generated message.</x:v>
      </x:c>
      <x:c r="F34" s="30" t="str">
        <x:v>S5-PROD-EV-012, S5-UAT-EV-005</x:v>
      </x:c>
      <x:c r="G34" s="41" t="str">
        <x:v>Scenario PASS (lead-reported)</x:v>
      </x:c>
      <x:c r="H34" s="30" t="str">
        <x:v>Supported by screenshot</x:v>
      </x:c>
    </x:row>
    <x:row r="35" ht="84" customHeight="1">
      <x:c r="A35" s="32" t="str">
        <x:v>S5-UAT-07</x:v>
      </x:c>
      <x:c r="B35" s="26" t="n">
        <x:v>5</x:v>
      </x:c>
      <x:c r="C35" s="26" t="str">
        <x:v>Open edit mode on a section and request cover-letter PDF export.</x:v>
      </x:c>
      <x:c r="D35" s="26" t="str">
        <x:v>The user can edit text and sees a download acknowledgement.</x:v>
      </x:c>
      <x:c r="E35" s="26" t="str">
        <x:v>UAT screenshot shows the Closing section in edit mode with 'Done editing' and a 'PDF cover letter downloaded' notice.</x:v>
      </x:c>
      <x:c r="F35" s="26" t="str">
        <x:v>S5-UAT-EV-006</x:v>
      </x:c>
      <x:c r="G35" s="40" t="str">
        <x:v>Scenario PASS (lead-reported)</x:v>
      </x:c>
      <x:c r="H35" s="26" t="str">
        <x:v>Supported by screenshot</x:v>
      </x:c>
    </x:row>
    <x:row r="36" ht="84" customHeight="1">
      <x:c r="A36" s="33" t="str">
        <x:v>S5-UAT-08</x:v>
      </x:c>
      <x:c r="B36" s="30" t="n">
        <x:v>1</x:v>
      </x:c>
      <x:c r="C36" s="30" t="str">
        <x:v>Start a practice session for a chosen target career.</x:v>
      </x:c>
      <x:c r="D36" s="30" t="str">
        <x:v>The session contains targeted questions and a visible progress indicator.</x:v>
      </x:c>
      <x:c r="E36" s="30" t="str">
        <x:v>Interview screenshot displays a Data Analyst session with five questions.</x:v>
      </x:c>
      <x:c r="F36" s="30" t="str">
        <x:v>S5-PROD-EV-013</x:v>
      </x:c>
      <x:c r="G36" s="41" t="str">
        <x:v>Scenario PASS (lead-reported)</x:v>
      </x:c>
      <x:c r="H36" s="30" t="str">
        <x:v>Supported by screenshot</x:v>
      </x:c>
    </x:row>
    <x:row r="37" ht="84" customHeight="1">
      <x:c r="A37" s="32" t="str">
        <x:v>S5-UAT-08</x:v>
      </x:c>
      <x:c r="B37" s="26" t="n">
        <x:v>2</x:v>
      </x:c>
      <x:c r="C37" s="26" t="str">
        <x:v>Read an AI-generated question and enter a response.</x:v>
      </x:c>
      <x:c r="D37" s="26" t="str">
        <x:v>Question text and answer input are available.</x:v>
      </x:c>
      <x:c r="E37" s="26" t="str">
        <x:v>The new UAT screenshot shows a data analytics project question with an entered revised answer.</x:v>
      </x:c>
      <x:c r="F37" s="26" t="str">
        <x:v>S5-UAT-EV-007</x:v>
      </x:c>
      <x:c r="G37" s="40" t="str">
        <x:v>Scenario PASS (lead-reported)</x:v>
      </x:c>
      <x:c r="H37" s="26" t="str">
        <x:v>Supported by screenshot</x:v>
      </x:c>
    </x:row>
    <x:row r="38" ht="84" customHeight="1">
      <x:c r="A38" s="33" t="str">
        <x:v>S5-UAT-08</x:v>
      </x:c>
      <x:c r="B38" s="30" t="n">
        <x:v>3</x:v>
      </x:c>
      <x:c r="C38" s="30" t="str">
        <x:v>Request updated feedback.</x:v>
      </x:c>
      <x:c r="D38" s="30" t="str">
        <x:v>The system shows a feedback summary and guidance.</x:v>
      </x:c>
      <x:c r="E38" s="30" t="str">
        <x:v>AI feedback summary is visible, with comments about data cleaning, EDA and evaluation rigour.</x:v>
      </x:c>
      <x:c r="F38" s="30" t="str">
        <x:v>S5-UAT-EV-007</x:v>
      </x:c>
      <x:c r="G38" s="41" t="str">
        <x:v>Scenario PASS (lead-reported)</x:v>
      </x:c>
      <x:c r="H38" s="30" t="str">
        <x:v>Supported by screenshot</x:v>
      </x:c>
    </x:row>
    <x:row r="39" ht="84" customHeight="1">
      <x:c r="A39" s="32" t="str">
        <x:v>S5-UAT-08</x:v>
      </x:c>
      <x:c r="B39" s="26" t="n">
        <x:v>4</x:v>
      </x:c>
      <x:c r="C39" s="26" t="str">
        <x:v>Review strengths and improvement guidance.</x:v>
      </x:c>
      <x:c r="D39" s="26" t="str">
        <x:v>Feedback offers useful, clearly differentiated recommendations.</x:v>
      </x:c>
      <x:c r="E39" s="26" t="str">
        <x:v>The result includes 'What you did well' and points about tool usage, data cleaning and communication.</x:v>
      </x:c>
      <x:c r="F39" s="26" t="str">
        <x:v>S5-PROD-EV-013, S5-UAT-EV-007</x:v>
      </x:c>
      <x:c r="G39" s="40" t="str">
        <x:v>Scenario PASS (lead-reported)</x:v>
      </x:c>
      <x:c r="H39" s="26" t="str">
        <x:v>Supported by screenshot</x:v>
      </x:c>
    </x:row>
    <x:row r="40" ht="84" customHeight="1">
      <x:c r="A40" s="33" t="str">
        <x:v>S5-UAT-09</x:v>
      </x:c>
      <x:c r="B40" s="30" t="n">
        <x:v>1</x:v>
      </x:c>
      <x:c r="C40" s="30" t="str">
        <x:v>Open Account Settings.</x:v>
      </x:c>
      <x:c r="D40" s="30" t="str">
        <x:v>The Account and Security areas load for the signed-in Student.</x:v>
      </x:c>
      <x:c r="E40" s="30" t="str">
        <x:v>Settings screen shows account profile and password controls.</x:v>
      </x:c>
      <x:c r="F40" s="30" t="str">
        <x:v>S5-PROD-EV-014</x:v>
      </x:c>
      <x:c r="G40" s="41" t="str">
        <x:v>Scenario PASS (lead-reported)</x:v>
      </x:c>
      <x:c r="H40" s="30" t="str">
        <x:v>Supported by screenshot</x:v>
      </x:c>
    </x:row>
    <x:row r="41" ht="84" customHeight="1">
      <x:c r="A41" s="32" t="str">
        <x:v>S5-UAT-09</x:v>
      </x:c>
      <x:c r="B41" s="26" t="n">
        <x:v>2</x:v>
      </x:c>
      <x:c r="C41" s="26" t="str">
        <x:v>Inspect profile photo and account fields.</x:v>
      </x:c>
      <x:c r="D41" s="26" t="str">
        <x:v>Available profile edits are distinguishable from read-only fields.</x:v>
      </x:c>
      <x:c r="E41" s="26" t="str">
        <x:v>Replace photo/Remove buttons and editable name fields are visible; email is read-only.</x:v>
      </x:c>
      <x:c r="F41" s="26" t="str">
        <x:v>S5-PROD-EV-014</x:v>
      </x:c>
      <x:c r="G41" s="40" t="str">
        <x:v>Scenario PASS (lead-reported)</x:v>
      </x:c>
      <x:c r="H41" s="26" t="str">
        <x:v>Supported by screenshot</x:v>
      </x:c>
    </x:row>
    <x:row r="42" ht="84" customHeight="1">
      <x:c r="A42" s="33" t="str">
        <x:v>S5-UAT-09</x:v>
      </x:c>
      <x:c r="B42" s="30" t="n">
        <x:v>3</x:v>
      </x:c>
      <x:c r="C42" s="30" t="str">
        <x:v>Locate password-change controls.</x:v>
      </x:c>
      <x:c r="D42" s="30" t="str">
        <x:v>Current, new and confirmation fields are identifiable.</x:v>
      </x:c>
      <x:c r="E42" s="30" t="str">
        <x:v>Current Password, New Password and Confirm Password fields are visible.</x:v>
      </x:c>
      <x:c r="F42" s="30" t="str">
        <x:v>S5-PROD-EV-014</x:v>
      </x:c>
      <x:c r="G42" s="41" t="str">
        <x:v>Scenario PASS (lead-reported)</x:v>
      </x:c>
      <x:c r="H42" s="30" t="str">
        <x:v>Supported by screenshot</x:v>
      </x:c>
    </x:row>
    <x:row r="43" ht="84" customHeight="1">
      <x:c r="A43" s="32" t="str">
        <x:v>S5-UAT-09</x:v>
      </x:c>
      <x:c r="B43" s="26" t="n">
        <x:v>4</x:v>
      </x:c>
      <x:c r="C43" s="26" t="str">
        <x:v>Use sidebar or dashboard navigation to return to guidance tools.</x:v>
      </x:c>
      <x:c r="D43" s="26" t="str">
        <x:v>Student navigation remains clear.</x:v>
      </x:c>
      <x:c r="E43" s="26" t="str">
        <x:v>Dashboard and sidebar links are shown in the existing Production screenshots; project lead reports interactions executed.</x:v>
      </x:c>
      <x:c r="F43" s="26" t="str">
        <x:v>S5-PROD-EV-003, S5-PROD-EV-014</x:v>
      </x:c>
      <x:c r="G43" s="40" t="str">
        <x:v>Scenario PASS (lead-reported)</x:v>
      </x:c>
      <x:c r="H43" s="26" t="str">
        <x:v>Supported by screenshot</x:v>
      </x:c>
    </x:row>
    <x:row r="44" ht="84" customHeight="1">
      <x:c r="A44" s="33" t="str">
        <x:v>S5-UAT-10</x:v>
      </x:c>
      <x:c r="B44" s="30" t="n">
        <x:v>1</x:v>
      </x:c>
      <x:c r="C44" s="30" t="str">
        <x:v>Open Administrator Dashboard and management navigation.</x:v>
      </x:c>
      <x:c r="D44" s="30" t="str">
        <x:v>Administrator sees privileged management sections.</x:v>
      </x:c>
      <x:c r="E44" s="30" t="str">
        <x:v>Dashboard, Users, Careers, Skills and Learning Resources navigation are visible.</x:v>
      </x:c>
      <x:c r="F44" s="30" t="str">
        <x:v>S5-PROD-EV-015</x:v>
      </x:c>
      <x:c r="G44" s="41" t="str">
        <x:v>Scenario PASS (lead-reported)</x:v>
      </x:c>
      <x:c r="H44" s="30" t="str">
        <x:v>Supported by screenshot</x:v>
      </x:c>
    </x:row>
    <x:row r="45" ht="84" customHeight="1">
      <x:c r="A45" s="32" t="str">
        <x:v>S5-UAT-10</x:v>
      </x:c>
      <x:c r="B45" s="26" t="n">
        <x:v>2</x:v>
      </x:c>
      <x:c r="C45" s="26" t="str">
        <x:v>Search or review existing career records and open Add Career.</x:v>
      </x:c>
      <x:c r="D45" s="26" t="str">
        <x:v>Career list and create form can be accessed.</x:v>
      </x:c>
      <x:c r="E45" s="26" t="str">
        <x:v>Production list shows 36 active careers; UAT capture shows Add Career form with Name, Category and Description.</x:v>
      </x:c>
      <x:c r="F45" s="26" t="str">
        <x:v>S5-PROD-EV-017, S5-UAT-EV-008</x:v>
      </x:c>
      <x:c r="G45" s="40" t="str">
        <x:v>Scenario PASS (lead-reported)</x:v>
      </x:c>
      <x:c r="H45" s="26" t="str">
        <x:v>Supported by screenshot</x:v>
      </x:c>
    </x:row>
    <x:row r="46" ht="84" customHeight="1">
      <x:c r="A46" s="33" t="str">
        <x:v>S5-UAT-10</x:v>
      </x:c>
      <x:c r="B46" s="30" t="n">
        <x:v>3</x:v>
      </x:c>
      <x:c r="C46" s="30" t="str">
        <x:v>Open Skill Management and inspect Add Skill.</x:v>
      </x:c>
      <x:c r="D46" s="30" t="str">
        <x:v>Canonical skill catalogue and create form are accessible.</x:v>
      </x:c>
      <x:c r="E46" s="30" t="str">
        <x:v>Production list displays 2,873 matching skills; UAT Add Skill form has Name, Type, Category and Description.</x:v>
      </x:c>
      <x:c r="F46" s="30" t="str">
        <x:v>S5-PROD-EV-018, S5-UAT-EV-009</x:v>
      </x:c>
      <x:c r="G46" s="41" t="str">
        <x:v>Scenario PASS (lead-reported)</x:v>
      </x:c>
      <x:c r="H46" s="30" t="str">
        <x:v>Supported by screenshot</x:v>
      </x:c>
    </x:row>
    <x:row r="47" ht="84" customHeight="1">
      <x:c r="A47" s="32" t="str">
        <x:v>S5-UAT-10</x:v>
      </x:c>
      <x:c r="B47" s="26" t="n">
        <x:v>4</x:v>
      </x:c>
      <x:c r="C47" s="26" t="str">
        <x:v>Open Learning Resource Management and edit a resource.</x:v>
      </x:c>
      <x:c r="D47" s="26" t="str">
        <x:v>Admin can inspect resource source, health, visibility and linked skills.</x:v>
      </x:c>
      <x:c r="E47" s="26" t="str">
        <x:v>Production screen lists 30 learning resources; UAT screenshot shows Edit Resource form with URL, provider, access, health, linked skills and active toggle.</x:v>
      </x:c>
      <x:c r="F47" s="26" t="str">
        <x:v>S5-PROD-EV-019, S5-UAT-EV-010</x:v>
      </x:c>
      <x:c r="G47" s="40" t="str">
        <x:v>Scenario PASS (lead-reported)</x:v>
      </x:c>
      <x:c r="H47" s="26" t="str">
        <x:v>Supported by screenshot</x:v>
      </x:c>
    </x:row>
    <x:row r="48" ht="84" customHeight="1">
      <x:c r="A48" s="33" t="str">
        <x:v>S5-UAT-10</x:v>
      </x:c>
      <x:c r="B48" s="30" t="n">
        <x:v>5</x:v>
      </x:c>
      <x:c r="C48" s="30" t="str">
        <x:v>Inspect user-management controls.</x:v>
      </x:c>
      <x:c r="D48" s="30" t="str">
        <x:v>Administrator sees accounts, roles and change actions.</x:v>
      </x:c>
      <x:c r="E48" s="30" t="str">
        <x:v>User Management shows role/status columns and Make Admin, Make Student and Deactivate actions.</x:v>
      </x:c>
      <x:c r="F48" s="30" t="str">
        <x:v>S5-PROD-EV-016</x:v>
      </x:c>
      <x:c r="G48" s="41" t="str">
        <x:v>Scenario PASS (lead-reported)</x:v>
      </x:c>
      <x:c r="H48" s="30" t="str">
        <x:v>Supported by screenshot</x:v>
      </x:c>
    </x:row>
    <x:row r="49" ht="84" customHeight="1">
      <x:c r="A49" s="32" t="str">
        <x:v>S5-UAT-11</x:v>
      </x:c>
      <x:c r="B49" s="26" t="n">
        <x:v>1</x:v>
      </x:c>
      <x:c r="C49" s="26" t="str">
        <x:v>Open Administrator Dashboard and inspect summary metrics.</x:v>
      </x:c>
      <x:c r="D49" s="26" t="str">
        <x:v>Admin sees resource/user metrics and attention items.</x:v>
      </x:c>
      <x:c r="E49" s="26" t="str">
        <x:v>Dashboard shows three Student accounts, 36 careers, 2,873 skills and 30 resources.</x:v>
      </x:c>
      <x:c r="F49" s="26" t="str">
        <x:v>S5-PROD-EV-015</x:v>
      </x:c>
      <x:c r="G49" s="40" t="str">
        <x:v>Scenario PASS (lead-reported)</x:v>
      </x:c>
      <x:c r="H49" s="26" t="str">
        <x:v>Supported by screenshot</x:v>
      </x:c>
    </x:row>
    <x:row r="50" ht="84" customHeight="1">
      <x:c r="A50" s="33" t="str">
        <x:v>S5-UAT-11</x:v>
      </x:c>
      <x:c r="B50" s="30" t="n">
        <x:v>2</x:v>
      </x:c>
      <x:c r="C50" s="30" t="str">
        <x:v>Review popular-career and common-gap analytics.</x:v>
      </x:c>
      <x:c r="D50" s="30" t="str">
        <x:v>Aggregate signals are understandable without exposing student-level details.</x:v>
      </x:c>
      <x:c r="E50" s="30" t="str">
        <x:v>Analytics show the top careers and common gaps, with a statement that only aggregate information is displayed.</x:v>
      </x:c>
      <x:c r="F50" s="30" t="str">
        <x:v>S5-PROD-EV-015</x:v>
      </x:c>
      <x:c r="G50" s="41" t="str">
        <x:v>Scenario PASS (lead-reported)</x:v>
      </x:c>
      <x:c r="H50" s="30" t="str">
        <x:v>Supported by screenshot</x:v>
      </x:c>
    </x:row>
    <x:row r="51" ht="84" customHeight="1">
      <x:c r="A51" s="32" t="str">
        <x:v>S5-UAT-11</x:v>
      </x:c>
      <x:c r="B51" s="26" t="n">
        <x:v>3</x:v>
      </x:c>
      <x:c r="C51" s="26" t="str">
        <x:v>Open Resource Reports and filter by status.</x:v>
      </x:c>
      <x:c r="D51" s="26" t="str">
        <x:v>Open reports show reason, comment and response actions.</x:v>
      </x:c>
      <x:c r="E51" s="26" t="str">
        <x:v>Reports page displays one open broken-link report and Resolve/Dismiss actions.</x:v>
      </x:c>
      <x:c r="F51" s="26" t="str">
        <x:v>S5-PROD-EV-020</x:v>
      </x:c>
      <x:c r="G51" s="40" t="str">
        <x:v>Scenario PASS (lead-reported)</x:v>
      </x:c>
      <x:c r="H51" s="26" t="str">
        <x:v>Supported by screenshot</x:v>
      </x:c>
    </x:row>
    <x:row r="52" ht="84" customHeight="1">
      <x:c r="A52" s="33" t="str">
        <x:v>S5-UAT-11</x:v>
      </x:c>
      <x:c r="B52" s="30" t="n">
        <x:v>4</x:v>
      </x:c>
      <x:c r="C52" s="30" t="str">
        <x:v>Open Audit Records and inspect action history.</x:v>
      </x:c>
      <x:c r="D52" s="30" t="str">
        <x:v>Recent administrator changes are listed with date, actor and action.</x:v>
      </x:c>
      <x:c r="E52" s="30" t="str">
        <x:v>Audit page shows two entries, including a user-role change and resource-report status change.</x:v>
      </x:c>
      <x:c r="F52" s="30" t="str">
        <x:v>S5-PROD-EV-021</x:v>
      </x:c>
      <x:c r="G52" s="41" t="str">
        <x:v>Scenario PASS (lead-reported)</x:v>
      </x:c>
      <x:c r="H52" s="30" t="str">
        <x:v>Supported by screenshot</x:v>
      </x:c>
    </x:row>
  </x:sheetData>
  <x:mergeCells>
    <x:mergeCell ref="A1:H2"/>
    <x:mergeCell ref="A3:H3"/>
  </x:mergeCells>
  <x:pageMargins left="0.7" right="0.7" top="0.75" bottom="0.75" header="0.3" footer="0.3"/>
</x:worksheet>
</file>

<file path=xl/worksheets/sheet4.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22" hidden="0" customWidth="1"/>
    <x:col min="2" max="2" width="25" hidden="0" customWidth="1"/>
    <x:col min="3" max="3" width="39" hidden="0" customWidth="1"/>
    <x:col min="4" max="4" width="33" hidden="0" customWidth="1"/>
    <x:col min="5" max="5" width="56" hidden="0" customWidth="1"/>
    <x:col min="6" max="6" width="73" hidden="0" customWidth="1"/>
    <x:col min="7" max="7" width="67" hidden="0" customWidth="1"/>
    <x:col min="8" max="8" width="86" hidden="0" customWidth="1"/>
    <x:col min="9" max="9" width="16" hidden="0" customWidth="1"/>
    <x:col min="10" max="10" width="74" hidden="0" customWidth="1"/>
  </x:cols>
  <x:sheetData>
    <x:row r="1" ht="25" customHeight="1">
      <x:c r="A1" s="4" t="str">
        <x:v>WBS 8.6 | EVIDENCE REGISTER</x:v>
      </x:c>
      <x:c r="B1" s="4" t="str">
        <x:v>WBS 8.6 | EVIDENCE REGISTER</x:v>
      </x:c>
      <x:c r="C1" s="4" t="str">
        <x:v>WBS 8.6 | EVIDENCE REGISTER</x:v>
      </x:c>
      <x:c r="D1" s="4" t="str">
        <x:v>WBS 8.6 | EVIDENCE REGISTER</x:v>
      </x:c>
      <x:c r="E1" s="4" t="str">
        <x:v>WBS 8.6 | EVIDENCE REGISTER</x:v>
      </x:c>
      <x:c r="F1" s="4" t="str">
        <x:v>WBS 8.6 | EVIDENCE REGISTER</x:v>
      </x:c>
      <x:c r="G1" s="4" t="str">
        <x:v>WBS 8.6 | EVIDENCE REGISTER</x:v>
      </x:c>
      <x:c r="H1" s="4" t="str">
        <x:v>WBS 8.6 | EVIDENCE REGISTER</x:v>
      </x:c>
      <x:c r="I1" s="4" t="str">
        <x:v>WBS 8.6 | EVIDENCE REGISTER</x:v>
      </x:c>
      <x:c r="J1" s="4" t="str">
        <x:v>WBS 8.6 | EVIDENCE REGISTER</x:v>
      </x:c>
    </x:row>
    <x:row r="2" ht="25" customHeight="1">
      <x:c r="A2" s="4" t="str">
        <x:v>WBS 8.6 | EVIDENCE REGISTER</x:v>
      </x:c>
      <x:c r="B2" s="4" t="str">
        <x:v>WBS 8.6 | EVIDENCE REGISTER</x:v>
      </x:c>
      <x:c r="C2" s="4" t="str">
        <x:v>WBS 8.6 | EVIDENCE REGISTER</x:v>
      </x:c>
      <x:c r="D2" s="4" t="str">
        <x:v>WBS 8.6 | EVIDENCE REGISTER</x:v>
      </x:c>
      <x:c r="E2" s="4" t="str">
        <x:v>WBS 8.6 | EVIDENCE REGISTER</x:v>
      </x:c>
      <x:c r="F2" s="4" t="str">
        <x:v>WBS 8.6 | EVIDENCE REGISTER</x:v>
      </x:c>
      <x:c r="G2" s="4" t="str">
        <x:v>WBS 8.6 | EVIDENCE REGISTER</x:v>
      </x:c>
      <x:c r="H2" s="4" t="str">
        <x:v>WBS 8.6 | EVIDENCE REGISTER</x:v>
      </x:c>
      <x:c r="I2" s="4" t="str">
        <x:v>WBS 8.6 | EVIDENCE REGISTER</x:v>
      </x:c>
      <x:c r="J2" s="4" t="str">
        <x:v>WBS 8.6 | EVIDENCE REGISTER</x:v>
      </x:c>
    </x:row>
    <x:row r="3" ht="28" customHeight="1">
      <x:c r="A3" s="11" t="str">
        <x:v>All 31 verified PNG filenames • Reuse WBS 8.9 Production images without copying into a second folder • Full repository-relative paths</x:v>
      </x:c>
      <x:c r="B3" s="11" t="str">
        <x:v>All 31 verified PNG filenames • Reuse WBS 8.9 Production images without copying into a second folder • Full repository-relative paths</x:v>
      </x:c>
      <x:c r="C3" s="11" t="str">
        <x:v>All 31 verified PNG filenames • Reuse WBS 8.9 Production images without copying into a second folder • Full repository-relative paths</x:v>
      </x:c>
      <x:c r="D3" s="11" t="str">
        <x:v>All 31 verified PNG filenames • Reuse WBS 8.9 Production images without copying into a second folder • Full repository-relative paths</x:v>
      </x:c>
      <x:c r="E3" s="11" t="str">
        <x:v>All 31 verified PNG filenames • Reuse WBS 8.9 Production images without copying into a second folder • Full repository-relative paths</x:v>
      </x:c>
      <x:c r="F3" s="11" t="str">
        <x:v>All 31 verified PNG filenames • Reuse WBS 8.9 Production images without copying into a second folder • Full repository-relative paths</x:v>
      </x:c>
      <x:c r="G3" s="11" t="str">
        <x:v>All 31 verified PNG filenames • Reuse WBS 8.9 Production images without copying into a second folder • Full repository-relative paths</x:v>
      </x:c>
      <x:c r="H3" s="11" t="str">
        <x:v>All 31 verified PNG filenames • Reuse WBS 8.9 Production images without copying into a second folder • Full repository-relative paths</x:v>
      </x:c>
      <x:c r="I3" s="11" t="str">
        <x:v>All 31 verified PNG filenames • Reuse WBS 8.9 Production images without copying into a second folder • Full repository-relative paths</x:v>
      </x:c>
      <x:c r="J3" s="11" t="str">
        <x:v>All 31 verified PNG filenames • Reuse WBS 8.9 Production images without copying into a second folder • Full repository-relative paths</x:v>
      </x:c>
    </x:row>
    <x:row r="4" ht="12" customHeight="1"/>
    <x:row r="6" ht="32" customHeight="1">
      <x:c r="A6" s="19" t="str">
        <x:v>Evidence ID</x:v>
      </x:c>
      <x:c r="B6" s="19" t="str">
        <x:v>Evidence category</x:v>
      </x:c>
      <x:c r="C6" s="19" t="str">
        <x:v>Screen / observable action</x:v>
      </x:c>
      <x:c r="D6" s="19" t="str">
        <x:v>Linked UAT scenarios</x:v>
      </x:c>
      <x:c r="E6" s="19" t="str">
        <x:v>Filename</x:v>
      </x:c>
      <x:c r="F6" s="19" t="str">
        <x:v>Visible support / observation</x:v>
      </x:c>
      <x:c r="G6" s="19" t="str">
        <x:v>What the screenshot does NOT establish</x:v>
      </x:c>
      <x:c r="H6" s="19" t="str">
        <x:v>Repository-relative image path</x:v>
      </x:c>
      <x:c r="I6" s="19" t="str">
        <x:v>File size (KB)</x:v>
      </x:c>
      <x:c r="J6" s="19" t="str">
        <x:v>SHA-256 integrity digest</x:v>
      </x:c>
    </x:row>
    <x:row r="7" ht="80" customHeight="1">
      <x:c r="A7" s="32" t="str">
        <x:v>S5-PROD-EV-001</x:v>
      </x:c>
      <x:c r="B7" s="26" t="str">
        <x:v>Production (reused)</x:v>
      </x:c>
      <x:c r="C7" s="26" t="str">
        <x:v>Landing Page</x:v>
      </x:c>
      <x:c r="D7" s="26" t="str">
        <x:v>S5-UAT-01</x:v>
      </x:c>
      <x:c r="E7" s="26" t="str">
        <x:v>S5-PROD-EV-001-Landing-Page.png</x:v>
      </x:c>
      <x:c r="F7" s="26" t="str">
        <x:v>Public landing page rendered with product overview</x:v>
      </x:c>
      <x:c r="G7" s="26" t="str">
        <x:v>Shows product screen state; does not independently establish clicked actions or tester identity.</x:v>
      </x:c>
      <x:c r="H7" s="26" t="str">
        <x:v>docs/testing/evidence/sprint-5/production-verification/S5-PROD-EV-001-Landing-Page.png</x:v>
      </x:c>
      <x:c r="I7" s="78" t="n">
        <x:v>2042.6</x:v>
      </x:c>
      <x:c r="J7" s="26" t="str">
        <x:v>c976f898c3ad282b13607d15e87297d0bc7d76152c5decee0282fedb64a308a5</x:v>
      </x:c>
    </x:row>
    <x:row r="8" ht="80" customHeight="1">
      <x:c r="A8" s="33" t="str">
        <x:v>S5-PROD-EV-002</x:v>
      </x:c>
      <x:c r="B8" s="30" t="str">
        <x:v>Production (reused)</x:v>
      </x:c>
      <x:c r="C8" s="30" t="str">
        <x:v>Login Page</x:v>
      </x:c>
      <x:c r="D8" s="30" t="str">
        <x:v>S5-UAT-01</x:v>
      </x:c>
      <x:c r="E8" s="30" t="str">
        <x:v>S5-PROD-EV-002-Login-Page.png</x:v>
      </x:c>
      <x:c r="F8" s="30" t="str">
        <x:v>Login form and navigation visible; credentials not validated by screenshot</x:v>
      </x:c>
      <x:c r="G8" s="30" t="str">
        <x:v>Shows product screen state; does not independently establish clicked actions or tester identity.</x:v>
      </x:c>
      <x:c r="H8" s="30" t="str">
        <x:v>docs/testing/evidence/sprint-5/production-verification/S5-PROD-EV-002-Login-Page.png</x:v>
      </x:c>
      <x:c r="I8" s="79" t="n">
        <x:v>949.8</x:v>
      </x:c>
      <x:c r="J8" s="30" t="str">
        <x:v>d6b18368068d741ecd630cd87ef7419e3ae81ac4fdf1ea3c723b39788a04e5e3</x:v>
      </x:c>
    </x:row>
    <x:row r="9" ht="80" customHeight="1">
      <x:c r="A9" s="32" t="str">
        <x:v>S5-PROD-EV-003</x:v>
      </x:c>
      <x:c r="B9" s="26" t="str">
        <x:v>Production (reused)</x:v>
      </x:c>
      <x:c r="C9" s="26" t="str">
        <x:v>Student Dashboard</x:v>
      </x:c>
      <x:c r="D9" s="26" t="str">
        <x:v>S5-UAT-05, S5-UAT-09</x:v>
      </x:c>
      <x:c r="E9" s="26" t="str">
        <x:v>S5-PROD-EV-003-Student-Dashboard.png</x:v>
      </x:c>
      <x:c r="F9" s="26" t="str">
        <x:v>Career readiness, guidance, and progress cards visible</x:v>
      </x:c>
      <x:c r="G9" s="26" t="str">
        <x:v>Shows product screen state; does not independently establish clicked actions or tester identity.</x:v>
      </x:c>
      <x:c r="H9" s="26" t="str">
        <x:v>docs/testing/evidence/sprint-5/production-verification/S5-PROD-EV-003-Student-Dashboard.png</x:v>
      </x:c>
      <x:c r="I9" s="78" t="n">
        <x:v>296.8</x:v>
      </x:c>
      <x:c r="J9" s="26" t="str">
        <x:v>1366e69fe80aadd614bdcc8aea227af2ff8c352bcc5a56f7c47016d3a84f43c4</x:v>
      </x:c>
    </x:row>
    <x:row r="10" ht="80" customHeight="1">
      <x:c r="A10" s="33" t="str">
        <x:v>S5-PROD-EV-004</x:v>
      </x:c>
      <x:c r="B10" s="30" t="str">
        <x:v>Production (reused)</x:v>
      </x:c>
      <x:c r="C10" s="30" t="str">
        <x:v>Student Profile</x:v>
      </x:c>
      <x:c r="D10" s="30" t="str">
        <x:v>S5-UAT-01</x:v>
      </x:c>
      <x:c r="E10" s="30" t="str">
        <x:v>S5-PROD-EV-004-Student-Profile.png</x:v>
      </x:c>
      <x:c r="F10" s="30" t="str">
        <x:v>Skills, career goals, interests, structured evidence, and questionnaire visible</x:v>
      </x:c>
      <x:c r="G10" s="30" t="str">
        <x:v>Shows product screen state; does not independently establish clicked actions or tester identity.</x:v>
      </x:c>
      <x:c r="H10" s="30" t="str">
        <x:v>docs/testing/evidence/sprint-5/production-verification/S5-PROD-EV-004-Student-Profile.png</x:v>
      </x:c>
      <x:c r="I10" s="79" t="n">
        <x:v>304.4</x:v>
      </x:c>
      <x:c r="J10" s="30" t="str">
        <x:v>64eb4a8bd3e21a78510bb43b257863b82855caac84caf6838ed7163a9c613bc1</x:v>
      </x:c>
    </x:row>
    <x:row r="11" ht="80" customHeight="1">
      <x:c r="A11" s="32" t="str">
        <x:v>S5-PROD-EV-005</x:v>
      </x:c>
      <x:c r="B11" s="26" t="str">
        <x:v>Production (reused)</x:v>
      </x:c>
      <x:c r="C11" s="26" t="str">
        <x:v>Career Recommendations</x:v>
      </x:c>
      <x:c r="D11" s="26" t="str">
        <x:v>S5-UAT-02</x:v>
      </x:c>
      <x:c r="E11" s="26" t="str">
        <x:v>S5-PROD-EV-005-Career-Recommendations.png</x:v>
      </x:c>
      <x:c r="F11" s="26" t="str">
        <x:v>Ranked recommendations, score and readiness display visible</x:v>
      </x:c>
      <x:c r="G11" s="26" t="str">
        <x:v>Shows product screen state; does not independently establish clicked actions or tester identity.</x:v>
      </x:c>
      <x:c r="H11" s="26" t="str">
        <x:v>docs/testing/evidence/sprint-5/production-verification/S5-PROD-EV-005-Career-Recommendations.png</x:v>
      </x:c>
      <x:c r="I11" s="78" t="n">
        <x:v>648.2</x:v>
      </x:c>
      <x:c r="J11" s="26" t="str">
        <x:v>ac2388c22a527642ac1485737fc78657535d5e3df7ed228f63ce76802736965f</x:v>
      </x:c>
    </x:row>
    <x:row r="12" ht="80" customHeight="1">
      <x:c r="A12" s="33" t="str">
        <x:v>S5-PROD-EV-006</x:v>
      </x:c>
      <x:c r="B12" s="30" t="str">
        <x:v>Production (reused)</x:v>
      </x:c>
      <x:c r="C12" s="30" t="str">
        <x:v>Explore Careers</x:v>
      </x:c>
      <x:c r="D12" s="30" t="str">
        <x:v>S5-UAT-02</x:v>
      </x:c>
      <x:c r="E12" s="30" t="str">
        <x:v>S5-PROD-EV-006-Explore-Careers.png</x:v>
      </x:c>
      <x:c r="F12" s="30" t="str">
        <x:v>Career catalogue, filters, result count and cards visible</x:v>
      </x:c>
      <x:c r="G12" s="30" t="str">
        <x:v>Shows product screen state; does not independently establish clicked actions or tester identity.</x:v>
      </x:c>
      <x:c r="H12" s="30" t="str">
        <x:v>docs/testing/evidence/sprint-5/production-verification/S5-PROD-EV-006-Explore-Careers.png</x:v>
      </x:c>
      <x:c r="I12" s="79" t="n">
        <x:v>746</x:v>
      </x:c>
      <x:c r="J12" s="30" t="str">
        <x:v>fc04862a40c734ebfbfc350a8ae866f792fc2b9f9d5ac4eba6c64f4fa71bc601</x:v>
      </x:c>
    </x:row>
    <x:row r="13" ht="80" customHeight="1">
      <x:c r="A13" s="32" t="str">
        <x:v>S5-PROD-EV-007</x:v>
      </x:c>
      <x:c r="B13" s="26" t="str">
        <x:v>Production (reused)</x:v>
      </x:c>
      <x:c r="C13" s="26" t="str">
        <x:v>Skill Gap Analysis</x:v>
      </x:c>
      <x:c r="D13" s="26" t="str">
        <x:v>S5-UAT-03</x:v>
      </x:c>
      <x:c r="E13" s="26" t="str">
        <x:v>S5-PROD-EV-007-Skill-Gap-Analysis.png</x:v>
      </x:c>
      <x:c r="F13" s="26" t="str">
        <x:v>Readiness, requirement statuses and learning suggestions visible</x:v>
      </x:c>
      <x:c r="G13" s="26" t="str">
        <x:v>Shows product screen state; does not independently establish clicked actions or tester identity.</x:v>
      </x:c>
      <x:c r="H13" s="26" t="str">
        <x:v>docs/testing/evidence/sprint-5/production-verification/S5-PROD-EV-007-Skill-Gap-Analysis.png</x:v>
      </x:c>
      <x:c r="I13" s="78" t="n">
        <x:v>431.5</x:v>
      </x:c>
      <x:c r="J13" s="26" t="str">
        <x:v>0b3016da1931aae65d44c004eee2fb400b4d36faa628a5f19bd022141d42cbe8</x:v>
      </x:c>
    </x:row>
    <x:row r="14" ht="80" customHeight="1">
      <x:c r="A14" s="33" t="str">
        <x:v>S5-PROD-EV-008</x:v>
      </x:c>
      <x:c r="B14" s="30" t="str">
        <x:v>Production (reused)</x:v>
      </x:c>
      <x:c r="C14" s="30" t="str">
        <x:v>Career Roadmap</x:v>
      </x:c>
      <x:c r="D14" s="30" t="str">
        <x:v>S5-UAT-04</x:v>
      </x:c>
      <x:c r="E14" s="30" t="str">
        <x:v>S5-PROD-EV-008-Career-Roadmap.png</x:v>
      </x:c>
      <x:c r="F14" s="30" t="str">
        <x:v>Selected career roadmap steps and progress actions visible</x:v>
      </x:c>
      <x:c r="G14" s="30" t="str">
        <x:v>Shows product screen state; does not independently establish clicked actions or tester identity.</x:v>
      </x:c>
      <x:c r="H14" s="30" t="str">
        <x:v>docs/testing/evidence/sprint-5/production-verification/S5-PROD-EV-008-Career-Roadmap.png</x:v>
      </x:c>
      <x:c r="I14" s="79" t="n">
        <x:v>562.2</x:v>
      </x:c>
      <x:c r="J14" s="30" t="str">
        <x:v>7b3f703679e8167eeb9ae345571623501884200ce70bbb7f25076b78a7f6945a</x:v>
      </x:c>
    </x:row>
    <x:row r="15" ht="80" customHeight="1">
      <x:c r="A15" s="32" t="str">
        <x:v>S5-PROD-EV-009</x:v>
      </x:c>
      <x:c r="B15" s="26" t="str">
        <x:v>Production (reused)</x:v>
      </x:c>
      <x:c r="C15" s="26" t="str">
        <x:v>Learning Resources</x:v>
      </x:c>
      <x:c r="D15" s="26" t="str">
        <x:v>S5-UAT-04</x:v>
      </x:c>
      <x:c r="E15" s="26" t="str">
        <x:v>S5-PROD-EV-009-Learning-Resources.png</x:v>
      </x:c>
      <x:c r="F15" s="26" t="str">
        <x:v>Recommended resource cards, filters and feedback/report actions visible</x:v>
      </x:c>
      <x:c r="G15" s="26" t="str">
        <x:v>Shows product screen state; does not independently establish clicked actions or tester identity.</x:v>
      </x:c>
      <x:c r="H15" s="26" t="str">
        <x:v>docs/testing/evidence/sprint-5/production-verification/S5-PROD-EV-009-Learning-Resources.png</x:v>
      </x:c>
      <x:c r="I15" s="78" t="n">
        <x:v>662.3</x:v>
      </x:c>
      <x:c r="J15" s="26" t="str">
        <x:v>0bbe68d58b2c720a79dc4af9c4052dc4be33cf49794182cb91f68b0805e4fe17</x:v>
      </x:c>
    </x:row>
    <x:row r="16" ht="80" customHeight="1">
      <x:c r="A16" s="33" t="str">
        <x:v>S5-PROD-EV-010</x:v>
      </x:c>
      <x:c r="B16" s="30" t="str">
        <x:v>Production (reused)</x:v>
      </x:c>
      <x:c r="C16" s="30" t="str">
        <x:v>Job Matching Results</x:v>
      </x:c>
      <x:c r="D16" s="30" t="str">
        <x:v>S5-UAT-06</x:v>
      </x:c>
      <x:c r="E16" s="30" t="str">
        <x:v>S5-PROD-EV-010-Job-Matching-Results.png</x:v>
      </x:c>
      <x:c r="F16" s="30" t="str">
        <x:v>Extracted job requirements and profile matches visible</x:v>
      </x:c>
      <x:c r="G16" s="30" t="str">
        <x:v>Shows product screen state; does not independently establish clicked actions or tester identity.</x:v>
      </x:c>
      <x:c r="H16" s="30" t="str">
        <x:v>docs/testing/evidence/sprint-5/production-verification/S5-PROD-EV-010-Job-Matching-Results.png</x:v>
      </x:c>
      <x:c r="I16" s="79" t="n">
        <x:v>412.3</x:v>
      </x:c>
      <x:c r="J16" s="30" t="str">
        <x:v>c899385c2479847a28f45a337310a2affc7fedeb0ef436fa45390e6e18b59803</x:v>
      </x:c>
    </x:row>
    <x:row r="17" ht="80" customHeight="1">
      <x:c r="A17" s="32" t="str">
        <x:v>S5-PROD-EV-011</x:v>
      </x:c>
      <x:c r="B17" s="26" t="str">
        <x:v>Production (reused)</x:v>
      </x:c>
      <x:c r="C17" s="26" t="str">
        <x:v>Resume Builder</x:v>
      </x:c>
      <x:c r="D17" s="26" t="str">
        <x:v>S5-UAT-07</x:v>
      </x:c>
      <x:c r="E17" s="26" t="str">
        <x:v>S5-PROD-EV-011-Resume-Builder.png</x:v>
      </x:c>
      <x:c r="F17" s="26" t="str">
        <x:v>Resume-generation inputs, draft preview, and export controls visible</x:v>
      </x:c>
      <x:c r="G17" s="26" t="str">
        <x:v>Shows product screen state; does not independently establish clicked actions or tester identity.</x:v>
      </x:c>
      <x:c r="H17" s="26" t="str">
        <x:v>docs/testing/evidence/sprint-5/production-verification/S5-PROD-EV-011-Resume-Builder.png</x:v>
      </x:c>
      <x:c r="I17" s="78" t="n">
        <x:v>457</x:v>
      </x:c>
      <x:c r="J17" s="26" t="str">
        <x:v>5bb2c5c2b768caea00d1a4ba409faa42ac138353e49f912070ea9ea33fa5f24d</x:v>
      </x:c>
    </x:row>
    <x:row r="18" ht="80" customHeight="1">
      <x:c r="A18" s="33" t="str">
        <x:v>S5-PROD-EV-012</x:v>
      </x:c>
      <x:c r="B18" s="30" t="str">
        <x:v>Production (reused)</x:v>
      </x:c>
      <x:c r="C18" s="30" t="str">
        <x:v>Cover Letter Builder</x:v>
      </x:c>
      <x:c r="D18" s="30" t="str">
        <x:v>S5-UAT-07</x:v>
      </x:c>
      <x:c r="E18" s="30" t="str">
        <x:v>S5-PROD-EV-012-Cover-Letter-Builder.png</x:v>
      </x:c>
      <x:c r="F18" s="30" t="str">
        <x:v>Cover letter inputs, generated draft sections and export controls visible</x:v>
      </x:c>
      <x:c r="G18" s="30" t="str">
        <x:v>Shows product screen state; does not independently establish clicked actions or tester identity.</x:v>
      </x:c>
      <x:c r="H18" s="30" t="str">
        <x:v>docs/testing/evidence/sprint-5/production-verification/S5-PROD-EV-012-Cover-Letter-Builder.png</x:v>
      </x:c>
      <x:c r="I18" s="79" t="n">
        <x:v>672.4</x:v>
      </x:c>
      <x:c r="J18" s="30" t="str">
        <x:v>d25941e3e1f846f0e2127edc4e45c0daf17323107cf7cec87dbe00d4623148cd</x:v>
      </x:c>
    </x:row>
    <x:row r="19" ht="80" customHeight="1">
      <x:c r="A19" s="32" t="str">
        <x:v>S5-PROD-EV-013</x:v>
      </x:c>
      <x:c r="B19" s="26" t="str">
        <x:v>Production (reused)</x:v>
      </x:c>
      <x:c r="C19" s="26" t="str">
        <x:v>Interview Preparation</x:v>
      </x:c>
      <x:c r="D19" s="26" t="str">
        <x:v>S5-UAT-08</x:v>
      </x:c>
      <x:c r="E19" s="26" t="str">
        <x:v>S5-PROD-EV-013-Interview-Preparation.png</x:v>
      </x:c>
      <x:c r="F19" s="26" t="str">
        <x:v>Interview question, typed answer, AI feedback and next-step controls visible</x:v>
      </x:c>
      <x:c r="G19" s="26" t="str">
        <x:v>Shows product screen state; does not independently establish clicked actions or tester identity.</x:v>
      </x:c>
      <x:c r="H19" s="26" t="str">
        <x:v>docs/testing/evidence/sprint-5/production-verification/S5-PROD-EV-013-Interview-Preparation.png</x:v>
      </x:c>
      <x:c r="I19" s="78" t="n">
        <x:v>467.1</x:v>
      </x:c>
      <x:c r="J19" s="26" t="str">
        <x:v>689eef9f0fe0483288c834ac4a08805be4d6a19e30cc481abb4dc5152d6969f5</x:v>
      </x:c>
    </x:row>
    <x:row r="20" ht="80" customHeight="1">
      <x:c r="A20" s="33" t="str">
        <x:v>S5-PROD-EV-014</x:v>
      </x:c>
      <x:c r="B20" s="30" t="str">
        <x:v>Production (reused)</x:v>
      </x:c>
      <x:c r="C20" s="30" t="str">
        <x:v>Account Settings</x:v>
      </x:c>
      <x:c r="D20" s="30" t="str">
        <x:v>S5-UAT-09</x:v>
      </x:c>
      <x:c r="E20" s="30" t="str">
        <x:v>S5-PROD-EV-014-Account-Settings.png</x:v>
      </x:c>
      <x:c r="F20" s="30" t="str">
        <x:v>Account details, profile picture controls and password form visible; persistence not tested by capture</x:v>
      </x:c>
      <x:c r="G20" s="30" t="str">
        <x:v>Shows product screen state; does not independently establish clicked actions or tester identity.</x:v>
      </x:c>
      <x:c r="H20" s="30" t="str">
        <x:v>docs/testing/evidence/sprint-5/production-verification/S5-PROD-EV-014-Account-Settings.png</x:v>
      </x:c>
      <x:c r="I20" s="79" t="n">
        <x:v>191.5</x:v>
      </x:c>
      <x:c r="J20" s="30" t="str">
        <x:v>32ad401d986bd48c8fc81df068f6de877ad072e0131cab15822013110ae160cd</x:v>
      </x:c>
    </x:row>
    <x:row r="21" ht="80" customHeight="1">
      <x:c r="A21" s="32" t="str">
        <x:v>S5-PROD-EV-015</x:v>
      </x:c>
      <x:c r="B21" s="26" t="str">
        <x:v>Production (reused)</x:v>
      </x:c>
      <x:c r="C21" s="26" t="str">
        <x:v>Admin Dashboard</x:v>
      </x:c>
      <x:c r="D21" s="26" t="str">
        <x:v>S5-UAT-10, S5-UAT-11</x:v>
      </x:c>
      <x:c r="E21" s="26" t="str">
        <x:v>S5-PROD-EV-015-Admin-Dashboard.png</x:v>
      </x:c>
      <x:c r="F21" s="26" t="str">
        <x:v>Dashboard shows 3 students, 36 careers, 2873 skills, 30 resources; data health unavailable; one open resource report</x:v>
      </x:c>
      <x:c r="G21" s="26" t="str">
        <x:v>Shows product screen state; does not independently establish clicked actions or tester identity.</x:v>
      </x:c>
      <x:c r="H21" s="26" t="str">
        <x:v>docs/testing/evidence/sprint-5/production-verification/S5-PROD-EV-015-Admin-Dashboard.png</x:v>
      </x:c>
      <x:c r="I21" s="78" t="n">
        <x:v>246.7</x:v>
      </x:c>
      <x:c r="J21" s="26" t="str">
        <x:v>7be03b07cd949bc6c161157e4756f11b0f6a4b5e2f9c15b116f2a7a49ea812f7</x:v>
      </x:c>
    </x:row>
    <x:row r="22" ht="80" customHeight="1">
      <x:c r="A22" s="33" t="str">
        <x:v>S5-PROD-EV-016</x:v>
      </x:c>
      <x:c r="B22" s="30" t="str">
        <x:v>Production (reused)</x:v>
      </x:c>
      <x:c r="C22" s="30" t="str">
        <x:v>Admin User Management</x:v>
      </x:c>
      <x:c r="D22" s="30" t="str">
        <x:v>S5-UAT-10</x:v>
      </x:c>
      <x:c r="E22" s="30" t="str">
        <x:v>S5-PROD-EV-016-Admin-User-Management.png</x:v>
      </x:c>
      <x:c r="F22" s="30" t="str">
        <x:v>User/role/status table visible; all displayed Last Login values say Never; issue requires investigation</x:v>
      </x:c>
      <x:c r="G22" s="30" t="str">
        <x:v>Shows product screen state; does not independently establish clicked actions or tester identity.</x:v>
      </x:c>
      <x:c r="H22" s="30" t="str">
        <x:v>docs/testing/evidence/sprint-5/production-verification/S5-PROD-EV-016-Admin-User-Management.png</x:v>
      </x:c>
      <x:c r="I22" s="79" t="n">
        <x:v>161.4</x:v>
      </x:c>
      <x:c r="J22" s="30" t="str">
        <x:v>e9fc009c8e210e58349a0ee3963e30eff7d7b133a266bee3903000658b7a0714</x:v>
      </x:c>
    </x:row>
    <x:row r="23" ht="80" customHeight="1">
      <x:c r="A23" s="32" t="str">
        <x:v>S5-PROD-EV-017</x:v>
      </x:c>
      <x:c r="B23" s="26" t="str">
        <x:v>Production (reused)</x:v>
      </x:c>
      <x:c r="C23" s="26" t="str">
        <x:v>Admin Career Management</x:v>
      </x:c>
      <x:c r="D23" s="26" t="str">
        <x:v>S5-UAT-10</x:v>
      </x:c>
      <x:c r="E23" s="26" t="str">
        <x:v>S5-PROD-EV-017-Admin-Career-Management.png</x:v>
      </x:c>
      <x:c r="F23" s="26" t="str">
        <x:v>Career management table visible with 36 displayed career records</x:v>
      </x:c>
      <x:c r="G23" s="26" t="str">
        <x:v>Shows product screen state; does not independently establish clicked actions or tester identity.</x:v>
      </x:c>
      <x:c r="H23" s="26" t="str">
        <x:v>docs/testing/evidence/sprint-5/production-verification/S5-PROD-EV-017-Admin-Career-Management.png</x:v>
      </x:c>
      <x:c r="I23" s="78" t="n">
        <x:v>582.3</x:v>
      </x:c>
      <x:c r="J23" s="26" t="str">
        <x:v>15a7b126a2c272d2864ff1b261d69f9505d166024b5801e88eda6749bdd23ef2</x:v>
      </x:c>
    </x:row>
    <x:row r="24" ht="80" customHeight="1">
      <x:c r="A24" s="33" t="str">
        <x:v>S5-PROD-EV-018</x:v>
      </x:c>
      <x:c r="B24" s="30" t="str">
        <x:v>Production (reused)</x:v>
      </x:c>
      <x:c r="C24" s="30" t="str">
        <x:v>Admin Skill Management</x:v>
      </x:c>
      <x:c r="D24" s="30" t="str">
        <x:v>S5-UAT-10</x:v>
      </x:c>
      <x:c r="E24" s="30" t="str">
        <x:v>S5-PROD-EV-018-Admin-Skill-Management.png</x:v>
      </x:c>
      <x:c r="F24" s="30" t="str">
        <x:v>Skill management table shows 2873 matching records</x:v>
      </x:c>
      <x:c r="G24" s="30" t="str">
        <x:v>Shows product screen state; does not independently establish clicked actions or tester identity.</x:v>
      </x:c>
      <x:c r="H24" s="30" t="str">
        <x:v>docs/testing/evidence/sprint-5/production-verification/S5-PROD-EV-018-Admin-Skill-Management.png</x:v>
      </x:c>
      <x:c r="I24" s="79" t="n">
        <x:v>364.7</x:v>
      </x:c>
      <x:c r="J24" s="30" t="str">
        <x:v>9f9fce3a60f7de18bbc22842de400706512b2f95049e7c009ee4d449d6a03d08</x:v>
      </x:c>
    </x:row>
    <x:row r="25" ht="80" customHeight="1">
      <x:c r="A25" s="32" t="str">
        <x:v>S5-PROD-EV-019</x:v>
      </x:c>
      <x:c r="B25" s="26" t="str">
        <x:v>Production (reused)</x:v>
      </x:c>
      <x:c r="C25" s="26" t="str">
        <x:v>Admin Learning Resource Management</x:v>
      </x:c>
      <x:c r="D25" s="26" t="str">
        <x:v>S5-UAT-10</x:v>
      </x:c>
      <x:c r="E25" s="26" t="str">
        <x:v>S5-PROD-EV-019-Admin-Learning-Resource-Management.png</x:v>
      </x:c>
      <x:c r="F25" s="26" t="str">
        <x:v>Learning resource management lists 30 records with edit/deactivate controls</x:v>
      </x:c>
      <x:c r="G25" s="26" t="str">
        <x:v>Shows product screen state; does not independently establish clicked actions or tester identity.</x:v>
      </x:c>
      <x:c r="H25" s="26" t="str">
        <x:v>docs/testing/evidence/sprint-5/production-verification/S5-PROD-EV-019-Admin-Learning-Resource-Management.png</x:v>
      </x:c>
      <x:c r="I25" s="78" t="n">
        <x:v>773.5</x:v>
      </x:c>
      <x:c r="J25" s="26" t="str">
        <x:v>2689e2ae29cc2ab5340546df5071536163d93d2ac5b82d50f37c08e4b9318339</x:v>
      </x:c>
    </x:row>
    <x:row r="26" ht="80" customHeight="1">
      <x:c r="A26" s="33" t="str">
        <x:v>S5-PROD-EV-020</x:v>
      </x:c>
      <x:c r="B26" s="30" t="str">
        <x:v>Production (reused)</x:v>
      </x:c>
      <x:c r="C26" s="30" t="str">
        <x:v>Admin Resource Reports</x:v>
      </x:c>
      <x:c r="D26" s="30" t="str">
        <x:v>S5-UAT-11</x:v>
      </x:c>
      <x:c r="E26" s="30" t="str">
        <x:v>S5-PROD-EV-020-Admin-Resource-Reports.png</x:v>
      </x:c>
      <x:c r="F26" s="30" t="str">
        <x:v>One open broken-link report shown; remediation unverified</x:v>
      </x:c>
      <x:c r="G26" s="30" t="str">
        <x:v>Shows product screen state; does not independently establish clicked actions or tester identity.</x:v>
      </x:c>
      <x:c r="H26" s="30" t="str">
        <x:v>docs/testing/evidence/sprint-5/production-verification/S5-PROD-EV-020-Admin-Resource-Reports.png</x:v>
      </x:c>
      <x:c r="I26" s="79" t="n">
        <x:v>108.3</x:v>
      </x:c>
      <x:c r="J26" s="30" t="str">
        <x:v>6010d8e85e332b5edf417509ea9a664efd1b3083f3e0afdd2388d0ea92de7c84</x:v>
      </x:c>
    </x:row>
    <x:row r="27" ht="80" customHeight="1">
      <x:c r="A27" s="32" t="str">
        <x:v>S5-PROD-EV-021</x:v>
      </x:c>
      <x:c r="B27" s="26" t="str">
        <x:v>Production (reused)</x:v>
      </x:c>
      <x:c r="C27" s="26" t="str">
        <x:v>Admin Audit Records</x:v>
      </x:c>
      <x:c r="D27" s="26" t="str">
        <x:v>S5-UAT-11</x:v>
      </x:c>
      <x:c r="E27" s="26" t="str">
        <x:v>S5-PROD-EV-021-Admin-Audit-Records.png</x:v>
      </x:c>
      <x:c r="F27" s="26" t="str">
        <x:v>Two administrative change records visible</x:v>
      </x:c>
      <x:c r="G27" s="26" t="str">
        <x:v>Shows product screen state; does not independently establish clicked actions or tester identity.</x:v>
      </x:c>
      <x:c r="H27" s="26" t="str">
        <x:v>docs/testing/evidence/sprint-5/production-verification/S5-PROD-EV-021-Admin-Audit-Records.png</x:v>
      </x:c>
      <x:c r="I27" s="78" t="n">
        <x:v>115.2</x:v>
      </x:c>
      <x:c r="J27" s="26" t="str">
        <x:v>d2d5be8da03838f0a2710cb7c5095b7ba8e7497fafeb091ddbef0dc03a1fdb98</x:v>
      </x:c>
    </x:row>
    <x:row r="28" ht="80" customHeight="1">
      <x:c r="A28" s="33" t="str">
        <x:v>S5-UAT-EV-001</x:v>
      </x:c>
      <x:c r="B28" s="30" t="str">
        <x:v>UAT (additional)</x:v>
      </x:c>
      <x:c r="C28" s="30" t="str">
        <x:v>Student Profile save confirmation</x:v>
      </x:c>
      <x:c r="D28" s="30" t="str">
        <x:v>S5-UAT-01</x:v>
      </x:c>
      <x:c r="E28" s="30" t="str">
        <x:v>S5-UAT-EV-001-Student-Profile-Saved.png</x:v>
      </x:c>
      <x:c r="F28" s="30" t="str">
        <x:v>Save success visible, skill count 27; shows profile editing workflow</x:v>
      </x:c>
      <x:c r="G28" s="30" t="str">
        <x:v>Shows the described product state; no claim of independently witnessed tester identity.</x:v>
      </x:c>
      <x:c r="H28" s="30" t="str">
        <x:v>docs/testing/evidence/sprint-5/uat/S5-UAT-EV-001-Student-Profile-Saved.png</x:v>
      </x:c>
      <x:c r="I28" s="79" t="n">
        <x:v>127.7</x:v>
      </x:c>
      <x:c r="J28" s="30" t="str">
        <x:v>9e82e813e6f8a20aeba13bda946a2ca8a32b07945a8d5cc5ba257ef6e0c2060d</x:v>
      </x:c>
    </x:row>
    <x:row r="29" ht="80" customHeight="1">
      <x:c r="A29" s="32" t="str">
        <x:v>S5-UAT-EV-002</x:v>
      </x:c>
      <x:c r="B29" s="26" t="str">
        <x:v>UAT (additional)</x:v>
      </x:c>
      <x:c r="C29" s="26" t="str">
        <x:v>Career Roadmap progress</x:v>
      </x:c>
      <x:c r="D29" s="26" t="str">
        <x:v>S5-UAT-04</x:v>
      </x:c>
      <x:c r="E29" s="26" t="str">
        <x:v>S5-UAT-EV-002-Career-Roadmap-Progress.png</x:v>
      </x:c>
      <x:c r="F29" s="26" t="str">
        <x:v>1 completed, 1 in progress and 10 to do are visible</x:v>
      </x:c>
      <x:c r="G29" s="26" t="str">
        <x:v>Shows the described product state; no claim of independently witnessed tester identity.</x:v>
      </x:c>
      <x:c r="H29" s="26" t="str">
        <x:v>docs/testing/evidence/sprint-5/uat/S5-UAT-EV-002-Career-Roadmap-Progress.png</x:v>
      </x:c>
      <x:c r="I29" s="78" t="n">
        <x:v>129.5</x:v>
      </x:c>
      <x:c r="J29" s="26" t="str">
        <x:v>c842e38b14c7c69e4b64d02c98a3bafb70f566d641f3faafce7cd3e52b070a46</x:v>
      </x:c>
    </x:row>
    <x:row r="30" ht="80" customHeight="1">
      <x:c r="A30" s="33" t="str">
        <x:v>S5-UAT-EV-003</x:v>
      </x:c>
      <x:c r="B30" s="30" t="str">
        <x:v>UAT (additional)</x:v>
      </x:c>
      <x:c r="C30" s="30" t="str">
        <x:v>Resume PDF export</x:v>
      </x:c>
      <x:c r="D30" s="30" t="str">
        <x:v>S5-UAT-07</x:v>
      </x:c>
      <x:c r="E30" s="30" t="str">
        <x:v>S5-UAT-EV-003-Resume-PDF-Downloaded.png</x:v>
      </x:c>
      <x:c r="F30" s="30" t="str">
        <x:v>UI displays PDF resume downloaded status</x:v>
      </x:c>
      <x:c r="G30" s="30" t="str">
        <x:v>UI success message; exported file contents not separately provided.</x:v>
      </x:c>
      <x:c r="H30" s="30" t="str">
        <x:v>docs/testing/evidence/sprint-5/uat/S5-UAT-EV-003-Resume-PDF-Downloaded.png</x:v>
      </x:c>
      <x:c r="I30" s="79" t="n">
        <x:v>106.5</x:v>
      </x:c>
      <x:c r="J30" s="30" t="str">
        <x:v>9aaa6ec3daa7816083445506bcff64bcedd09dc78641a4d040881e2f7326d7d3</x:v>
      </x:c>
    </x:row>
    <x:row r="31" ht="80" customHeight="1">
      <x:c r="A31" s="32" t="str">
        <x:v>S5-UAT-EV-004</x:v>
      </x:c>
      <x:c r="B31" s="26" t="str">
        <x:v>UAT (additional)</x:v>
      </x:c>
      <x:c r="C31" s="26" t="str">
        <x:v>Generated resume draft</x:v>
      </x:c>
      <x:c r="D31" s="26" t="str">
        <x:v>S5-UAT-07</x:v>
      </x:c>
      <x:c r="E31" s="26" t="str">
        <x:v>S5-UAT-EV-004-Resume-Draft-Generated.png</x:v>
      </x:c>
      <x:c r="F31" s="26" t="str">
        <x:v>Generated sections shown with Draft generated status and edit section actions</x:v>
      </x:c>
      <x:c r="G31" s="26" t="str">
        <x:v>Shows the described product state; no claim of independently witnessed tester identity.</x:v>
      </x:c>
      <x:c r="H31" s="26" t="str">
        <x:v>docs/testing/evidence/sprint-5/uat/S5-UAT-EV-004-Resume-Draft-Generated.png</x:v>
      </x:c>
      <x:c r="I31" s="78" t="n">
        <x:v>115.5</x:v>
      </x:c>
      <x:c r="J31" s="26" t="str">
        <x:v>e08af268f17f1b5bb9cd7a94d7aad2dfe43877499a8e04cdad3bbd2044127612</x:v>
      </x:c>
    </x:row>
    <x:row r="32" ht="80" customHeight="1">
      <x:c r="A32" s="33" t="str">
        <x:v>S5-UAT-EV-005</x:v>
      </x:c>
      <x:c r="B32" s="30" t="str">
        <x:v>UAT (additional)</x:v>
      </x:c>
      <x:c r="C32" s="30" t="str">
        <x:v>Generated cover letter draft</x:v>
      </x:c>
      <x:c r="D32" s="30" t="str">
        <x:v>S5-UAT-07</x:v>
      </x:c>
      <x:c r="E32" s="30" t="str">
        <x:v>S5-UAT-EV-005-Cover-Letter-Draft-Generated.png</x:v>
      </x:c>
      <x:c r="F32" s="30" t="str">
        <x:v>Generated content shown with Draft generated status</x:v>
      </x:c>
      <x:c r="G32" s="30" t="str">
        <x:v>Shows the described product state; no claim of independently witnessed tester identity.</x:v>
      </x:c>
      <x:c r="H32" s="30" t="str">
        <x:v>docs/testing/evidence/sprint-5/uat/S5-UAT-EV-005-Cover-Letter-Draft-Generated.png</x:v>
      </x:c>
      <x:c r="I32" s="79" t="n">
        <x:v>135</x:v>
      </x:c>
      <x:c r="J32" s="30" t="str">
        <x:v>e7aa2ef975f3d89ebbfd74d9dd3d72ec608a088c4f83f3a02c1400932fa2bc55</x:v>
      </x:c>
    </x:row>
    <x:row r="33" ht="80" customHeight="1">
      <x:c r="A33" s="32" t="str">
        <x:v>S5-UAT-EV-006</x:v>
      </x:c>
      <x:c r="B33" s="26" t="str">
        <x:v>UAT (additional)</x:v>
      </x:c>
      <x:c r="C33" s="26" t="str">
        <x:v>Cover letter edit and PDF export</x:v>
      </x:c>
      <x:c r="D33" s="26" t="str">
        <x:v>S5-UAT-07</x:v>
      </x:c>
      <x:c r="E33" s="26" t="str">
        <x:v>S5-UAT-EV-006-Cover-Letter-PDF-Downloaded.png</x:v>
      </x:c>
      <x:c r="F33" s="26" t="str">
        <x:v>Edit area open; UI displays PDF cover letter downloaded status</x:v>
      </x:c>
      <x:c r="G33" s="26" t="str">
        <x:v>UI success message; exported file contents not separately provided.</x:v>
      </x:c>
      <x:c r="H33" s="26" t="str">
        <x:v>docs/testing/evidence/sprint-5/uat/S5-UAT-EV-006-Cover-Letter-PDF-Downloaded.png</x:v>
      </x:c>
      <x:c r="I33" s="78" t="n">
        <x:v>121.6</x:v>
      </x:c>
      <x:c r="J33" s="26" t="str">
        <x:v>aac9425e328657593d195cc8a5efd3d630c080660840843aa4d227f2c71882e6</x:v>
      </x:c>
    </x:row>
    <x:row r="34" ht="80" customHeight="1">
      <x:c r="A34" s="33" t="str">
        <x:v>S5-UAT-EV-007</x:v>
      </x:c>
      <x:c r="B34" s="30" t="str">
        <x:v>UAT (additional)</x:v>
      </x:c>
      <x:c r="C34" s="30" t="str">
        <x:v>Interview feedback</x:v>
      </x:c>
      <x:c r="D34" s="30" t="str">
        <x:v>S5-UAT-08</x:v>
      </x:c>
      <x:c r="E34" s="30" t="str">
        <x:v>S5-UAT-EV-007-Interview-AI-Feedback.png</x:v>
      </x:c>
      <x:c r="F34" s="30" t="str">
        <x:v>AI-generated question, answer and detailed feedback displayed</x:v>
      </x:c>
      <x:c r="G34" s="30" t="str">
        <x:v>Shows the described product state; no claim of independently witnessed tester identity.</x:v>
      </x:c>
      <x:c r="H34" s="30" t="str">
        <x:v>docs/testing/evidence/sprint-5/uat/S5-UAT-EV-007-Interview-AI-Feedback.png</x:v>
      </x:c>
      <x:c r="I34" s="79" t="n">
        <x:v>217.3</x:v>
      </x:c>
      <x:c r="J34" s="30" t="str">
        <x:v>7bbc71dfcb5ab927495a79fcb317ae8c3bff799e1222709ce0cb4f2ddbea4af2</x:v>
      </x:c>
    </x:row>
    <x:row r="35" ht="80" customHeight="1">
      <x:c r="A35" s="32" t="str">
        <x:v>S5-UAT-EV-008</x:v>
      </x:c>
      <x:c r="B35" s="26" t="str">
        <x:v>UAT (additional)</x:v>
      </x:c>
      <x:c r="C35" s="26" t="str">
        <x:v>Add career form opened</x:v>
      </x:c>
      <x:c r="D35" s="26" t="str">
        <x:v>S5-UAT-10</x:v>
      </x:c>
      <x:c r="E35" s="26" t="str">
        <x:v>S5-UAT-EV-008-Admin-Add-Career-Form.png</x:v>
      </x:c>
      <x:c r="F35" s="26" t="str">
        <x:v>Filled form visible; does not by itself demonstrate saved career</x:v>
      </x:c>
      <x:c r="G35" s="26" t="str">
        <x:v>Administrator form capture; save/persistence is not shown.</x:v>
      </x:c>
      <x:c r="H35" s="26" t="str">
        <x:v>docs/testing/evidence/sprint-5/uat/S5-UAT-EV-008-Admin-Add-Career-Form.png</x:v>
      </x:c>
      <x:c r="I35" s="78" t="n">
        <x:v>119.7</x:v>
      </x:c>
      <x:c r="J35" s="26" t="str">
        <x:v>5c9777305727f0559602687477a77ea7be25b3b1cefb55cd95ae724ae43d49b1</x:v>
      </x:c>
    </x:row>
    <x:row r="36" ht="80" customHeight="1">
      <x:c r="A36" s="33" t="str">
        <x:v>S5-UAT-EV-009</x:v>
      </x:c>
      <x:c r="B36" s="30" t="str">
        <x:v>UAT (additional)</x:v>
      </x:c>
      <x:c r="C36" s="30" t="str">
        <x:v>Add skill form opened</x:v>
      </x:c>
      <x:c r="D36" s="30" t="str">
        <x:v>S5-UAT-10</x:v>
      </x:c>
      <x:c r="E36" s="30" t="str">
        <x:v>S5-UAT-EV-009-Admin-Add-Skill-Form.png</x:v>
      </x:c>
      <x:c r="F36" s="30" t="str">
        <x:v>Filled form visible; does not by itself demonstrate saved skill</x:v>
      </x:c>
      <x:c r="G36" s="30" t="str">
        <x:v>Administrator form capture; save/persistence is not shown.</x:v>
      </x:c>
      <x:c r="H36" s="30" t="str">
        <x:v>docs/testing/evidence/sprint-5/uat/S5-UAT-EV-009-Admin-Add-Skill-Form.png</x:v>
      </x:c>
      <x:c r="I36" s="79" t="n">
        <x:v>119.6</x:v>
      </x:c>
      <x:c r="J36" s="30" t="str">
        <x:v>48fe931e18700e416a052ac6c8664e9b81ec79f3e62a16a92639c1d873a45c08</x:v>
      </x:c>
    </x:row>
    <x:row r="37" ht="80" customHeight="1">
      <x:c r="A37" s="32" t="str">
        <x:v>S5-UAT-EV-010</x:v>
      </x:c>
      <x:c r="B37" s="26" t="str">
        <x:v>UAT (additional)</x:v>
      </x:c>
      <x:c r="C37" s="26" t="str">
        <x:v>Edit resource form opened</x:v>
      </x:c>
      <x:c r="D37" s="26" t="str">
        <x:v>S5-UAT-10</x:v>
      </x:c>
      <x:c r="E37" s="26" t="str">
        <x:v>S5-UAT-EV-010-Admin-Edit-Learning-Resource-Form.png</x:v>
      </x:c>
      <x:c r="F37" s="26" t="str">
        <x:v>Form fields visible; does not by itself demonstrate saved changes</x:v>
      </x:c>
      <x:c r="G37" s="26" t="str">
        <x:v>Administrator form capture; save/persistence is not shown.</x:v>
      </x:c>
      <x:c r="H37" s="26" t="str">
        <x:v>docs/testing/evidence/sprint-5/uat/S5-UAT-EV-010-Admin-Edit-Learning-Resource-Form.png</x:v>
      </x:c>
      <x:c r="I37" s="78" t="n">
        <x:v>243.5</x:v>
      </x:c>
      <x:c r="J37" s="26" t="str">
        <x:v>66f76c124b15a59f8c6cf0b8243047854c1d087b060766842411a8645be43575</x:v>
      </x:c>
    </x:row>
  </x:sheetData>
  <x:mergeCells>
    <x:mergeCell ref="A1:J2"/>
    <x:mergeCell ref="A3:J3"/>
  </x:mergeCells>
  <x:pageMargins left="0.7" right="0.7" top="0.75" bottom="0.75" header="0.3" footer="0.3"/>
</x:worksheet>
</file>

<file path=xl/worksheets/sheet5.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17" hidden="0" customWidth="1"/>
    <x:col min="2" max="2" width="37" hidden="0" customWidth="1"/>
    <x:col min="3" max="3" width="50" hidden="0" customWidth="1"/>
    <x:col min="4" max="4" width="30" hidden="0" customWidth="1"/>
    <x:col min="5" max="5" width="97" hidden="0" customWidth="1"/>
  </x:cols>
  <x:sheetData>
    <x:row r="1" ht="25" customHeight="1">
      <x:c r="A1" s="4" t="str">
        <x:v>WBS 8.6 | REQUIREMENTS ACCEPTANCE TRACEABILITY</x:v>
      </x:c>
      <x:c r="B1" s="4" t="str">
        <x:v>WBS 8.6 | REQUIREMENTS ACCEPTANCE TRACEABILITY</x:v>
      </x:c>
      <x:c r="C1" s="4" t="str">
        <x:v>WBS 8.6 | REQUIREMENTS ACCEPTANCE TRACEABILITY</x:v>
      </x:c>
      <x:c r="D1" s="4" t="str">
        <x:v>WBS 8.6 | REQUIREMENTS ACCEPTANCE TRACEABILITY</x:v>
      </x:c>
      <x:c r="E1" s="4" t="str">
        <x:v>WBS 8.6 | REQUIREMENTS ACCEPTANCE TRACEABILITY</x:v>
      </x:c>
    </x:row>
    <x:row r="2" ht="25" customHeight="1">
      <x:c r="A2" s="4" t="str">
        <x:v>WBS 8.6 | REQUIREMENTS ACCEPTANCE TRACEABILITY</x:v>
      </x:c>
      <x:c r="B2" s="4" t="str">
        <x:v>WBS 8.6 | REQUIREMENTS ACCEPTANCE TRACEABILITY</x:v>
      </x:c>
      <x:c r="C2" s="4" t="str">
        <x:v>WBS 8.6 | REQUIREMENTS ACCEPTANCE TRACEABILITY</x:v>
      </x:c>
      <x:c r="D2" s="4" t="str">
        <x:v>WBS 8.6 | REQUIREMENTS ACCEPTANCE TRACEABILITY</x:v>
      </x:c>
      <x:c r="E2" s="4" t="str">
        <x:v>WBS 8.6 | REQUIREMENTS ACCEPTANCE TRACEABILITY</x:v>
      </x:c>
    </x:row>
    <x:row r="3" ht="28" customHeight="1">
      <x:c r="A3" s="11" t="str">
        <x:v>Traceability shows what these 11 scenarios assess and where separate evidence or scope approval is still required.</x:v>
      </x:c>
      <x:c r="B3" s="11" t="str">
        <x:v>Traceability shows what these 11 scenarios assess and where separate evidence or scope approval is still required.</x:v>
      </x:c>
      <x:c r="C3" s="11" t="str">
        <x:v>Traceability shows what these 11 scenarios assess and where separate evidence or scope approval is still required.</x:v>
      </x:c>
      <x:c r="D3" s="11" t="str">
        <x:v>Traceability shows what these 11 scenarios assess and where separate evidence or scope approval is still required.</x:v>
      </x:c>
      <x:c r="E3" s="11" t="str">
        <x:v>Traceability shows what these 11 scenarios assess and where separate evidence or scope approval is still required.</x:v>
      </x:c>
    </x:row>
    <x:row r="4" ht="12" customHeight="1"/>
    <x:row r="6" ht="32" customHeight="1">
      <x:c r="A6" s="19" t="str">
        <x:v>Requirement</x:v>
      </x:c>
      <x:c r="B6" s="19" t="str">
        <x:v>Requirement name</x:v>
      </x:c>
      <x:c r="C6" s="19" t="str">
        <x:v>UAT scenarios covering the requirement</x:v>
      </x:c>
      <x:c r="D6" s="19" t="str">
        <x:v>UAT coverage</x:v>
      </x:c>
      <x:c r="E6" s="19" t="str">
        <x:v>Acceptance evidence and limitation</x:v>
      </x:c>
    </x:row>
    <x:row r="7" ht="65" customHeight="1">
      <x:c r="A7" s="32" t="str">
        <x:v>FR-01</x:v>
      </x:c>
      <x:c r="B7" s="26" t="str">
        <x:v>Account registration and authentication</x:v>
      </x:c>
      <x:c r="C7" s="26" t="str">
        <x:v>S5-UAT-01, S5-UAT-09</x:v>
      </x:c>
      <x:c r="D7" s="26" t="str">
        <x:v>Covered in 11-case UAT</x:v>
      </x:c>
      <x:c r="E7" s="26" t="str">
        <x:v>Sign-in screen and authenticated Student state evidenced; credential validation itself relies on tester report.</x:v>
      </x:c>
    </x:row>
    <x:row r="8" ht="65" customHeight="1">
      <x:c r="A8" s="33" t="str">
        <x:v>FR-02</x:v>
      </x:c>
      <x:c r="B8" s="30" t="str">
        <x:v>Student profile</x:v>
      </x:c>
      <x:c r="C8" s="30" t="str">
        <x:v>S5-UAT-01, S5-UAT-09</x:v>
      </x:c>
      <x:c r="D8" s="30" t="str">
        <x:v>Covered in 11-case UAT</x:v>
      </x:c>
      <x:c r="E8" s="30" t="str">
        <x:v>Successful profile-save banner and profile summary are captured; separate post-relogin persistence not shown.</x:v>
      </x:c>
    </x:row>
    <x:row r="9" ht="65" customHeight="1">
      <x:c r="A9" s="32" t="str">
        <x:v>FR-03</x:v>
      </x:c>
      <x:c r="B9" s="26" t="str">
        <x:v>Career recommendations</x:v>
      </x:c>
      <x:c r="C9" s="26" t="str">
        <x:v>S5-UAT-02</x:v>
      </x:c>
      <x:c r="D9" s="26" t="str">
        <x:v>Covered in 11-case UAT</x:v>
      </x:c>
      <x:c r="E9" s="26" t="str">
        <x:v>Ranking and score visible; algorithm correctness addressed elsewhere in testing.</x:v>
      </x:c>
    </x:row>
    <x:row r="10" ht="65" customHeight="1">
      <x:c r="A10" s="33" t="str">
        <x:v>FR-04</x:v>
      </x:c>
      <x:c r="B10" s="30" t="str">
        <x:v>Recommendation explanation</x:v>
      </x:c>
      <x:c r="C10" s="30" t="str">
        <x:v>S5-UAT-02</x:v>
      </x:c>
      <x:c r="D10" s="30" t="str">
        <x:v>Covered in 11-case UAT</x:v>
      </x:c>
      <x:c r="E10" s="30" t="str">
        <x:v>Reasoning text/evidence chips displayed on recommendations.</x:v>
      </x:c>
    </x:row>
    <x:row r="11" ht="65" customHeight="1">
      <x:c r="A11" s="32" t="str">
        <x:v>FR-05</x:v>
      </x:c>
      <x:c r="B11" s="26" t="str">
        <x:v>Skill-gap analysis</x:v>
      </x:c>
      <x:c r="C11" s="26" t="str">
        <x:v>S5-UAT-03</x:v>
      </x:c>
      <x:c r="D11" s="26" t="str">
        <x:v>Covered in 11-case UAT</x:v>
      </x:c>
      <x:c r="E11" s="26" t="str">
        <x:v>Matched/partial/missing requirements and gap priorities are visible.</x:v>
      </x:c>
    </x:row>
    <x:row r="12" ht="65" customHeight="1">
      <x:c r="A12" s="33" t="str">
        <x:v>FR-06</x:v>
      </x:c>
      <x:c r="B12" s="30" t="str">
        <x:v>Career-readiness score</x:v>
      </x:c>
      <x:c r="C12" s="30" t="str">
        <x:v>S5-UAT-03</x:v>
      </x:c>
      <x:c r="D12" s="30" t="str">
        <x:v>Covered in 11-case UAT</x:v>
      </x:c>
      <x:c r="E12" s="30" t="str">
        <x:v>Readiness score shown as 68% on representative user profile.</x:v>
      </x:c>
    </x:row>
    <x:row r="13" ht="65" customHeight="1">
      <x:c r="A13" s="32" t="str">
        <x:v>FR-07</x:v>
      </x:c>
      <x:c r="B13" s="26" t="str">
        <x:v>Job-description matching</x:v>
      </x:c>
      <x:c r="C13" s="26" t="str">
        <x:v>S5-UAT-06</x:v>
      </x:c>
      <x:c r="D13" s="26" t="str">
        <x:v>Covered in 11-case UAT</x:v>
      </x:c>
      <x:c r="E13" s="26" t="str">
        <x:v>Recognised requirement totals and matched/unmatched lists visible.</x:v>
      </x:c>
    </x:row>
    <x:row r="14" ht="65" customHeight="1">
      <x:c r="A14" s="33" t="str">
        <x:v>FR-08</x:v>
      </x:c>
      <x:c r="B14" s="30" t="str">
        <x:v>Resume builder</x:v>
      </x:c>
      <x:c r="C14" s="30" t="str">
        <x:v>S5-UAT-07</x:v>
      </x:c>
      <x:c r="D14" s="30" t="str">
        <x:v>Covered in 11-case UAT</x:v>
      </x:c>
      <x:c r="E14" s="30" t="str">
        <x:v>Resume draft and PDF-download success message captured; exported file contents not submitted.</x:v>
      </x:c>
    </x:row>
    <x:row r="15" ht="65" customHeight="1">
      <x:c r="A15" s="32" t="str">
        <x:v>FR-09</x:v>
      </x:c>
      <x:c r="B15" s="26" t="str">
        <x:v>Cover-letter builder</x:v>
      </x:c>
      <x:c r="C15" s="26" t="str">
        <x:v>S5-UAT-07</x:v>
      </x:c>
      <x:c r="D15" s="26" t="str">
        <x:v>Covered in 11-case UAT</x:v>
      </x:c>
      <x:c r="E15" s="26" t="str">
        <x:v>Cover-letter draft, edit mode, and download success message captured.</x:v>
      </x:c>
    </x:row>
    <x:row r="16" ht="65" customHeight="1">
      <x:c r="A16" s="33" t="str">
        <x:v>FR-10</x:v>
      </x:c>
      <x:c r="B16" s="30" t="str">
        <x:v>Interview preparation</x:v>
      </x:c>
      <x:c r="C16" s="30" t="str">
        <x:v>S5-UAT-08</x:v>
      </x:c>
      <x:c r="D16" s="30" t="str">
        <x:v>Covered in 11-case UAT</x:v>
      </x:c>
      <x:c r="E16" s="30" t="str">
        <x:v>Question, answer and feedback text shown; quality evaluation is separate.</x:v>
      </x:c>
    </x:row>
    <x:row r="17" ht="65" customHeight="1">
      <x:c r="A17" s="32" t="str">
        <x:v>FR-11</x:v>
      </x:c>
      <x:c r="B17" s="26" t="str">
        <x:v>Learning suggestions</x:v>
      </x:c>
      <x:c r="C17" s="26" t="str">
        <x:v>S5-UAT-04</x:v>
      </x:c>
      <x:c r="D17" s="26" t="str">
        <x:v>Covered in 11-case UAT</x:v>
      </x:c>
      <x:c r="E17" s="26" t="str">
        <x:v>Six recommendations visible under Writing learning focus.</x:v>
      </x:c>
    </x:row>
    <x:row r="18" ht="65" customHeight="1">
      <x:c r="A18" s="33" t="str">
        <x:v>FR-12</x:v>
      </x:c>
      <x:c r="B18" s="30" t="str">
        <x:v>Career roadmap</x:v>
      </x:c>
      <x:c r="C18" s="30" t="str">
        <x:v>S5-UAT-04</x:v>
      </x:c>
      <x:c r="D18" s="30" t="str">
        <x:v>Covered in 11-case UAT</x:v>
      </x:c>
      <x:c r="E18" s="30" t="str">
        <x:v>Progress changed to one completed and one in progress.</x:v>
      </x:c>
    </x:row>
    <x:row r="19" ht="65" customHeight="1">
      <x:c r="A19" s="32" t="str">
        <x:v>FR-13</x:v>
      </x:c>
      <x:c r="B19" s="26" t="str">
        <x:v>Progress dashboard</x:v>
      </x:c>
      <x:c r="C19" s="26" t="str">
        <x:v>S5-UAT-05</x:v>
      </x:c>
      <x:c r="D19" s="26" t="str">
        <x:v>Covered in 11-case UAT</x:v>
      </x:c>
      <x:c r="E19" s="26" t="str">
        <x:v>Dashboard summarises current goal, readiness, gaps and links.</x:v>
      </x:c>
    </x:row>
    <x:row r="20" ht="65" customHeight="1">
      <x:c r="A20" s="33" t="str">
        <x:v>FR-14</x:v>
      </x:c>
      <x:c r="B20" s="30" t="str">
        <x:v>Basic administration</x:v>
      </x:c>
      <x:c r="C20" s="30" t="str">
        <x:v>S5-UAT-10</x:v>
      </x:c>
      <x:c r="D20" s="30" t="str">
        <x:v>Covered in 11-case UAT</x:v>
      </x:c>
      <x:c r="E20" s="30" t="str">
        <x:v>Career, skill and resource Add/Edit modal forms visible, not successful durable saves.</x:v>
      </x:c>
    </x:row>
    <x:row r="21" ht="65" customHeight="1">
      <x:c r="A21" s="32" t="str">
        <x:v>FR-15</x:v>
      </x:c>
      <x:c r="B21" s="26" t="str">
        <x:v>Admin analytics</x:v>
      </x:c>
      <x:c r="C21" s="26" t="str">
        <x:v>S5-UAT-11</x:v>
      </x:c>
      <x:c r="D21" s="26" t="str">
        <x:v>Covered in 11-case UAT</x:v>
      </x:c>
      <x:c r="E21" s="26" t="str">
        <x:v>Aggregate popular careers and common skill gaps visible on Admin Dashboard.</x:v>
      </x:c>
    </x:row>
    <x:row r="22" ht="65" customHeight="1">
      <x:c r="A22" s="33" t="str">
        <x:v>FR-16</x:v>
      </x:c>
      <x:c r="B22" s="30" t="str">
        <x:v>AI content review</x:v>
      </x:c>
      <x:c r="C22" s="30" t="str">
        <x:v>S5-UAT-07</x:v>
      </x:c>
      <x:c r="D22" s="30" t="str">
        <x:v>Covered in 11-case UAT</x:v>
      </x:c>
      <x:c r="E22" s="30" t="str">
        <x:v>Review/edit UI visible; does not confirm all editing and retention edge cases.</x:v>
      </x:c>
    </x:row>
    <x:row r="23" ht="65" customHeight="1">
      <x:c r="A23" s="32" t="str">
        <x:v>FR-17</x:v>
      </x:c>
      <x:c r="B23" s="26" t="str">
        <x:v>Data deletion</x:v>
      </x:c>
      <x:c r="C23" s="26" t="str">
        <x:v>No assigned UAT case</x:v>
      </x:c>
      <x:c r="D23" s="82" t="str">
        <x:v>NOT demonstrated by UAT</x:v>
      </x:c>
      <x:c r="E23" s="82" t="str">
        <x:v>No delete saved-document or profile-deletion-request UAT scenario was completed/evidenced in this 11-case plan.</x:v>
      </x:c>
    </x:row>
    <x:row r="24" ht="65" customHeight="1">
      <x:c r="A24" s="33" t="str">
        <x:v>FR-18</x:v>
      </x:c>
      <x:c r="B24" s="30" t="str">
        <x:v>Audit and error handling</x:v>
      </x:c>
      <x:c r="C24" s="30" t="str">
        <x:v>S5-UAT-11</x:v>
      </x:c>
      <x:c r="D24" s="30" t="str">
        <x:v>Covered in 11-case UAT</x:v>
      </x:c>
      <x:c r="E24" s="30" t="str">
        <x:v>Audit log screen displays recorded role and resource-report activity; error-handling fallback not separately within UAT.</x:v>
      </x:c>
    </x:row>
  </x:sheetData>
  <x:mergeCells>
    <x:mergeCell ref="A1:E2"/>
    <x:mergeCell ref="A3:E3"/>
  </x:mergeCells>
  <x:pageMargins left="0.7" right="0.7" top="0.75" bottom="0.75" header="0.3" footer="0.3"/>
</x:worksheet>
</file>

<file path=xl/worksheets/sheet6.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20" hidden="0" customWidth="1"/>
    <x:col min="2" max="2" width="37" hidden="0" customWidth="1"/>
    <x:col min="3" max="3" width="78" hidden="0" customWidth="1"/>
    <x:col min="4" max="4" width="29" hidden="0" customWidth="1"/>
    <x:col min="5" max="5" width="41" hidden="0" customWidth="1"/>
    <x:col min="6" max="6" width="80" hidden="0" customWidth="1"/>
    <x:col min="7" max="7" width="53" hidden="0" customWidth="1"/>
  </x:cols>
  <x:sheetData>
    <x:row r="1" ht="25" customHeight="1">
      <x:c r="A1" s="4" t="str">
        <x:v>WBS 8.6 | NON-BLOCKING OBSERVATIONS &amp; SCOPE ACTIONS</x:v>
      </x:c>
      <x:c r="B1" s="4" t="str">
        <x:v>WBS 8.6 | NON-BLOCKING OBSERVATIONS &amp; SCOPE ACTIONS</x:v>
      </x:c>
      <x:c r="C1" s="4" t="str">
        <x:v>WBS 8.6 | NON-BLOCKING OBSERVATIONS &amp; SCOPE ACTIONS</x:v>
      </x:c>
      <x:c r="D1" s="4" t="str">
        <x:v>WBS 8.6 | NON-BLOCKING OBSERVATIONS &amp; SCOPE ACTIONS</x:v>
      </x:c>
      <x:c r="E1" s="4" t="str">
        <x:v>WBS 8.6 | NON-BLOCKING OBSERVATIONS &amp; SCOPE ACTIONS</x:v>
      </x:c>
      <x:c r="F1" s="4" t="str">
        <x:v>WBS 8.6 | NON-BLOCKING OBSERVATIONS &amp; SCOPE ACTIONS</x:v>
      </x:c>
      <x:c r="G1" s="4" t="str">
        <x:v>WBS 8.6 | NON-BLOCKING OBSERVATIONS &amp; SCOPE ACTIONS</x:v>
      </x:c>
    </x:row>
    <x:row r="2" ht="25" customHeight="1">
      <x:c r="A2" s="4" t="str">
        <x:v>WBS 8.6 | NON-BLOCKING OBSERVATIONS &amp; SCOPE ACTIONS</x:v>
      </x:c>
      <x:c r="B2" s="4" t="str">
        <x:v>WBS 8.6 | NON-BLOCKING OBSERVATIONS &amp; SCOPE ACTIONS</x:v>
      </x:c>
      <x:c r="C2" s="4" t="str">
        <x:v>WBS 8.6 | NON-BLOCKING OBSERVATIONS &amp; SCOPE ACTIONS</x:v>
      </x:c>
      <x:c r="D2" s="4" t="str">
        <x:v>WBS 8.6 | NON-BLOCKING OBSERVATIONS &amp; SCOPE ACTIONS</x:v>
      </x:c>
      <x:c r="E2" s="4" t="str">
        <x:v>WBS 8.6 | NON-BLOCKING OBSERVATIONS &amp; SCOPE ACTIONS</x:v>
      </x:c>
      <x:c r="F2" s="4" t="str">
        <x:v>WBS 8.6 | NON-BLOCKING OBSERVATIONS &amp; SCOPE ACTIONS</x:v>
      </x:c>
      <x:c r="G2" s="4" t="str">
        <x:v>WBS 8.6 | NON-BLOCKING OBSERVATIONS &amp; SCOPE ACTIONS</x:v>
      </x:c>
    </x:row>
    <x:row r="3" ht="28" customHeight="1">
      <x:c r="A3" s="11" t="str">
        <x:v>No blocking issues were reported by the team • Recorded observations still need separate disposition before final project sign-off</x:v>
      </x:c>
      <x:c r="B3" s="11" t="str">
        <x:v>No blocking issues were reported by the team • Recorded observations still need separate disposition before final project sign-off</x:v>
      </x:c>
      <x:c r="C3" s="11" t="str">
        <x:v>No blocking issues were reported by the team • Recorded observations still need separate disposition before final project sign-off</x:v>
      </x:c>
      <x:c r="D3" s="11" t="str">
        <x:v>No blocking issues were reported by the team • Recorded observations still need separate disposition before final project sign-off</x:v>
      </x:c>
      <x:c r="E3" s="11" t="str">
        <x:v>No blocking issues were reported by the team • Recorded observations still need separate disposition before final project sign-off</x:v>
      </x:c>
      <x:c r="F3" s="11" t="str">
        <x:v>No blocking issues were reported by the team • Recorded observations still need separate disposition before final project sign-off</x:v>
      </x:c>
      <x:c r="G3" s="11" t="str">
        <x:v>No blocking issues were reported by the team • Recorded observations still need separate disposition before final project sign-off</x:v>
      </x:c>
    </x:row>
    <x:row r="4" ht="12" customHeight="1"/>
    <x:row r="6" ht="32" customHeight="1">
      <x:c r="A6" s="19" t="str">
        <x:v>Reference</x:v>
      </x:c>
      <x:c r="B6" s="19" t="str">
        <x:v>Observation</x:v>
      </x:c>
      <x:c r="C6" s="19" t="str">
        <x:v>Observed / documented fact</x:v>
      </x:c>
      <x:c r="D6" s="19" t="str">
        <x:v>Evidence</x:v>
      </x:c>
      <x:c r="E6" s="19" t="str">
        <x:v>Current classification</x:v>
      </x:c>
      <x:c r="F6" s="19" t="str">
        <x:v>Required follow-up</x:v>
      </x:c>
      <x:c r="G6" s="19" t="str">
        <x:v>Closeout state</x:v>
      </x:c>
    </x:row>
    <x:row r="7" ht="105" customHeight="1">
      <x:c r="A7" s="26" t="str">
        <x:v>OBS-UAT-01</x:v>
      </x:c>
      <x:c r="B7" s="26" t="str">
        <x:v>Administrator Last Login values</x:v>
      </x:c>
      <x:c r="C7" s="26" t="str">
        <x:v>User Management displays 'Never' for all five listed accounts.</x:v>
      </x:c>
      <x:c r="D7" s="26" t="str">
        <x:v>S5-PROD-EV-016</x:v>
      </x:c>
      <x:c r="E7" s="82" t="str">
        <x:v>Observed; non-blocking as reported</x:v>
      </x:c>
      <x:c r="F7" s="82" t="str">
        <x:v>Verify login timestamp updates or document known display limitation with approval.</x:v>
      </x:c>
      <x:c r="G7" s="82" t="str">
        <x:v>Ownership / final disposition not supplied</x:v>
      </x:c>
    </x:row>
    <x:row r="8" ht="105" customHeight="1">
      <x:c r="A8" s="30" t="str">
        <x:v>OBS-UAT-02</x:v>
      </x:c>
      <x:c r="B8" s="30" t="str">
        <x:v>Open reported learning-resource link</x:v>
      </x:c>
      <x:c r="C8" s="30" t="str">
        <x:v>Reports screen shows one open broken-link report dated 12 Oct 2026.</x:v>
      </x:c>
      <x:c r="D8" s="30" t="str">
        <x:v>S5-PROD-EV-020</x:v>
      </x:c>
      <x:c r="E8" s="82" t="str">
        <x:v>Operational report; no blocker reported</x:v>
      </x:c>
      <x:c r="F8" s="82" t="str">
        <x:v>Check resource URL; resolve or dismiss through normal workflow and retain audit trail.</x:v>
      </x:c>
      <x:c r="G8" s="82" t="str">
        <x:v>Report not shown as resolved</x:v>
      </x:c>
    </x:row>
    <x:row r="9" ht="105" customHeight="1">
      <x:c r="A9" s="26" t="str">
        <x:v>OBS-UAT-03</x:v>
      </x:c>
      <x:c r="B9" s="26" t="str">
        <x:v>Possible stray generated resume fragment</x:v>
      </x:c>
      <x:c r="C9" s="26" t="str">
        <x:v>Resume draft capture contains an apparent 'projects": [' fragment in the Experience section.</x:v>
      </x:c>
      <x:c r="D9" s="26" t="str">
        <x:v>S5-UAT-EV-004</x:v>
      </x:c>
      <x:c r="E9" s="82" t="str">
        <x:v>Potential content-quality issue</x:v>
      </x:c>
      <x:c r="F9" s="82" t="str">
        <x:v>Review generated draft and export, reproduce if possible, file/retest a defect only if confirmed.</x:v>
      </x:c>
      <x:c r="G9" s="82" t="str">
        <x:v>Confirmed defect status not established</x:v>
      </x:c>
    </x:row>
    <x:row r="10" ht="105" customHeight="1">
      <x:c r="A10" s="30" t="str">
        <x:v>SCOPE-UAT-01</x:v>
      </x:c>
      <x:c r="B10" s="30" t="str">
        <x:v>FR-17 Data Deletion not assessed</x:v>
      </x:c>
      <x:c r="C10" s="30" t="str">
        <x:v>The approved requirements include deletion of saved documents and a profile-deletion request.</x:v>
      </x:c>
      <x:c r="D10" s="30" t="str">
        <x:v>Functional Requirements FR-17</x:v>
      </x:c>
      <x:c r="E10" s="82" t="str">
        <x:v>Acceptance scope gap, not a passed UAT case</x:v>
      </x:c>
      <x:c r="F10" s="82" t="str">
        <x:v>Run a separate FR-17 acceptance test or document an approved scope decision.</x:v>
      </x:c>
      <x:c r="G10" s="82" t="str">
        <x:v>No supplied completion or sign-off</x:v>
      </x:c>
    </x:row>
  </x:sheetData>
  <x:mergeCells>
    <x:mergeCell ref="A1:G2"/>
    <x:mergeCell ref="A3:G3"/>
  </x:mergeCells>
  <x:pageMargins left="0.7" right="0.7" top="0.75" bottom="0.75" header="0.3" footer="0.3"/>
</x:worksheet>
</file>

<file path=xl/worksheets/sheet7.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33" hidden="0" customWidth="1"/>
    <x:col min="2" max="2" width="60" hidden="0" customWidth="1"/>
    <x:col min="3" max="3" width="20" hidden="0" customWidth="1"/>
    <x:col min="4" max="4" width="47" hidden="0" customWidth="1"/>
    <x:col min="5" max="5" width="54" hidden="0" customWidth="1"/>
    <x:col min="6" max="6" width="23" hidden="0" customWidth="1"/>
    <x:col min="7" max="7" width="100" hidden="0" customWidth="1"/>
  </x:cols>
  <x:sheetData>
    <x:row r="1" ht="25" customHeight="1">
      <x:c r="A1" s="4" t="str">
        <x:v>WBS 8.6 | TEAM EXECUTION &amp; FORMAL ACCEPTANCE</x:v>
      </x:c>
      <x:c r="B1" s="4" t="str">
        <x:v>WBS 8.6 | TEAM EXECUTION &amp; FORMAL ACCEPTANCE</x:v>
      </x:c>
      <x:c r="C1" s="4" t="str">
        <x:v>WBS 8.6 | TEAM EXECUTION &amp; FORMAL ACCEPTANCE</x:v>
      </x:c>
      <x:c r="D1" s="4" t="str">
        <x:v>WBS 8.6 | TEAM EXECUTION &amp; FORMAL ACCEPTANCE</x:v>
      </x:c>
      <x:c r="E1" s="4" t="str">
        <x:v>WBS 8.6 | TEAM EXECUTION &amp; FORMAL ACCEPTANCE</x:v>
      </x:c>
      <x:c r="F1" s="4" t="str">
        <x:v>WBS 8.6 | TEAM EXECUTION &amp; FORMAL ACCEPTANCE</x:v>
      </x:c>
      <x:c r="G1" s="4" t="str">
        <x:v>WBS 8.6 | TEAM EXECUTION &amp; FORMAL ACCEPTANCE</x:v>
      </x:c>
    </x:row>
    <x:row r="2" ht="25" customHeight="1">
      <x:c r="A2" s="4" t="str">
        <x:v>WBS 8.6 | TEAM EXECUTION &amp; FORMAL ACCEPTANCE</x:v>
      </x:c>
      <x:c r="B2" s="4" t="str">
        <x:v>WBS 8.6 | TEAM EXECUTION &amp; FORMAL ACCEPTANCE</x:v>
      </x:c>
      <x:c r="C2" s="4" t="str">
        <x:v>WBS 8.6 | TEAM EXECUTION &amp; FORMAL ACCEPTANCE</x:v>
      </x:c>
      <x:c r="D2" s="4" t="str">
        <x:v>WBS 8.6 | TEAM EXECUTION &amp; FORMAL ACCEPTANCE</x:v>
      </x:c>
      <x:c r="E2" s="4" t="str">
        <x:v>WBS 8.6 | TEAM EXECUTION &amp; FORMAL ACCEPTANCE</x:v>
      </x:c>
      <x:c r="F2" s="4" t="str">
        <x:v>WBS 8.6 | TEAM EXECUTION &amp; FORMAL ACCEPTANCE</x:v>
      </x:c>
      <x:c r="G2" s="4" t="str">
        <x:v>WBS 8.6 | TEAM EXECUTION &amp; FORMAL ACCEPTANCE</x:v>
      </x:c>
    </x:row>
    <x:row r="3" ht="28" customHeight="1">
      <x:c r="A3" s="11" t="str">
        <x:v>Assigned execution reported complete; each member's individual written approval is intentionally left unrecorded until supplied</x:v>
      </x:c>
      <x:c r="B3" s="11" t="str">
        <x:v>Assigned execution reported complete; each member's individual written approval is intentionally left unrecorded until supplied</x:v>
      </x:c>
      <x:c r="C3" s="11" t="str">
        <x:v>Assigned execution reported complete; each member's individual written approval is intentionally left unrecorded until supplied</x:v>
      </x:c>
      <x:c r="D3" s="11" t="str">
        <x:v>Assigned execution reported complete; each member's individual written approval is intentionally left unrecorded until supplied</x:v>
      </x:c>
      <x:c r="E3" s="11" t="str">
        <x:v>Assigned execution reported complete; each member's individual written approval is intentionally left unrecorded until supplied</x:v>
      </x:c>
      <x:c r="F3" s="11" t="str">
        <x:v>Assigned execution reported complete; each member's individual written approval is intentionally left unrecorded until supplied</x:v>
      </x:c>
      <x:c r="G3" s="11" t="str">
        <x:v>Assigned execution reported complete; each member's individual written approval is intentionally left unrecorded until supplied</x:v>
      </x:c>
    </x:row>
    <x:row r="4" ht="12" customHeight="1"/>
    <x:row r="6" ht="32" customHeight="1">
      <x:c r="A6" s="19" t="str">
        <x:v>Participant</x:v>
      </x:c>
      <x:c r="B6" s="19" t="str">
        <x:v>Assigned UAT cases</x:v>
      </x:c>
      <x:c r="C6" s="19" t="str">
        <x:v>Assigned count</x:v>
      </x:c>
      <x:c r="D6" s="19" t="str">
        <x:v>Execution record</x:v>
      </x:c>
      <x:c r="E6" s="19" t="str">
        <x:v>Acceptance decision / signature</x:v>
      </x:c>
      <x:c r="F6" s="19" t="str">
        <x:v>Approval date</x:v>
      </x:c>
      <x:c r="G6" s="19" t="str">
        <x:v>Basis / limitation</x:v>
      </x:c>
    </x:row>
    <x:row r="7" ht="90" customHeight="1">
      <x:c r="A7" s="26" t="str">
        <x:v>Jerald Christopher Bucud</x:v>
      </x:c>
      <x:c r="B7" s="26" t="str">
        <x:v>S5-UAT-01, S5-UAT-02, S5-UAT-03, S5-UAT-04</x:v>
      </x:c>
      <x:c r="C7" s="26" t="n">
        <x:v>4</x:v>
      </x:c>
      <x:c r="D7" s="26" t="str">
        <x:v>Executed; PASS reported by project lead</x:v>
      </x:c>
      <x:c r="E7" s="82" t="str">
        <x:v>Individual written approval not yet supplied</x:v>
      </x:c>
      <x:c r="F7" s="82" t="str">
        <x:v>Not provided</x:v>
      </x:c>
      <x:c r="G7" s="26" t="str">
        <x:v>Project lead confirmed personal execution and no blockers; photographic evidence was shared and does not identify individual capture.</x:v>
      </x:c>
    </x:row>
    <x:row r="8" ht="90" customHeight="1">
      <x:c r="A8" s="30" t="str">
        <x:v>Joyee Chakraborty</x:v>
      </x:c>
      <x:c r="B8" s="30" t="str">
        <x:v>S5-UAT-05, S5-UAT-07, S5-UAT-08, S5-UAT-09</x:v>
      </x:c>
      <x:c r="C8" s="30" t="n">
        <x:v>4</x:v>
      </x:c>
      <x:c r="D8" s="30" t="str">
        <x:v>Executed; PASS reported by project lead</x:v>
      </x:c>
      <x:c r="E8" s="82" t="str">
        <x:v>Individual written approval not yet supplied</x:v>
      </x:c>
      <x:c r="F8" s="82" t="str">
        <x:v>Not provided</x:v>
      </x:c>
      <x:c r="G8" s="30" t="str">
        <x:v>Project lead confirmed personal execution and no blockers; photographic evidence was shared and does not identify individual capture.</x:v>
      </x:c>
    </x:row>
    <x:row r="9" ht="90" customHeight="1">
      <x:c r="A9" s="26" t="str">
        <x:v>Md Enamul Haque</x:v>
      </x:c>
      <x:c r="B9" s="26" t="str">
        <x:v>S5-UAT-06, S5-UAT-10, S5-UAT-11</x:v>
      </x:c>
      <x:c r="C9" s="26" t="n">
        <x:v>3</x:v>
      </x:c>
      <x:c r="D9" s="26" t="str">
        <x:v>Executed; PASS reported by project lead</x:v>
      </x:c>
      <x:c r="E9" s="82" t="str">
        <x:v>Individual written approval not yet supplied</x:v>
      </x:c>
      <x:c r="F9" s="82" t="str">
        <x:v>Not provided</x:v>
      </x:c>
      <x:c r="G9" s="26" t="str">
        <x:v>Project lead confirmed personal execution and no blockers; photographic evidence was shared and does not identify individual capture.</x:v>
      </x:c>
    </x:row>
    <x:row r="12" ht="35" customHeight="1">
      <x:c r="A12" s="72" t="str">
        <x:v>UAT execution outcome: 11 / 11 scenarios PASS (reported by project lead); 0 FAIL and 0 blockers reported. Formal acceptance is separate: obtain member acknowledgement through a signed sheet, meeting record, approved pull request, or another genuine retained project record.</x:v>
      </x:c>
      <x:c r="B12" s="72"/>
      <x:c r="C12" s="72"/>
      <x:c r="D12" s="72"/>
      <x:c r="E12" s="72"/>
      <x:c r="F12" s="72"/>
      <x:c r="G12" s="72"/>
    </x:row>
    <x:row r="13" ht="35" customHeight="1">
      <x:c r="A13" s="72"/>
      <x:c r="B13" s="72"/>
      <x:c r="C13" s="72"/>
      <x:c r="D13" s="72"/>
      <x:c r="E13" s="72"/>
      <x:c r="F13" s="72"/>
      <x:c r="G13" s="72"/>
    </x:row>
  </x:sheetData>
  <x:mergeCells>
    <x:mergeCell ref="A1:G2"/>
    <x:mergeCell ref="A3:G3"/>
    <x:mergeCell ref="A12:G13"/>
  </x:mergeCells>
  <x:pageMargins left="0.7" right="0.7" top="0.75" bottom="0.75" header="0.3" footer="0.3"/>
</x:worksheet>
</file>

<file path=xl/worksheets/sheet8.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28" hidden="0" customWidth="1"/>
    <x:col min="2" max="2" width="107" hidden="0" customWidth="1"/>
    <x:col min="3" max="3" width="76" hidden="0" customWidth="1"/>
    <x:col min="4" max="4" width="23" hidden="0" customWidth="1"/>
    <x:col min="5" max="5" width="25" hidden="0" customWidth="1"/>
    <x:col min="6" max="6" width="93" hidden="0" customWidth="1"/>
  </x:cols>
  <x:sheetData>
    <x:row r="1" ht="25" customHeight="1">
      <x:c r="A1" s="4" t="str">
        <x:v>HOW TO READ AND MAINTAIN THIS UAT WORKBOOK</x:v>
      </x:c>
      <x:c r="B1" s="4" t="str">
        <x:v>HOW TO READ AND MAINTAIN THIS UAT WORKBOOK</x:v>
      </x:c>
      <x:c r="C1" s="4" t="str">
        <x:v>HOW TO READ AND MAINTAIN THIS UAT WORKBOOK</x:v>
      </x:c>
      <x:c r="D1" s="4" t="str">
        <x:v>HOW TO READ AND MAINTAIN THIS UAT WORKBOOK</x:v>
      </x:c>
      <x:c r="E1" s="4" t="str">
        <x:v>HOW TO READ AND MAINTAIN THIS UAT WORKBOOK</x:v>
      </x:c>
      <x:c r="F1" s="4" t="str">
        <x:v>HOW TO READ AND MAINTAIN THIS UAT WORKBOOK</x:v>
      </x:c>
    </x:row>
    <x:row r="2" ht="25" customHeight="1">
      <x:c r="A2" s="4" t="str">
        <x:v>HOW TO READ AND MAINTAIN THIS UAT WORKBOOK</x:v>
      </x:c>
      <x:c r="B2" s="4" t="str">
        <x:v>HOW TO READ AND MAINTAIN THIS UAT WORKBOOK</x:v>
      </x:c>
      <x:c r="C2" s="4" t="str">
        <x:v>HOW TO READ AND MAINTAIN THIS UAT WORKBOOK</x:v>
      </x:c>
      <x:c r="D2" s="4" t="str">
        <x:v>HOW TO READ AND MAINTAIN THIS UAT WORKBOOK</x:v>
      </x:c>
      <x:c r="E2" s="4" t="str">
        <x:v>HOW TO READ AND MAINTAIN THIS UAT WORKBOOK</x:v>
      </x:c>
      <x:c r="F2" s="4" t="str">
        <x:v>HOW TO READ AND MAINTAIN THIS UAT WORKBOOK</x:v>
      </x:c>
    </x:row>
    <x:row r="3" ht="28" customHeight="1">
      <x:c r="A3" s="11" t="str">
        <x:v>Source basis, evidence interpretation, result semantics and paths for GitHub Sprint 5 closeout</x:v>
      </x:c>
      <x:c r="B3" s="11" t="str">
        <x:v>Source basis, evidence interpretation, result semantics and paths for GitHub Sprint 5 closeout</x:v>
      </x:c>
      <x:c r="C3" s="11" t="str">
        <x:v>Source basis, evidence interpretation, result semantics and paths for GitHub Sprint 5 closeout</x:v>
      </x:c>
      <x:c r="D3" s="11" t="str">
        <x:v>Source basis, evidence interpretation, result semantics and paths for GitHub Sprint 5 closeout</x:v>
      </x:c>
      <x:c r="E3" s="11" t="str">
        <x:v>Source basis, evidence interpretation, result semantics and paths for GitHub Sprint 5 closeout</x:v>
      </x:c>
      <x:c r="F3" s="11" t="str">
        <x:v>Source basis, evidence interpretation, result semantics and paths for GitHub Sprint 5 closeout</x:v>
      </x:c>
    </x:row>
    <x:row r="4" ht="12" customHeight="1"/>
    <x:row r="6" ht="32" customHeight="1">
      <x:c r="A6" s="19" t="str">
        <x:v>Topic</x:v>
      </x:c>
      <x:c r="B6" s="19" t="str">
        <x:v>Instructions / definitions</x:v>
      </x:c>
      <x:c r="C6" s="19" t="str">
        <x:v>Source / reference</x:v>
      </x:c>
      <x:c r="D6" s="19" t="str">
        <x:v>Record type</x:v>
      </x:c>
      <x:c r="E6" s="19" t="str">
        <x:v>Maintainer</x:v>
      </x:c>
      <x:c r="F6" s="19" t="str">
        <x:v>Notes</x:v>
      </x:c>
    </x:row>
    <x:row r="7" ht="105" customHeight="1">
      <x:c r="A7" s="26" t="str">
        <x:v>Purpose</x:v>
      </x:c>
      <x:c r="B7" s="26" t="str">
        <x:v>User acceptance of the main Student and Administrator tasks in GradNavi on Production. This is WBS 8.6 and is not a substitute for regression, security, or Production verification.</x:v>
      </x:c>
      <x:c r="C7" s="26" t="str">
        <x:v>docs/project-management/sprint-5-plan.md</x:v>
      </x:c>
      <x:c r="D7" s="26" t="str">
        <x:v>Scope</x:v>
      </x:c>
      <x:c r="E7" s="26" t="str">
        <x:v>All members</x:v>
      </x:c>
      <x:c r="F7" s="26" t="str">
        <x:v>Evidence is based on screenshots captured 13 Oct 2026 and project-lead execution confirmation.</x:v>
      </x:c>
    </x:row>
    <x:row r="8" ht="105" customHeight="1">
      <x:c r="A8" s="30" t="str">
        <x:v>Scenario status</x:v>
      </x:c>
      <x:c r="B8" s="30" t="str">
        <x:v>PASS (team-reported) means the project lead reported the assigned member personally executed the scenario without a blocking issue. This is not independent third-party witnessing.</x:v>
      </x:c>
      <x:c r="C8" s="30" t="str">
        <x:v>Scenario Register, column K</x:v>
      </x:c>
      <x:c r="D8" s="30" t="str">
        <x:v>Method</x:v>
      </x:c>
      <x:c r="E8" s="30" t="str">
        <x:v>Project lead</x:v>
      </x:c>
      <x:c r="F8" s="30" t="str">
        <x:v>Preserve this qualifier in reports.</x:v>
      </x:c>
    </x:row>
    <x:row r="9" ht="105" customHeight="1">
      <x:c r="A9" s="26" t="str">
        <x:v>Step status</x:v>
      </x:c>
      <x:c r="B9" s="26" t="str">
        <x:v>Detailed Steps repeats the scenario-level team-reported result. Each step is a recorded checkpoint; screenshots show only described observable states.</x:v>
      </x:c>
      <x:c r="C9" s="26" t="str">
        <x:v>Detailed Steps</x:v>
      </x:c>
      <x:c r="D9" s="26" t="str">
        <x:v>Method</x:v>
      </x:c>
      <x:c r="E9" s="26" t="str">
        <x:v>Assigned tester</x:v>
      </x:c>
      <x:c r="F9" s="26" t="str">
        <x:v>Do not infer unseen clicks, saves, network calls or file contents from an image.</x:v>
      </x:c>
    </x:row>
    <x:row r="10" ht="105" customHeight="1">
      <x:c r="A10" s="30" t="str">
        <x:v>Actual outcomes</x:v>
      </x:c>
      <x:c r="B10" s="30" t="str">
        <x:v>Actual-result text describes what appeared on screen and what the team reported. Counts and success messages come from captured image content.</x:v>
      </x:c>
      <x:c r="C10" s="30" t="str">
        <x:v>Scenario Register / Detailed Steps</x:v>
      </x:c>
      <x:c r="D10" s="30" t="str">
        <x:v>Result</x:v>
      </x:c>
      <x:c r="E10" s="30" t="str">
        <x:v>Assigned tester</x:v>
      </x:c>
      <x:c r="F10" s="30" t="str">
        <x:v>Detailed cases specify exact UI observations.</x:v>
      </x:c>
    </x:row>
    <x:row r="11" ht="105" customHeight="1">
      <x:c r="A11" s="26" t="str">
        <x:v>Production evidence</x:v>
      </x:c>
      <x:c r="B11" s="26" t="str">
        <x:v>21 existing WBS 8.9 screenshots are linked by ID S5-PROD-EV-001 through EV-021. They are reused without copying files into the UAT folder.</x:v>
      </x:c>
      <x:c r="C11" s="26" t="str">
        <x:v>docs/testing/evidence/sprint-5/production-verification/</x:v>
      </x:c>
      <x:c r="D11" s="26" t="str">
        <x:v>Evidence</x:v>
      </x:c>
      <x:c r="E11" s="26" t="str">
        <x:v>Project team</x:v>
      </x:c>
      <x:c r="F11" s="26" t="str">
        <x:v>Shared images do not prove which tester originally took the screenshot.</x:v>
      </x:c>
    </x:row>
    <x:row r="12" ht="105" customHeight="1">
      <x:c r="A12" s="30" t="str">
        <x:v>UAT-specific evidence</x:v>
      </x:c>
      <x:c r="B12" s="30" t="str">
        <x:v>10 additional screenshots (S5-UAT-EV-001 through EV-010) show profile save, changed roadmap progress, document generation/export, interview feedback and Administrator forms.</x:v>
      </x:c>
      <x:c r="C12" s="30" t="str">
        <x:v>docs/testing/evidence/sprint-5/uat/</x:v>
      </x:c>
      <x:c r="D12" s="30" t="str">
        <x:v>Evidence</x:v>
      </x:c>
      <x:c r="E12" s="30" t="str">
        <x:v>Project team</x:v>
      </x:c>
      <x:c r="F12" s="30" t="str">
        <x:v>Admin Add/Edit dialogs are form evidence, not post-save confirmation.</x:v>
      </x:c>
    </x:row>
    <x:row r="13" ht="105" customHeight="1">
      <x:c r="A13" s="26" t="str">
        <x:v>Formal sign-off</x:v>
      </x:c>
      <x:c r="B13" s="26" t="str">
        <x:v>No individual written approval is included. Enter approval only after receiving verifiable signed or otherwise recorded acknowledgements.</x:v>
      </x:c>
      <x:c r="C13" s="26" t="str">
        <x:v>Team Acceptance</x:v>
      </x:c>
      <x:c r="D13" s="26" t="str">
        <x:v>Acceptance</x:v>
      </x:c>
      <x:c r="E13" s="26" t="str">
        <x:v>All members</x:v>
      </x:c>
      <x:c r="F13" s="26" t="str">
        <x:v>Do not create signatures or dates retroactively.</x:v>
      </x:c>
    </x:row>
    <x:row r="14" ht="105" customHeight="1">
      <x:c r="A14" s="30" t="str">
        <x:v>Known observations</x:v>
      </x:c>
      <x:c r="B14" s="30" t="str">
        <x:v>Reported UAT passed without blockers. Last Login, open resource report, possible stray text and FR-17 are tracked for final disposition.</x:v>
      </x:c>
      <x:c r="C14" s="30" t="str">
        <x:v>Observations &amp; Actions</x:v>
      </x:c>
      <x:c r="D14" s="30" t="str">
        <x:v>Closeout</x:v>
      </x:c>
      <x:c r="E14" s="30" t="str">
        <x:v>Project lead / owners</x:v>
      </x:c>
      <x:c r="F14" s="30" t="str">
        <x:v>An open report is not automatically a software failure.</x:v>
      </x:c>
    </x:row>
    <x:row r="15" ht="105" customHeight="1">
      <x:c r="A15" s="26" t="str">
        <x:v>Deployed commit SHA</x:v>
      </x:c>
      <x:c r="B15" s="26" t="str">
        <x:v>No deployed SHA is collected or displayed in this workbook, as requested.</x:v>
      </x:c>
      <x:c r="C15" s="26" t="str">
        <x:v>N/A</x:v>
      </x:c>
      <x:c r="D15" s="26" t="str">
        <x:v>Environment</x:v>
      </x:c>
      <x:c r="E15" s="26" t="str">
        <x:v>Project lead</x:v>
      </x:c>
      <x:c r="F15" s="26" t="str">
        <x:v>Production URL: https://gradnavi.site</x:v>
      </x:c>
    </x:row>
    <x:row r="16" ht="105" customHeight="1">
      <x:c r="A16" s="30" t="str">
        <x:v>Workbook references</x:v>
      </x:c>
      <x:c r="B16" s="30" t="str">
        <x:v>All file names match the supplied evidence manifests. Verify the image paths before publishing into a public GitHub repo.</x:v>
      </x:c>
      <x:c r="C16" s="30" t="str">
        <x:v>Evidence Register</x:v>
      </x:c>
      <x:c r="D16" s="30" t="str">
        <x:v>Traceability</x:v>
      </x:c>
      <x:c r="E16" s="30" t="str">
        <x:v>Project lead</x:v>
      </x:c>
      <x:c r="F16" s="30" t="str">
        <x:v>The SHA-256 values on Evidence Register describe screenshot file integrity only. No deployed commit SHA is recorded anywhere.</x:v>
      </x:c>
    </x:row>
  </x:sheetData>
  <x:mergeCells>
    <x:mergeCell ref="A1:F2"/>
    <x:mergeCell ref="A3:F3"/>
  </x:mergeCells>
  <x:pageMargins left="0.7" right="0.7" top="0.75" bottom="0.75" header="0.3" footer="0.3"/>
</x:worksheet>
</file>